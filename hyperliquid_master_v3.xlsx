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aily Master" sheetId="2" state="visible" r:id="rId4"/>
    <sheet name="HIP-3 Model" sheetId="3" state="visible" r:id="rId5"/>
    <sheet name="HIP-3 by Category" sheetId="4" state="visible" r:id="rId6"/>
    <sheet name="Reconciliation" sheetId="5" state="visible" r:id="rId7"/>
    <sheet name="Sources &amp; Methodology" sheetId="6" state="visible" r:id="rId8"/>
  </sheets>
  <definedNames>
    <definedName function="false" hidden="false" name="AfShare" vbProcedure="false">Assumptions!$B$20</definedName>
    <definedName function="false" hidden="false" name="AprCoef" vbProcedure="false">Assumptions!$B$29</definedName>
    <definedName function="false" hidden="false" name="BaseMakerRate" vbProcedure="false">Assumptions!$B$6</definedName>
    <definedName function="false" hidden="false" name="BaseTakerRate" vbProcedure="false">Assumptions!$B$5</definedName>
    <definedName function="false" hidden="false" name="CoreBpsBlended" vbProcedure="false">Assumptions!$B$7</definedName>
    <definedName function="false" hidden="false" name="GrowthModeDate" vbProcedure="false">Assumptions!$B$24</definedName>
    <definedName function="false" hidden="false" name="GrowthModeFactor" vbProcedure="false">Assumptions!$B$8</definedName>
    <definedName function="false" hidden="false" name="Hip3LaunchDate" vbProcedure="false">Assumptions!$B$23</definedName>
    <definedName function="false" hidden="false" name="HIP3TraderScale_Hyna" vbProcedure="false">Assumptions!$B$13</definedName>
    <definedName function="false" hidden="false" name="HIP3TraderScale_Std" vbProcedure="false">Assumptions!$B$11</definedName>
    <definedName function="false" hidden="false" name="Hip4LaunchDate" vbProcedure="false">Assumptions!$B$25</definedName>
    <definedName function="false" hidden="false" name="Hip4Rate" vbProcedure="false">Assumptions!$B$26</definedName>
    <definedName function="false" hidden="false" name="HlpChangeDate" vbProcedure="false">Assumptions!$B$18</definedName>
    <definedName function="false" hidden="false" name="HlpSharePost" vbProcedure="false">Assumptions!$B$17</definedName>
    <definedName function="false" hidden="false" name="HlpSharePre" vbProcedure="false">Assumptions!$B$16</definedName>
    <definedName function="false" hidden="false" name="HL_Retained_50" vbProcedure="false">Assumptions!$B$12</definedName>
    <definedName function="false" hidden="false" name="HL_Retained_Hyna" vbProcedure="false">Assumptions!$B$14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<sst xmlns="http://schemas.openxmlformats.org/spreadsheetml/2006/main" count="861" uniqueCount="489">
  <si>
    <t xml:space="preserve">Hyperliquid Master Model — Assumptions</t>
  </si>
  <si>
    <t xml:space="preserve">Edit yellow cells to flex the model. All Daily Master formulas reference these names.</t>
  </si>
  <si>
    <t xml:space="preserve">Parameter</t>
  </si>
  <si>
    <t xml:space="preserve">Value</t>
  </si>
  <si>
    <t xml:space="preserve">Format</t>
  </si>
  <si>
    <t xml:space="preserve">Source / Note</t>
  </si>
  <si>
    <t xml:space="preserve">Defined Name</t>
  </si>
  <si>
    <t xml:space="preserve">FEE STRUCTURE</t>
  </si>
  <si>
    <t xml:space="preserve">Base perp taker rate (tier 0)</t>
  </si>
  <si>
    <t xml:space="preserve">0.0000%</t>
  </si>
  <si>
    <t xml:space="preserve">Source: Hyperliquid docs — tier 0 taker = 0.045%</t>
  </si>
  <si>
    <t xml:space="preserve">BaseTakerRate</t>
  </si>
  <si>
    <t xml:space="preserve">Base perp maker rate (tier 0)</t>
  </si>
  <si>
    <t xml:space="preserve">Source: Hyperliquid docs — tier 0 maker = 0.015%</t>
  </si>
  <si>
    <t xml:space="preserve">BaseMakerRate</t>
  </si>
  <si>
    <t xml:space="preserve">Empirical core perp blended bps (pre-HIP-3, vol-weighted)</t>
  </si>
  <si>
    <t xml:space="preserve">0.000</t>
  </si>
  <si>
    <t xml:space="preserve">Derived from Dec 23 2024 - Oct 12 2025: total_perp_fees / core_volume × 10000</t>
  </si>
  <si>
    <t xml:space="preserve">CoreBpsBlended</t>
  </si>
  <si>
    <t xml:space="preserve">Growth mode discount factor</t>
  </si>
  <si>
    <t xml:space="preserve">0.00%</t>
  </si>
  <si>
    <t xml:space="preserve">Source: Hyperliquid HIP-3 Growth Mode (Nov 19 2025): 90% reduction</t>
  </si>
  <si>
    <t xml:space="preserve">GrowthModeFactor</t>
  </si>
  <si>
    <t xml:space="preserve">HIP-3 DEPLOYER FEE SCALES (from Hyperliquid info API perpDexs)</t>
  </si>
  <si>
    <t xml:space="preserve">HIP-3 trader scale (deployerFeeScale=1, most dexes)</t>
  </si>
  <si>
    <t xml:space="preserve">0.0000</t>
  </si>
  <si>
    <t xml:space="preserve">scaleIfHip3 = deployerFeeScale × 2 when ≥ 1 → trader pays 2x base</t>
  </si>
  <si>
    <t xml:space="preserve">HIP3TraderScale_Std</t>
  </si>
  <si>
    <t xml:space="preserve">Hyperliquid retained share on 50/50 dexes</t>
  </si>
  <si>
    <t xml:space="preserve">When deployerFeeScale ≥ 1, HL keeps 50%, deployer keeps 50% (= 1x base each)</t>
  </si>
  <si>
    <t xml:space="preserve">HL_Retained_50</t>
  </si>
  <si>
    <t xml:space="preserve">HyENA trader scale (deployerFeeScale=0.1111)</t>
  </si>
  <si>
    <t xml:space="preserve">HyENA-specific: 1 + 0.1111 — trader pays 1.111x base</t>
  </si>
  <si>
    <t xml:space="preserve">HIP3TraderScale_Hyna</t>
  </si>
  <si>
    <t xml:space="preserve">Hyperliquid retained share on HyENA</t>
  </si>
  <si>
    <t xml:space="preserve">0.0%</t>
  </si>
  <si>
    <t xml:space="preserve">On HyENA, HL gets 90%, deployer 10%</t>
  </si>
  <si>
    <t xml:space="preserve">HL_Retained_Hyna</t>
  </si>
  <si>
    <t xml:space="preserve">HLP REVENUE SHARE — pre Aug 31 2025</t>
  </si>
  <si>
    <t xml:space="preserve">HLP gets 3% of perp+spot revenue. Source: DefiLlama adapter + empirical 3.0928% = 3/97 ratio</t>
  </si>
  <si>
    <t xml:space="preserve">HlpSharePre</t>
  </si>
  <si>
    <t xml:space="preserve">HLP REVENUE SHARE — post Aug 31 2025</t>
  </si>
  <si>
    <t xml:space="preserve">HLP gets 1% of perp+spot revenue. Empirical 1.0101% = 1/99 ratio confirmed</t>
  </si>
  <si>
    <t xml:space="preserve">HlpSharePost</t>
  </si>
  <si>
    <t xml:space="preserve">HLP share change date</t>
  </si>
  <si>
    <t xml:space="preserve">yyyy-mm-dd</t>
  </si>
  <si>
    <t xml:space="preserve">Empirically determined transition date from DefiLlama data</t>
  </si>
  <si>
    <t xml:space="preserve">HlpChangeDate</t>
  </si>
  <si>
    <t xml:space="preserve">AF revenue share (post HLP cut)</t>
  </si>
  <si>
    <t xml:space="preserve">Source: Hyperliquid docs: 99% of (fees-builders) flows to AF</t>
  </si>
  <si>
    <t xml:space="preserve">AfShare</t>
  </si>
  <si>
    <t xml:space="preserve">KEY DATES</t>
  </si>
  <si>
    <t xml:space="preserve">HIP-3 LAUNCH</t>
  </si>
  <si>
    <t xml:space="preserve">HIP-3 mainnet launch</t>
  </si>
  <si>
    <t xml:space="preserve">Hip3LaunchDate</t>
  </si>
  <si>
    <t xml:space="preserve">HIP-3 Growth Mode launch</t>
  </si>
  <si>
    <t xml:space="preserve">Growth Mode feature available; per-asset opt-in over time</t>
  </si>
  <si>
    <t xml:space="preserve">GrowthModeDate</t>
  </si>
  <si>
    <t xml:space="preserve">HIP-4 LAUNCH</t>
  </si>
  <si>
    <t xml:space="preserve">HIP-4 outcome markets mainnet launch — zero fees initially</t>
  </si>
  <si>
    <t xml:space="preserve">Hip4LaunchDate</t>
  </si>
  <si>
    <t xml:space="preserve">HIP-4 fee rate (zero in testing)</t>
  </si>
  <si>
    <t xml:space="preserve">Source: Hyperliquid HIP-4 docs: "Fees are currently zero for outcome markets for initial testing"</t>
  </si>
  <si>
    <t xml:space="preserve">Hip4Rate</t>
  </si>
  <si>
    <t xml:space="preserve">STAKING</t>
  </si>
  <si>
    <t xml:space="preserve">Staking APR formula coefficient</t>
  </si>
  <si>
    <t xml:space="preserve">0</t>
  </si>
  <si>
    <t xml:space="preserve">Source: Hyperliquid docs. At 400M staked, APR ≈ 2.37%. Formula: APR(S) = AprCoef/sqrt(S)</t>
  </si>
  <si>
    <t xml:space="preserve">AprCoef</t>
  </si>
  <si>
    <t xml:space="preserve">Daily Master — formulas reference Assumptions sheet</t>
  </si>
  <si>
    <t xml:space="preserve">YELLOW cells = raw API data. BLUE text = formula. Every derived value is auditable.</t>
  </si>
  <si>
    <t xml:space="preserve">Yellow = raw DL/HP API data; Blue text = Excel formula. Builder codes = supplyside_perps − (perp_rev × hlp_pct/(1−hlp_pct)).</t>
  </si>
  <si>
    <t xml:space="preserve">Date</t>
  </si>
  <si>
    <t xml:space="preserve">Core perp volume ($)</t>
  </si>
  <si>
    <t xml:space="preserve">HIP-3 perp volume ($)</t>
  </si>
  <si>
    <t xml:space="preserve">Spot volume ($)</t>
  </si>
  <si>
    <t xml:space="preserve">Total perp volume ($)</t>
  </si>
  <si>
    <t xml:space="preserve">Total volume incl spot ($)</t>
  </si>
  <si>
    <t xml:space="preserve">HIP-3 vol share %</t>
  </si>
  <si>
    <t xml:space="preserve">DL Perps fees ($) [raw]</t>
  </si>
  <si>
    <t xml:space="preserve">DL Spot fees ($) [raw]</t>
  </si>
  <si>
    <t xml:space="preserve">DL HLP entity fees [DOUBLECOUNT - DO NOT ADD]</t>
  </si>
  <si>
    <t xml:space="preserve">Total fees [= H+I, do NOT add J]</t>
  </si>
  <si>
    <t xml:space="preserve">Modeled HL's slice from HIP-3 ($)</t>
  </si>
  <si>
    <t xml:space="preserve">Implied core fees [= H - L] ($)</t>
  </si>
  <si>
    <t xml:space="preserve">Implied core bps</t>
  </si>
  <si>
    <t xml:space="preserve">DL Perps revenue ($) [raw]</t>
  </si>
  <si>
    <t xml:space="preserve">DL Spot revenue ($) [raw]</t>
  </si>
  <si>
    <t xml:space="preserve">Total revenue to AF ($)</t>
  </si>
  <si>
    <t xml:space="preserve">Effective HLP share %</t>
  </si>
  <si>
    <t xml:space="preserve">Formula HLP slice [= Q*R/(1-R)] ($)</t>
  </si>
  <si>
    <t xml:space="preserve">DL HLP slice (=fees_hlp) ($)</t>
  </si>
  <si>
    <t xml:space="preserve">HLP diff (formula − DL) ($)</t>
  </si>
  <si>
    <t xml:space="preserve">Builder codes (perp) [= Y - O*R/(1-R)] ($)</t>
  </si>
  <si>
    <t xml:space="preserve">Unit revenue (spot) [= Z - P*R/(1-R)] ($)</t>
  </si>
  <si>
    <t xml:space="preserve">Supplyside check [= S + V + W] ($)</t>
  </si>
  <si>
    <t xml:space="preserve">DL supplyside_perps (raw) ($)</t>
  </si>
  <si>
    <t xml:space="preserve">DL supplyside_spot (raw) ($)</t>
  </si>
  <si>
    <t xml:space="preserve">DL Holders rev = AF buyback ($)</t>
  </si>
  <si>
    <t xml:space="preserve">HYPE close ($)</t>
  </si>
  <si>
    <t xml:space="preserve">HYPE VWAP proxy ($)</t>
  </si>
  <si>
    <t xml:space="preserve">HYPE bought daily (#)</t>
  </si>
  <si>
    <t xml:space="preserve">CHECK: K - Q - X (should=0)</t>
  </si>
  <si>
    <t xml:space="preserve">CHECK: Q - AA (should=0)</t>
  </si>
  <si>
    <t xml:space="preserve">HP daily total fees ($)</t>
  </si>
  <si>
    <t xml:space="preserve">HP/DL revenue ratio</t>
  </si>
  <si>
    <t xml:space="preserve">Total staked HYPE (#)</t>
  </si>
  <si>
    <t xml:space="preserve">Staking APR [= AprCoef/SQRT(AI)]</t>
  </si>
  <si>
    <t xml:space="preserve">Daily HYPE issuance (#) [= AI*AJ/365]</t>
  </si>
  <si>
    <t xml:space="preserve">Daily HYPE burned (#) [= AD]</t>
  </si>
  <si>
    <t xml:space="preserve">Net daily HYPE chg (#) [= AK-AL]</t>
  </si>
  <si>
    <t xml:space="preserve">HIP-3 live?</t>
  </si>
  <si>
    <t xml:space="preserve">HIP-4 status</t>
  </si>
  <si>
    <t xml:space="preserve"># HIP-3 assets active</t>
  </si>
  <si>
    <t xml:space="preserve"># w/ growth mode</t>
  </si>
  <si>
    <t xml:space="preserve">Modeled HIP-3 deployer slice [INFO] ($)</t>
  </si>
  <si>
    <t xml:space="preserve">HIP-3 Per-Asset Fee Model — Hyperliquid's slice only (matches DL Perps)</t>
  </si>
  <si>
    <t xml:space="preserve">Hyperliquid's slice on any HIP-3 market = base × growthModeFactor × 1 (HL always keeps the equivalent of 1x base, regardless of deployerFeeScale).</t>
  </si>
  <si>
    <t xml:space="preserve">Note: This sheet shows what enters DL Hyperliquid Perps fees from HIP-3. The deployer's slice is tracked SEPARATELY in DL (e.g. tradeXYZ, Felix, etc.) and is NOT in Hyperliquid totals.</t>
  </si>
  <si>
    <t xml:space="preserve">Asset</t>
  </si>
  <si>
    <t xml:space="preserve">Dex</t>
  </si>
  <si>
    <t xml:space="preserve">deployerFeeScale</t>
  </si>
  <si>
    <t xml:space="preserve">scaleIfHip3</t>
  </si>
  <si>
    <t xml:space="preserve">HL retained share</t>
  </si>
  <si>
    <t xml:space="preserve">Deployer share</t>
  </si>
  <si>
    <t xml:space="preserve">growthMode</t>
  </si>
  <si>
    <t xml:space="preserve">gmChangeDate</t>
  </si>
  <si>
    <t xml:space="preserve">HL slice bps (GM on)</t>
  </si>
  <si>
    <t xml:space="preserve">HL slice bps (GM off)</t>
  </si>
  <si>
    <t xml:space="preserve">Deployer slice bps (GM on, info)</t>
  </si>
  <si>
    <t xml:space="preserve">abcd:USA500</t>
  </si>
  <si>
    <t xml:space="preserve">abcd</t>
  </si>
  <si>
    <t xml:space="preserve">N/A</t>
  </si>
  <si>
    <t xml:space="preserve">cash:AMZN</t>
  </si>
  <si>
    <t xml:space="preserve">cash</t>
  </si>
  <si>
    <t xml:space="preserve">enabled</t>
  </si>
  <si>
    <t xml:space="preserve">cash:BTC</t>
  </si>
  <si>
    <t xml:space="preserve">cash:CAR</t>
  </si>
  <si>
    <t xml:space="preserve">cash:ETH</t>
  </si>
  <si>
    <t xml:space="preserve">cash:EWY</t>
  </si>
  <si>
    <t xml:space="preserve">cash:GOLD</t>
  </si>
  <si>
    <t xml:space="preserve">cash:GOOGL</t>
  </si>
  <si>
    <t xml:space="preserve">cash:HOOD</t>
  </si>
  <si>
    <t xml:space="preserve">cash:INTC</t>
  </si>
  <si>
    <t xml:space="preserve">cash:KWEB</t>
  </si>
  <si>
    <t xml:space="preserve">cash:META</t>
  </si>
  <si>
    <t xml:space="preserve">cash:MSFT</t>
  </si>
  <si>
    <t xml:space="preserve">cash:NVDA</t>
  </si>
  <si>
    <t xml:space="preserve">cash:SILVER</t>
  </si>
  <si>
    <t xml:space="preserve">cash:TSLA</t>
  </si>
  <si>
    <t xml:space="preserve">cash:USA500</t>
  </si>
  <si>
    <t xml:space="preserve">cash:WTI</t>
  </si>
  <si>
    <t xml:space="preserve">flx:BTC</t>
  </si>
  <si>
    <t xml:space="preserve">flx</t>
  </si>
  <si>
    <t xml:space="preserve">flx:COIN</t>
  </si>
  <si>
    <t xml:space="preserve">flx:COPPER</t>
  </si>
  <si>
    <t xml:space="preserve">flx:CRCL</t>
  </si>
  <si>
    <t xml:space="preserve">flx:GAS</t>
  </si>
  <si>
    <t xml:space="preserve">flx:GOLD</t>
  </si>
  <si>
    <t xml:space="preserve">flx:NVDA</t>
  </si>
  <si>
    <t xml:space="preserve">flx:OIL</t>
  </si>
  <si>
    <t xml:space="preserve">flx:PALLADIUM</t>
  </si>
  <si>
    <t xml:space="preserve">flx:PLATINUM</t>
  </si>
  <si>
    <t xml:space="preserve">flx:SILVER</t>
  </si>
  <si>
    <t xml:space="preserve">flx:TSLA</t>
  </si>
  <si>
    <t xml:space="preserve">flx:USA100</t>
  </si>
  <si>
    <t xml:space="preserve">flx:USA500</t>
  </si>
  <si>
    <t xml:space="preserve">flx:USDE</t>
  </si>
  <si>
    <t xml:space="preserve">flx:XMR</t>
  </si>
  <si>
    <t xml:space="preserve">hyna:1000PEPE</t>
  </si>
  <si>
    <t xml:space="preserve">hyna</t>
  </si>
  <si>
    <t xml:space="preserve">hyna:ADA</t>
  </si>
  <si>
    <t xml:space="preserve">hyna:BASED</t>
  </si>
  <si>
    <t xml:space="preserve">hyna:BCH</t>
  </si>
  <si>
    <t xml:space="preserve">hyna:BNB</t>
  </si>
  <si>
    <t xml:space="preserve">hyna:BTC</t>
  </si>
  <si>
    <t xml:space="preserve">hyna:DOGE</t>
  </si>
  <si>
    <t xml:space="preserve">hyna:ENA</t>
  </si>
  <si>
    <t xml:space="preserve">hyna:ETH</t>
  </si>
  <si>
    <t xml:space="preserve">hyna:FARTCOIN</t>
  </si>
  <si>
    <t xml:space="preserve">hyna:GOLD</t>
  </si>
  <si>
    <t xml:space="preserve">hyna:HYPE</t>
  </si>
  <si>
    <t xml:space="preserve">hyna:IP</t>
  </si>
  <si>
    <t xml:space="preserve">hyna:LIGHTER</t>
  </si>
  <si>
    <t xml:space="preserve">hyna:LINK</t>
  </si>
  <si>
    <t xml:space="preserve">hyna:LIT</t>
  </si>
  <si>
    <t xml:space="preserve">hyna:LTC</t>
  </si>
  <si>
    <t xml:space="preserve">hyna:PUMP</t>
  </si>
  <si>
    <t xml:space="preserve">hyna:SILVER</t>
  </si>
  <si>
    <t xml:space="preserve">hyna:SOL</t>
  </si>
  <si>
    <t xml:space="preserve">hyna:SUI</t>
  </si>
  <si>
    <t xml:space="preserve">hyna:XMR</t>
  </si>
  <si>
    <t xml:space="preserve">hyna:XPL</t>
  </si>
  <si>
    <t xml:space="preserve">hyna:XRP</t>
  </si>
  <si>
    <t xml:space="preserve">hyna:ZEC</t>
  </si>
  <si>
    <t xml:space="preserve">km:AAPL</t>
  </si>
  <si>
    <t xml:space="preserve">km</t>
  </si>
  <si>
    <t xml:space="preserve">km:BABA</t>
  </si>
  <si>
    <t xml:space="preserve">km:BMNR</t>
  </si>
  <si>
    <t xml:space="preserve">km:EUR</t>
  </si>
  <si>
    <t xml:space="preserve">km:GLDMINE</t>
  </si>
  <si>
    <t xml:space="preserve">km:GOLD</t>
  </si>
  <si>
    <t xml:space="preserve">km:GOOGL</t>
  </si>
  <si>
    <t xml:space="preserve">km:JPN225</t>
  </si>
  <si>
    <t xml:space="preserve">km:MU</t>
  </si>
  <si>
    <t xml:space="preserve">km:NVDA</t>
  </si>
  <si>
    <t xml:space="preserve">km:PLTR</t>
  </si>
  <si>
    <t xml:space="preserve">km:RTX</t>
  </si>
  <si>
    <t xml:space="preserve">km:SEMI</t>
  </si>
  <si>
    <t xml:space="preserve">km:SILVER</t>
  </si>
  <si>
    <t xml:space="preserve">km:SMALL2000</t>
  </si>
  <si>
    <t xml:space="preserve">km:TENCENT</t>
  </si>
  <si>
    <t xml:space="preserve">km:TSLA</t>
  </si>
  <si>
    <t xml:space="preserve">km:US500</t>
  </si>
  <si>
    <t xml:space="preserve">km:USBOND</t>
  </si>
  <si>
    <t xml:space="preserve">km:USENERGY</t>
  </si>
  <si>
    <t xml:space="preserve">km:USOIL</t>
  </si>
  <si>
    <t xml:space="preserve">km:USTECH</t>
  </si>
  <si>
    <t xml:space="preserve">km:XIAOMI</t>
  </si>
  <si>
    <t xml:space="preserve">para:BTCD</t>
  </si>
  <si>
    <t xml:space="preserve">para</t>
  </si>
  <si>
    <t xml:space="preserve">para:H100</t>
  </si>
  <si>
    <t xml:space="preserve">para:OTHERS</t>
  </si>
  <si>
    <t xml:space="preserve">para:TOTAL2</t>
  </si>
  <si>
    <t xml:space="preserve">vntl:ANTHROPIC</t>
  </si>
  <si>
    <t xml:space="preserve">vntl</t>
  </si>
  <si>
    <t xml:space="preserve">vntl:BIOTECH</t>
  </si>
  <si>
    <t xml:space="preserve">vntl:DEFENSE</t>
  </si>
  <si>
    <t xml:space="preserve">vntl:ENERGY</t>
  </si>
  <si>
    <t xml:space="preserve">vntl:GOLDJM</t>
  </si>
  <si>
    <t xml:space="preserve">vntl:INFOTECH</t>
  </si>
  <si>
    <t xml:space="preserve">vntl:MAG7</t>
  </si>
  <si>
    <t xml:space="preserve">vntl:NUCLEAR</t>
  </si>
  <si>
    <t xml:space="preserve">vntl:OPENAI</t>
  </si>
  <si>
    <t xml:space="preserve">vntl:ROBOT</t>
  </si>
  <si>
    <t xml:space="preserve">vntl:SEMIS</t>
  </si>
  <si>
    <t xml:space="preserve">vntl:SILVERJM</t>
  </si>
  <si>
    <t xml:space="preserve">vntl:SOY</t>
  </si>
  <si>
    <t xml:space="preserve">vntl:SPACEX</t>
  </si>
  <si>
    <t xml:space="preserve">vntl:WHEAT</t>
  </si>
  <si>
    <t xml:space="preserve">xyz:AAPL</t>
  </si>
  <si>
    <t xml:space="preserve">xyz</t>
  </si>
  <si>
    <t xml:space="preserve">xyz:ALUMINIUM</t>
  </si>
  <si>
    <t xml:space="preserve">xyz:AMD</t>
  </si>
  <si>
    <t xml:space="preserve">xyz:AMZN</t>
  </si>
  <si>
    <t xml:space="preserve">xyz:ARM</t>
  </si>
  <si>
    <t xml:space="preserve">xyz:BABA</t>
  </si>
  <si>
    <t xml:space="preserve">xyz:BIRD</t>
  </si>
  <si>
    <t xml:space="preserve">xyz:BRENTOIL</t>
  </si>
  <si>
    <t xml:space="preserve">xyz:BX</t>
  </si>
  <si>
    <t xml:space="preserve">xyz:CBRS</t>
  </si>
  <si>
    <t xml:space="preserve">xyz:CL</t>
  </si>
  <si>
    <t xml:space="preserve">xyz:COIN</t>
  </si>
  <si>
    <t xml:space="preserve">xyz:COPPER</t>
  </si>
  <si>
    <t xml:space="preserve">xyz:CORN</t>
  </si>
  <si>
    <t xml:space="preserve">xyz:COST</t>
  </si>
  <si>
    <t xml:space="preserve">xyz:CRCL</t>
  </si>
  <si>
    <t xml:space="preserve">xyz:CRWV</t>
  </si>
  <si>
    <t xml:space="preserve">xyz:DKNG</t>
  </si>
  <si>
    <t xml:space="preserve">xyz:DRAM</t>
  </si>
  <si>
    <t xml:space="preserve">xyz:DXY</t>
  </si>
  <si>
    <t xml:space="preserve">xyz:EBAY</t>
  </si>
  <si>
    <t xml:space="preserve">xyz:EUR</t>
  </si>
  <si>
    <t xml:space="preserve">xyz:EWJ</t>
  </si>
  <si>
    <t xml:space="preserve">xyz:EWT</t>
  </si>
  <si>
    <t xml:space="preserve">xyz:EWY</t>
  </si>
  <si>
    <t xml:space="preserve">xyz:EWZ</t>
  </si>
  <si>
    <t xml:space="preserve">xyz:GBP</t>
  </si>
  <si>
    <t xml:space="preserve">xyz:GME</t>
  </si>
  <si>
    <t xml:space="preserve">xyz:GOLD</t>
  </si>
  <si>
    <t xml:space="preserve">xyz:GOOGL</t>
  </si>
  <si>
    <t xml:space="preserve">xyz:H100</t>
  </si>
  <si>
    <t xml:space="preserve">xyz:HIMS</t>
  </si>
  <si>
    <t xml:space="preserve">xyz:HOOD</t>
  </si>
  <si>
    <t xml:space="preserve">xyz:HYUNDAI</t>
  </si>
  <si>
    <t xml:space="preserve">xyz:IBOV</t>
  </si>
  <si>
    <t xml:space="preserve">xyz:INTC</t>
  </si>
  <si>
    <t xml:space="preserve">xyz:JP225</t>
  </si>
  <si>
    <t xml:space="preserve">xyz:JPY</t>
  </si>
  <si>
    <t xml:space="preserve">xyz:KIOXIA</t>
  </si>
  <si>
    <t xml:space="preserve">xyz:KR200</t>
  </si>
  <si>
    <t xml:space="preserve">xyz:KRW</t>
  </si>
  <si>
    <t xml:space="preserve">xyz:LITE</t>
  </si>
  <si>
    <t xml:space="preserve">xyz:LLY</t>
  </si>
  <si>
    <t xml:space="preserve">xyz:META</t>
  </si>
  <si>
    <t xml:space="preserve">xyz:MRVL</t>
  </si>
  <si>
    <t xml:space="preserve">xyz:MSFT</t>
  </si>
  <si>
    <t xml:space="preserve">xyz:MSTR</t>
  </si>
  <si>
    <t xml:space="preserve">xyz:MU</t>
  </si>
  <si>
    <t xml:space="preserve">xyz:NATGAS</t>
  </si>
  <si>
    <t xml:space="preserve">xyz:NFLX</t>
  </si>
  <si>
    <t xml:space="preserve">xyz:NIFTY</t>
  </si>
  <si>
    <t xml:space="preserve">xyz:NVDA</t>
  </si>
  <si>
    <t xml:space="preserve">xyz:ORCL</t>
  </si>
  <si>
    <t xml:space="preserve">xyz:PALLADIUM</t>
  </si>
  <si>
    <t xml:space="preserve">xyz:PLATINUM</t>
  </si>
  <si>
    <t xml:space="preserve">xyz:PLTR</t>
  </si>
  <si>
    <t xml:space="preserve">xyz:PURRDAT</t>
  </si>
  <si>
    <t xml:space="preserve">xyz:RIVN</t>
  </si>
  <si>
    <t xml:space="preserve">xyz:RKLB</t>
  </si>
  <si>
    <t xml:space="preserve">xyz:SILVER</t>
  </si>
  <si>
    <t xml:space="preserve">xyz:SKHX</t>
  </si>
  <si>
    <t xml:space="preserve">xyz:SMSN</t>
  </si>
  <si>
    <t xml:space="preserve">xyz:SNDK</t>
  </si>
  <si>
    <t xml:space="preserve">xyz:SOFTBANK</t>
  </si>
  <si>
    <t xml:space="preserve">xyz:SP500</t>
  </si>
  <si>
    <t xml:space="preserve">xyz:SPCX</t>
  </si>
  <si>
    <t xml:space="preserve">xyz:TSLA</t>
  </si>
  <si>
    <t xml:space="preserve">xyz:TSM</t>
  </si>
  <si>
    <t xml:space="preserve">xyz:TTF</t>
  </si>
  <si>
    <t xml:space="preserve">xyz:URANIUM</t>
  </si>
  <si>
    <t xml:space="preserve">xyz:URNM</t>
  </si>
  <si>
    <t xml:space="preserve">xyz:USAR</t>
  </si>
  <si>
    <t xml:space="preserve">xyz:VIX</t>
  </si>
  <si>
    <t xml:space="preserve">xyz:VOL</t>
  </si>
  <si>
    <t xml:space="preserve">xyz:WHEAT</t>
  </si>
  <si>
    <t xml:space="preserve">xyz:XLE</t>
  </si>
  <si>
    <t xml:space="preserve">xyz:XYZ100</t>
  </si>
  <si>
    <t xml:space="preserve">xyz:ZM</t>
  </si>
  <si>
    <t xml:space="preserve">HIP-3 Daily — Volume &amp; Modeled HL Slice by Asset Category</t>
  </si>
  <si>
    <t xml:space="preserve">Volume from Hyperliquid info API candleSnapshot per asset; HL slice modeled per growth-mode-aware formula.</t>
  </si>
  <si>
    <t xml:space="preserve">VOLUME BY CATEGORY ($)</t>
  </si>
  <si>
    <t xml:space="preserve">Agriculture</t>
  </si>
  <si>
    <t xml:space="preserve">Bonds</t>
  </si>
  <si>
    <t xml:space="preserve">Crypto</t>
  </si>
  <si>
    <t xml:space="preserve">Energy</t>
  </si>
  <si>
    <t xml:space="preserve">Equities — Crypto-related</t>
  </si>
  <si>
    <t xml:space="preserve">Equities — Single Name</t>
  </si>
  <si>
    <t xml:space="preserve">Equity Indices/ETF</t>
  </si>
  <si>
    <t xml:space="preserve">FX</t>
  </si>
  <si>
    <t xml:space="preserve">Industrial Metals</t>
  </si>
  <si>
    <t xml:space="preserve">Pre-IPO / Private</t>
  </si>
  <si>
    <t xml:space="preserve">Precious Metals</t>
  </si>
  <si>
    <t xml:space="preserve">Total HIP-3</t>
  </si>
  <si>
    <t xml:space="preserve">MODELED HL SLICE BY CATEGORY ($)</t>
  </si>
  <si>
    <t xml:space="preserve">Total HL HIP-3 Slice</t>
  </si>
  <si>
    <t xml:space="preserve">Reconciliation &amp; Cross-Source Checks (formula-driven)</t>
  </si>
  <si>
    <t xml:space="preserve">--- DEFILLAMA COVERAGE ---</t>
  </si>
  <si>
    <t xml:space="preserve">First date with DefiLlama fees</t>
  </si>
  <si>
    <t xml:space="preserve">Last date with DefiLlama fees</t>
  </si>
  <si>
    <t xml:space="preserve">Number of days</t>
  </si>
  <si>
    <t xml:space="preserve">--- PERPS IDENTITY: Perp fees = Perp rev + Perp supplyside ---</t>
  </si>
  <si>
    <t xml:space="preserve">Cum perp fees ($)</t>
  </si>
  <si>
    <t xml:space="preserve">Cum perp revenue ($)</t>
  </si>
  <si>
    <t xml:space="preserve">Cum perp supplyside ($)</t>
  </si>
  <si>
    <t xml:space="preserve">Diff (fees − rev − supply)</t>
  </si>
  <si>
    <t xml:space="preserve">--- SPOT IDENTITY: Spot fees = Spot rev + Spot supplyside ---</t>
  </si>
  <si>
    <t xml:space="preserve">Cum spot fees ($)</t>
  </si>
  <si>
    <t xml:space="preserve">Cum spot revenue ($)</t>
  </si>
  <si>
    <t xml:space="preserve">Cum spot supplyside ($)</t>
  </si>
  <si>
    <t xml:space="preserve">--- CORE IDENTITY: Total fees = Revenue + Supplyside ---</t>
  </si>
  <si>
    <t xml:space="preserve">Sum of daily identity diffs</t>
  </si>
  <si>
    <t xml:space="preserve">  -&gt; Should be ≈ 0 (integer rounding only)</t>
  </si>
  <si>
    <t xml:space="preserve">--- AF BUYBACK = HOLDERS REVENUE ---</t>
  </si>
  <si>
    <t xml:space="preserve">Sum of (revenue − buyback) diffs</t>
  </si>
  <si>
    <t xml:space="preserve">  -&gt; Should be 0 (same DL metric)</t>
  </si>
  <si>
    <t xml:space="preserve">--- HLP FORMULA vs DL ---</t>
  </si>
  <si>
    <t xml:space="preserve">Cum formula HLP slice ($)</t>
  </si>
  <si>
    <t xml:space="preserve">Cum DL reported HLP slice ($)</t>
  </si>
  <si>
    <t xml:space="preserve">Diff ($)</t>
  </si>
  <si>
    <t xml:space="preserve">  -&gt; Small diff explained by gaps in DL HLP coverage on early dates</t>
  </si>
  <si>
    <t xml:space="preserve">--- SUPPLYSIDE BREAKDOWN ---</t>
  </si>
  <si>
    <t xml:space="preserve">Cum DL total supplyside ($)</t>
  </si>
  <si>
    <t xml:space="preserve">  Cum HLP depositors slice</t>
  </si>
  <si>
    <t xml:space="preserve">  Cum Builder Code Distribution (perp) [FROM FORMULA]</t>
  </si>
  <si>
    <t xml:space="preserve">  Cum Unit Revenue (spot) [FROM FORMULA]</t>
  </si>
  <si>
    <t xml:space="preserve">Check sum: HLP + Builders + Unit</t>
  </si>
  <si>
    <t xml:space="preserve">Diff to total supplyside (should ≈ 0)</t>
  </si>
  <si>
    <t xml:space="preserve">--- BUILDER CODES CROSS-CHECK ---</t>
  </si>
  <si>
    <t xml:space="preserve">Cum builder codes (derived from DL)</t>
  </si>
  <si>
    <t xml:space="preserve">  Cross-ref: Dwellir blog (Jan 2026) reported $40M+ since launch</t>
  </si>
  <si>
    <t xml:space="preserve">  Cross-ref: Hyperdash (Jan 2026): "top builders incl Based/Phantom/PVP earned $31M+"</t>
  </si>
  <si>
    <t xml:space="preserve">Builder codes as % of perp fees</t>
  </si>
  <si>
    <t xml:space="preserve">--- HYPURRSCAN CROSS-CHECK ---</t>
  </si>
  <si>
    <t xml:space="preserve">Cum DL revenue</t>
  </si>
  <si>
    <t xml:space="preserve">Cum HP total fees</t>
  </si>
  <si>
    <t xml:space="preserve">HP/DL ratio (median = ~92%)</t>
  </si>
  <si>
    <t xml:space="preserve">--- BUYBACKS ---</t>
  </si>
  <si>
    <t xml:space="preserve">Cum HYPE bought (#)</t>
  </si>
  <si>
    <t xml:space="preserve">Cum AF buyback $</t>
  </si>
  <si>
    <t xml:space="preserve">  Cross-ref: Dec 2025 Defiant article reported ~37M HYPE bought since AF inception</t>
  </si>
  <si>
    <t xml:space="preserve">--- SUPPLY DYNAMICS ---</t>
  </si>
  <si>
    <t xml:space="preserve">Cum modeled HYPE issuance to stakers</t>
  </si>
  <si>
    <t xml:space="preserve">Cum net HYPE supply change</t>
  </si>
  <si>
    <t xml:space="preserve">  -&gt; Negative = net deflation</t>
  </si>
  <si>
    <t xml:space="preserve">Sources &amp; Methodology — v3 (CORRECTED)</t>
  </si>
  <si>
    <t xml:space="preserve">CORRECTIONS FROM v2</t>
  </si>
  <si>
    <t xml:space="preserve">1. DL Hyperliquid Perps fees does NOT include the HIP-3 deployer's 50% slice. Only Hyperliquid's 1x retained slice is in there. The deployer's slice is tracked SEPARATELY in DefiLlama as individual protocols (tradeXYZ, Felix, Ventuals, HyENA, etc.).</t>
  </si>
  <si>
    <t xml:space="preserve">2. The Perps supplyside line breaks down into: HLP slice + Builder Code Distribution (NOT HIP-3 deployer fees).</t>
  </si>
  <si>
    <t xml:space="preserve">3. The Spot supplyside line breaks down into: HLP slice + Unit Protocol Revenue.</t>
  </si>
  <si>
    <t xml:space="preserve">4. Builder codes (third-party frontend kickbacks like Phantom, Hyperdash, PVP.trade) are now broken out as a dedicated column.</t>
  </si>
  <si>
    <t xml:space="preserve">PRIMARY SOURCES</t>
  </si>
  <si>
    <t xml:space="preserve">21Shares Dune query 6874521 (existing user file)</t>
  </si>
  <si>
    <t xml:space="preserve">Daily core + HIP-3 perp volume; cross-checked vs Hyperliquid info API (matches within 0.03%)</t>
  </si>
  <si>
    <t xml:space="preserve">DefiLlama Fees API</t>
  </si>
  <si>
    <t xml:space="preserve">https://api.llama.fi/summary/fees/hyperliquid?dataType={dailyFees|dailyRevenue|dailyHoldersRevenue|dailySupplySideRevenue}</t>
  </si>
  <si>
    <t xml:space="preserve">DefiLlama DEX volume</t>
  </si>
  <si>
    <t xml:space="preserve">https://api.llama.fi/summary/dexs/hyperliquid?dataType=dailyVolume — spot orderbook volume</t>
  </si>
  <si>
    <t xml:space="preserve">Hyperliquid Info API — perpDexs</t>
  </si>
  <si>
    <t xml:space="preserve">POST /info {"type":"perpDexs"} — HIP-3 dex list with deployerFeeScale</t>
  </si>
  <si>
    <t xml:space="preserve">Hyperliquid Info API — meta per dex</t>
  </si>
  <si>
    <t xml:space="preserve">POST /info {"type":"meta","dex":"&lt;name&gt;"} — per-asset growthMode + lastGrowthModeChangeTime</t>
  </si>
  <si>
    <t xml:space="preserve">Hyperliquid Info API — candleSnapshot</t>
  </si>
  <si>
    <t xml:space="preserve">Per-asset daily candles for HIP-3; HYPE/USDC spot price</t>
  </si>
  <si>
    <t xml:space="preserve">Hypurrscan API</t>
  </si>
  <si>
    <t xml:space="preserve">https://api.hypurrscan.io/fees — independent on-chain cumulative fees for cross-check</t>
  </si>
  <si>
    <t xml:space="preserve">Hyperliquid Fees doc</t>
  </si>
  <si>
    <t xml:space="preserve">https://hyperliquid.gitbook.io/hyperliquid-docs/trading/fees</t>
  </si>
  <si>
    <t xml:space="preserve">Hyperliquid Builder Codes doc</t>
  </si>
  <si>
    <t xml:space="preserve">https://hyperliquid.gitbook.io/hyperliquid-docs/trading/builder-codes</t>
  </si>
  <si>
    <t xml:space="preserve">Hyperliquid HIP-3 doc</t>
  </si>
  <si>
    <t xml:space="preserve">https://hyperliquid.gitbook.io/hyperliquid-docs/hyperliquid-improvement-proposals-hips/hip-3</t>
  </si>
  <si>
    <t xml:space="preserve">Hyperliquid HIP-4 doc</t>
  </si>
  <si>
    <t xml:space="preserve">https://hyperliquid.gitbook.io/hyperliquid-docs/hyperliquid-improvement-proposals-hips/hip-4-outcome-markets</t>
  </si>
  <si>
    <t xml:space="preserve">DefiLlama adapter source</t>
  </si>
  <si>
    <t xml:space="preserve">https://github.com/DefiLlama/dimension-adapters/blob/master/fees/hyperliquid-hlp.ts — flagged `doublecounted: true`</t>
  </si>
  <si>
    <t xml:space="preserve">CORRECTED FEE FLOW</t>
  </si>
  <si>
    <t xml:space="preserve">FOR CORE PERP MARKETS:</t>
  </si>
  <si>
    <t xml:space="preserve">  trader_fee = base_taker_rate (tier-adjusted, often discounted by staking/referrals)</t>
  </si>
  <si>
    <t xml:space="preserve">  Of that fee: builder_code (0-10 bps cap) → frontend if user opted in</t>
  </si>
  <si>
    <t xml:space="preserve">                  remainder × hlp_pct → HLP depositors (1% post Aug 31 2025, 3% before)</t>
  </si>
  <si>
    <t xml:space="preserve">                  remainder × (1 − hlp_pct) → AF (~99% to HYPE buybacks)</t>
  </si>
  <si>
    <t xml:space="preserve">FOR HIP-3 PERP MARKETS:</t>
  </si>
  <si>
    <t xml:space="preserve">  trader_fee = base × scaleIfHip3 × growthModeFactor (0.1× if GM enabled)</t>
  </si>
  <si>
    <t xml:space="preserve">  scaleIfHip3 = 2.0 for deployers with deployerFeeScale=1 (trade.xyz, Felix, Ventuals, Kinetiq, dreamcash, Paragon)</t>
  </si>
  <si>
    <t xml:space="preserve">                = 1.111 for HyENA (deployerFeeScale=0.1111)</t>
  </si>
  <si>
    <t xml:space="preserve">  Of that fee:</t>
  </si>
  <si>
    <t xml:space="preserve">    Deployer (trade.xyz etc.) keeps: 50% (or 10% for HyENA)</t>
  </si>
  <si>
    <t xml:space="preserve">    Hyperliquid keeps: 50% (or 90% for HyENA) — = 1× base × GM regardless of dfs</t>
  </si>
  <si>
    <t xml:space="preserve">  Hyperliquid's slice then follows the same builder/HLP/AF split as core</t>
  </si>
  <si>
    <t xml:space="preserve">  -&gt; KEY POINT: Only Hyperliquid's slice appears in DL "Hyperliquid Perps" fees</t>
  </si>
  <si>
    <t xml:space="preserve">  -&gt; The deployer's slice is tracked as a SEPARATE DL protocol (e.g. tradeXYZ)</t>
  </si>
  <si>
    <t xml:space="preserve">FOR SPOT MARKETS:</t>
  </si>
  <si>
    <t xml:space="preserve">  Standard spot fee follows normal builder/HLP/AF split</t>
  </si>
  <si>
    <t xml:space="preserve">  Unit-protocol-deployed assets: 100% of fees go to Unit (in "supplyside" as Unit Revenue)</t>
  </si>
  <si>
    <t xml:space="preserve">WHAT EACH RECIPIENT GETS PAID FOR</t>
  </si>
  <si>
    <t xml:space="preserve">HLP: Hyperliquid's native market-making vault. Anyone can deposit USDC; HLP provides liquidity on all perp markets. The 1% fee share rewards depositors for capital provision. HLP also earns spread/funding profits separately (not in DL Perps fees).</t>
  </si>
  <si>
    <t xml:space="preserve">Builder code recipients (Phantom, Hyperdash, PVP.trade, copy bots, Telegram bots): Third-party frontends that route user orders. Get an OPT-IN add-on fee (up to 10 bps cap on perps), user-authorized via ApproveBuilderFee action.</t>
  </si>
  <si>
    <t xml:space="preserve">Unit protocol: Issues "spot-backed" perp-equivalents on Hyperliquid; gets 100% of fees on Unit-deployed spot markets.</t>
  </si>
  <si>
    <t xml:space="preserve">HIP-3 deployers (trade.xyz, Felix, Ventuals, HyENA, Kinetiq, dreamcash, Paragon, ABCDEx): Teams that deploy HIP-3 markets after staking 500K-1M HYPE. They set the deployerFeeScale and keep a share of trading fees on their assets. Tracked as separate DL protocols, NOT in Hyperliquid totals.</t>
  </si>
  <si>
    <t xml:space="preserve">AF / HYPE burn: ~99% of (perp+spot fees minus builder/Unit) goes to Assistance Fund, which auto-converts USDC → HYPE on the spot orderbook. Per Dec 2025 Foundation proposal, AF HYPE is treated as permanently burned.</t>
  </si>
  <si>
    <t xml:space="preserve">BUILDER CODES — DERIVATION VIA FORMULA</t>
  </si>
  <si>
    <t xml:space="preserve">Builder codes are not exposed directly in DefiLlama, but can be derived from the supplyside line:</t>
  </si>
  <si>
    <t xml:space="preserve">  perp_supplyside_DL = HLP_perp_slice + builder_codes</t>
  </si>
  <si>
    <t xml:space="preserve">  HLP_perp_slice = perp_revenue × hlp_pct / (1 − hlp_pct)</t>
  </si>
  <si>
    <t xml:space="preserve">  -&gt; builder_codes = perp_supplyside_DL − perp_revenue × hlp_pct / (1 − hlp_pct)</t>
  </si>
  <si>
    <t xml:space="preserve">Same logic for Unit revenue (spot): unit_revenue = spot_supplyside − spot_rev × hlp_pct/(1−hlp_pct)</t>
  </si>
  <si>
    <t xml:space="preserve">BUILDER CODES — EXTERNAL CROSS-CHECKS</t>
  </si>
  <si>
    <t xml:space="preserve">Dwellir blog (Jan 16 2026): "$40M+ total builder code revenue has flowed to developers since launch"</t>
  </si>
  <si>
    <t xml:space="preserve">Hyperdash explainer (Jan 20 2026): "top builders including Based, Phantom, and PVP.trade have collectively earned over $31M in fees"</t>
  </si>
  <si>
    <t xml:space="preserve">Phantom wallet: ~$100K/day in builder fees from Hyperliquid trades routed through Phantom</t>
  </si>
  <si>
    <t xml:space="preserve">PVP.trade: $7.2M lifetime builder code revenue</t>
  </si>
  <si>
    <t xml:space="preserve">This file's derivation (through May 19 2026): $64.7M cumulative builder code distribution — directionally consistent with the public reporting evolution (Jan: $40M → May: $64M = ~$6M/month run rate)</t>
  </si>
  <si>
    <t xml:space="preserve">HIP-3 STATUS (snapshot from Hyperliquid info API as of May 20 2026)</t>
  </si>
  <si>
    <t xml:space="preserve">Mainnet launch: 2025-10-13</t>
  </si>
  <si>
    <t xml:space="preserve">Growth Mode launch: 2025-11-19 (per-asset opt-in; first enable Nov 23 2025 on xyz:XYZ100)</t>
  </si>
  <si>
    <t xml:space="preserve">Deployer fee scales by dex:</t>
  </si>
  <si>
    <t xml:space="preserve">  xyz (trade.xyz):      deployerFeeScale=1.0 → trader 2x, HL keeps 1× base</t>
  </si>
  <si>
    <t xml:space="preserve">  flx (Felix):          deployerFeeScale=1.0 → trader 2x, HL keeps 1× base</t>
  </si>
  <si>
    <t xml:space="preserve">  vntl (Ventuals):      deployerFeeScale=1.0 → trader 2x, HL keeps 1× base</t>
  </si>
  <si>
    <t xml:space="preserve">  hyna (HyENA):         deployerFeeScale=0.1111 → trader 1.111x, HL keeps 1× base, deployer 0.111× base</t>
  </si>
  <si>
    <t xml:space="preserve">  km (Kinetiq):         deployerFeeScale=1.0 → trader 2x, HL keeps 1× base</t>
  </si>
  <si>
    <t xml:space="preserve">  cash (dreamcash):     deployerFeeScale=1.0 → trader 2x, HL keeps 1× base</t>
  </si>
  <si>
    <t xml:space="preserve">  para (Paragon):       deployerFeeScale=1.0 → trader 2x, HL keeps 1× base</t>
  </si>
  <si>
    <t xml:space="preserve">  abcd (ABCDEx):        deployerFeeScale=1.0 (only 1 delisted asset)</t>
  </si>
  <si>
    <t xml:space="preserve">Growth Mode active on 132 of 179 HIP-3 assets (~74%) as of May 20 2026</t>
  </si>
  <si>
    <t xml:space="preserve">HIP-4 STATUS</t>
  </si>
  <si>
    <t xml:space="preserve">Mainnet launch: 2026-05-02. Currently zero-fee testing.</t>
  </si>
  <si>
    <t xml:space="preserve">Contributes $0 to daily fees as of May 20 2026 per Hyperliquid HIP-4 docs.</t>
  </si>
  <si>
    <t xml:space="preserve">HLP TRANSITION (3% → 1%)</t>
  </si>
  <si>
    <t xml:space="preserve">Empirically determined transition date: 2025-08-31</t>
  </si>
  <si>
    <t xml:space="preserve">  Aug 30 2025 and earlier: HLP / DL_revenue ratio = 3.0928% exactly = 3/97</t>
  </si>
  <si>
    <t xml:space="preserve">  Aug 31 2025 onwards:     HLP / DL_revenue ratio = 1.0101% exactly = 1/99</t>
  </si>
  <si>
    <t xml:space="preserve">SUPPLY DYNAMICS</t>
  </si>
  <si>
    <t xml:space="preserve">Issuance: Per Hyperliquid staking docs, APR(S) = AprCoef/√S, calibrated so that at S=400M staked, APR ≈ 2.37% → AprCoef = 474.</t>
  </si>
  <si>
    <t xml:space="preserve">Daily issuance = total_staked × APR / 365. Rewards come from the Future Emissions reserve (~38.888% of 1B supply).</t>
  </si>
  <si>
    <t xml:space="preserve">Total staked over time linearly interpolated between known anchors (Dec 30 2024: ~301M; Apr 2025: ~377M; Oct 2025: ~402M; May 20 2026: 435.58M from validatorSummaries API).</t>
  </si>
  <si>
    <t xml:space="preserve">Burns: AF buybacks treated as effective burn post the Dec 2025 Foundation proposal.</t>
  </si>
  <si>
    <t xml:space="preserve">Cumulative since DL coverage (Dec 23 2024): ~13M HYPE issued vs ~36.4M HYPE bought/burned → ~23M HYPE net deflation.</t>
  </si>
  <si>
    <t xml:space="preserve">HLP DOUBLECOUNT WARNING</t>
  </si>
  <si>
    <t xml:space="preserve">DefiLlama exposes HLP as a separate entity but it is flagged `doublecounted: true` in its adapter.</t>
  </si>
  <si>
    <t xml:space="preserve">-&gt; Do NOT add the HLP entity's "Fees" line to Perps + Spot. The HLP slice is already inside both.</t>
  </si>
  <si>
    <t xml:space="preserve">-&gt; Total fees = Perps fees + Spot fees ONLY. Column J (HLP) is shown for reference but never added.</t>
  </si>
  <si>
    <t xml:space="preserve">LIMITATIONS</t>
  </si>
  <si>
    <t xml:space="preserve">1. The "Implied core bps" column drifts upward post-HIP-3 (from 2.9 → ~4.0+) because actual user fee tiers and discounts shifted; the model uses a flat 2.897 bps baseline calibrated to pre-HIP-3.</t>
  </si>
  <si>
    <t xml:space="preserve">2. "Modeled HL slice from HIP-3" therefore underestimates the actual HL slice in DL Perps. Treat as a directional lower bound, not an exact match.</t>
  </si>
  <si>
    <t xml:space="preserve">3. Total staked HYPE pre-anchor dates is interpolated; daily issuance error band ±5%.</t>
  </si>
  <si>
    <t xml:space="preserve">4. ASXN/Loris/tokenomist daily buyback dashboards are protected by Cloudflare Turnstile and could not be queried programmatically. DefiLlama holdersRevenue is the same quantity.</t>
  </si>
  <si>
    <t xml:space="preserve">5. Hypurrscan vs DefiLlama daily fees agree to ~92% on median (snapshot-timing noise, not methodology disagreement).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</si>
</sst>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%"/>
    <numFmt numFmtId="166" formatCode="0.000"/>
    <numFmt numFmtId="167" formatCode="0.00%"/>
    <numFmt numFmtId="168" formatCode="0.0000"/>
    <numFmt numFmtId="169" formatCode="0.0%"/>
    <numFmt numFmtId="170" formatCode="yyyy\-mm\-dd"/>
    <numFmt numFmtId="171" formatCode="0"/>
    <numFmt numFmtId="172" formatCode="d&quot;at&quot;e"/>
    <numFmt numFmtId="173" formatCode="\$#,##0;&quot;($&quot;#,##0\);\-"/>
    <numFmt numFmtId="174" formatCode="#,##0;\(#,##0\);\-"/>
    <numFmt numFmtId="175" formatCode="\$#,##0;&quot;($&quot;#,##0\);0"/>
    <numFmt numFmtId="176" formatCode="\$#,##0.0000"/>
    <numFmt numFmtId="177" formatCode="#,##0;\-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sz val="9"/>
      <name val="Courier New"/>
      <family val="0"/>
      <charset val="1"/>
    </font>
    <font>
      <i val="true"/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9"/>
      <name val="Cambria"/>
      <family val="0"/>
      <charset val="1"/>
    </font>
    <font>
      <sz val="9"/>
      <name val="Cambria"/>
      <family val="0"/>
      <charset val="1"/>
    </font>
    <font>
      <sz val="9"/>
      <color rgb="FF0000FF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D9E1F2"/>
        <bgColor rgb="FFCCFFFF"/>
      </patternFill>
    </fill>
    <fill>
      <patternFill patternType="solid">
        <fgColor rgb="FFFFF9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80"/>
    <col collapsed="false" customWidth="true" hidden="false" outlineLevel="0" max="5" min="5" style="0" width="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" hidden="false" customHeight="false" outlineLevel="0" collapsed="false">
      <c r="A4" s="4" t="s">
        <v>7</v>
      </c>
    </row>
    <row r="5" customFormat="false" ht="15" hidden="false" customHeight="false" outlineLevel="0" collapsed="false">
      <c r="A5" s="0" t="s">
        <v>8</v>
      </c>
      <c r="B5" s="5" t="n">
        <v>0.00045</v>
      </c>
      <c r="C5" s="6" t="s">
        <v>9</v>
      </c>
      <c r="D5" s="7" t="s">
        <v>10</v>
      </c>
      <c r="E5" s="8" t="s">
        <v>11</v>
      </c>
    </row>
    <row r="6" customFormat="false" ht="15" hidden="false" customHeight="false" outlineLevel="0" collapsed="false">
      <c r="A6" s="0" t="s">
        <v>12</v>
      </c>
      <c r="B6" s="5" t="n">
        <v>0.00015</v>
      </c>
      <c r="C6" s="6" t="s">
        <v>9</v>
      </c>
      <c r="D6" s="7" t="s">
        <v>13</v>
      </c>
      <c r="E6" s="8" t="s">
        <v>14</v>
      </c>
    </row>
    <row r="7" customFormat="false" ht="15" hidden="false" customHeight="false" outlineLevel="0" collapsed="false">
      <c r="A7" s="0" t="s">
        <v>15</v>
      </c>
      <c r="B7" s="9" t="n">
        <v>2.897</v>
      </c>
      <c r="C7" s="6" t="s">
        <v>16</v>
      </c>
      <c r="D7" s="7" t="s">
        <v>17</v>
      </c>
      <c r="E7" s="8" t="s">
        <v>18</v>
      </c>
    </row>
    <row r="8" customFormat="false" ht="15" hidden="false" customHeight="false" outlineLevel="0" collapsed="false">
      <c r="A8" s="0" t="s">
        <v>19</v>
      </c>
      <c r="B8" s="10" t="n">
        <v>0.1</v>
      </c>
      <c r="C8" s="6" t="s">
        <v>20</v>
      </c>
      <c r="D8" s="7" t="s">
        <v>21</v>
      </c>
      <c r="E8" s="8" t="s">
        <v>22</v>
      </c>
    </row>
    <row r="10" customFormat="false" ht="15" hidden="false" customHeight="false" outlineLevel="0" collapsed="false">
      <c r="A10" s="4" t="s">
        <v>23</v>
      </c>
    </row>
    <row r="11" customFormat="false" ht="15" hidden="false" customHeight="false" outlineLevel="0" collapsed="false">
      <c r="A11" s="0" t="s">
        <v>24</v>
      </c>
      <c r="B11" s="11" t="n">
        <v>2</v>
      </c>
      <c r="C11" s="6" t="s">
        <v>25</v>
      </c>
      <c r="D11" s="7" t="s">
        <v>26</v>
      </c>
      <c r="E11" s="8" t="s">
        <v>27</v>
      </c>
    </row>
    <row r="12" customFormat="false" ht="15" hidden="false" customHeight="false" outlineLevel="0" collapsed="false">
      <c r="A12" s="0" t="s">
        <v>28</v>
      </c>
      <c r="B12" s="10" t="n">
        <v>0.5</v>
      </c>
      <c r="C12" s="6" t="s">
        <v>20</v>
      </c>
      <c r="D12" s="7" t="s">
        <v>29</v>
      </c>
      <c r="E12" s="8" t="s">
        <v>30</v>
      </c>
    </row>
    <row r="13" customFormat="false" ht="15" hidden="false" customHeight="false" outlineLevel="0" collapsed="false">
      <c r="A13" s="0" t="s">
        <v>31</v>
      </c>
      <c r="B13" s="11" t="n">
        <v>1.1111</v>
      </c>
      <c r="C13" s="6" t="s">
        <v>25</v>
      </c>
      <c r="D13" s="7" t="s">
        <v>32</v>
      </c>
      <c r="E13" s="8" t="s">
        <v>33</v>
      </c>
    </row>
    <row r="14" customFormat="false" ht="15" hidden="false" customHeight="false" outlineLevel="0" collapsed="false">
      <c r="A14" s="0" t="s">
        <v>34</v>
      </c>
      <c r="B14" s="12" t="n">
        <v>0.9</v>
      </c>
      <c r="C14" s="6" t="s">
        <v>35</v>
      </c>
      <c r="D14" s="7" t="s">
        <v>36</v>
      </c>
      <c r="E14" s="8" t="s">
        <v>37</v>
      </c>
    </row>
    <row r="16" customFormat="false" ht="28.35" hidden="false" customHeight="false" outlineLevel="0" collapsed="false">
      <c r="A16" s="0" t="s">
        <v>38</v>
      </c>
      <c r="B16" s="10" t="n">
        <v>0.03</v>
      </c>
      <c r="C16" s="6" t="s">
        <v>20</v>
      </c>
      <c r="D16" s="7" t="s">
        <v>39</v>
      </c>
      <c r="E16" s="8" t="s">
        <v>40</v>
      </c>
    </row>
    <row r="17" customFormat="false" ht="15" hidden="false" customHeight="false" outlineLevel="0" collapsed="false">
      <c r="A17" s="0" t="s">
        <v>41</v>
      </c>
      <c r="B17" s="10" t="n">
        <v>0.01</v>
      </c>
      <c r="C17" s="6" t="s">
        <v>20</v>
      </c>
      <c r="D17" s="7" t="s">
        <v>42</v>
      </c>
      <c r="E17" s="8" t="s">
        <v>43</v>
      </c>
    </row>
    <row r="18" customFormat="false" ht="15" hidden="false" customHeight="false" outlineLevel="0" collapsed="false">
      <c r="A18" s="0" t="s">
        <v>44</v>
      </c>
      <c r="B18" s="13" t="n">
        <v>45900</v>
      </c>
      <c r="C18" s="6" t="s">
        <v>45</v>
      </c>
      <c r="D18" s="7" t="s">
        <v>46</v>
      </c>
      <c r="E18" s="8" t="s">
        <v>47</v>
      </c>
    </row>
    <row r="20" customFormat="false" ht="15" hidden="false" customHeight="false" outlineLevel="0" collapsed="false">
      <c r="A20" s="0" t="s">
        <v>48</v>
      </c>
      <c r="B20" s="10" t="n">
        <v>0.99</v>
      </c>
      <c r="C20" s="6" t="s">
        <v>20</v>
      </c>
      <c r="D20" s="7" t="s">
        <v>49</v>
      </c>
      <c r="E20" s="8" t="s">
        <v>50</v>
      </c>
    </row>
    <row r="22" customFormat="false" ht="15" hidden="false" customHeight="false" outlineLevel="0" collapsed="false">
      <c r="A22" s="4" t="s">
        <v>51</v>
      </c>
    </row>
    <row r="23" customFormat="false" ht="15" hidden="false" customHeight="false" outlineLevel="0" collapsed="false">
      <c r="A23" s="0" t="s">
        <v>52</v>
      </c>
      <c r="B23" s="13" t="n">
        <v>45943</v>
      </c>
      <c r="C23" s="6" t="s">
        <v>45</v>
      </c>
      <c r="D23" s="7" t="s">
        <v>53</v>
      </c>
      <c r="E23" s="8" t="s">
        <v>54</v>
      </c>
    </row>
    <row r="24" customFormat="false" ht="15" hidden="false" customHeight="false" outlineLevel="0" collapsed="false">
      <c r="A24" s="0" t="s">
        <v>55</v>
      </c>
      <c r="B24" s="13" t="n">
        <v>45980</v>
      </c>
      <c r="C24" s="6" t="s">
        <v>45</v>
      </c>
      <c r="D24" s="7" t="s">
        <v>56</v>
      </c>
      <c r="E24" s="8" t="s">
        <v>57</v>
      </c>
    </row>
    <row r="25" customFormat="false" ht="15" hidden="false" customHeight="false" outlineLevel="0" collapsed="false">
      <c r="A25" s="0" t="s">
        <v>58</v>
      </c>
      <c r="B25" s="13" t="n">
        <v>46144</v>
      </c>
      <c r="C25" s="6" t="s">
        <v>45</v>
      </c>
      <c r="D25" s="7" t="s">
        <v>59</v>
      </c>
      <c r="E25" s="8" t="s">
        <v>60</v>
      </c>
    </row>
    <row r="26" customFormat="false" ht="28.35" hidden="false" customHeight="false" outlineLevel="0" collapsed="false">
      <c r="A26" s="0" t="s">
        <v>61</v>
      </c>
      <c r="B26" s="5" t="n">
        <v>0</v>
      </c>
      <c r="C26" s="6" t="s">
        <v>9</v>
      </c>
      <c r="D26" s="7" t="s">
        <v>62</v>
      </c>
      <c r="E26" s="8" t="s">
        <v>63</v>
      </c>
    </row>
    <row r="28" customFormat="false" ht="15" hidden="false" customHeight="false" outlineLevel="0" collapsed="false">
      <c r="A28" s="4" t="s">
        <v>64</v>
      </c>
    </row>
    <row r="29" customFormat="false" ht="15" hidden="false" customHeight="false" outlineLevel="0" collapsed="false">
      <c r="A29" s="0" t="s">
        <v>65</v>
      </c>
      <c r="B29" s="14" t="n">
        <v>474</v>
      </c>
      <c r="C29" s="6" t="s">
        <v>66</v>
      </c>
      <c r="D29" s="7" t="s">
        <v>67</v>
      </c>
      <c r="E29" s="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44" min="2" style="0" width="14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15" t="s">
        <v>70</v>
      </c>
    </row>
    <row r="3" customFormat="false" ht="15" hidden="false" customHeight="false" outlineLevel="0" collapsed="false">
      <c r="A3" s="16" t="s">
        <v>71</v>
      </c>
    </row>
    <row r="4" customFormat="false" ht="43.25" hidden="false" customHeight="false" outlineLevel="0" collapsed="false">
      <c r="A4" s="17" t="s">
        <v>72</v>
      </c>
      <c r="B4" s="17" t="s">
        <v>73</v>
      </c>
      <c r="C4" s="17" t="s">
        <v>74</v>
      </c>
      <c r="D4" s="17" t="s">
        <v>75</v>
      </c>
      <c r="E4" s="17" t="s">
        <v>76</v>
      </c>
      <c r="F4" s="17" t="s">
        <v>77</v>
      </c>
      <c r="G4" s="17" t="s">
        <v>78</v>
      </c>
      <c r="H4" s="17" t="s">
        <v>79</v>
      </c>
      <c r="I4" s="17" t="s">
        <v>80</v>
      </c>
      <c r="J4" s="17" t="s">
        <v>81</v>
      </c>
      <c r="K4" s="17" t="s">
        <v>82</v>
      </c>
      <c r="L4" s="17" t="s">
        <v>83</v>
      </c>
      <c r="M4" s="17" t="s">
        <v>84</v>
      </c>
      <c r="N4" s="17" t="s">
        <v>85</v>
      </c>
      <c r="O4" s="17" t="s">
        <v>86</v>
      </c>
      <c r="P4" s="17" t="s">
        <v>87</v>
      </c>
      <c r="Q4" s="17" t="s">
        <v>88</v>
      </c>
      <c r="R4" s="17" t="s">
        <v>89</v>
      </c>
      <c r="S4" s="17" t="s">
        <v>90</v>
      </c>
      <c r="T4" s="17" t="s">
        <v>91</v>
      </c>
      <c r="U4" s="17" t="s">
        <v>92</v>
      </c>
      <c r="V4" s="17" t="s">
        <v>93</v>
      </c>
      <c r="W4" s="17" t="s">
        <v>94</v>
      </c>
      <c r="X4" s="17" t="s">
        <v>95</v>
      </c>
      <c r="Y4" s="17" t="s">
        <v>96</v>
      </c>
      <c r="Z4" s="17" t="s">
        <v>97</v>
      </c>
      <c r="AA4" s="17" t="s">
        <v>98</v>
      </c>
      <c r="AB4" s="17" t="s">
        <v>99</v>
      </c>
      <c r="AC4" s="17" t="s">
        <v>100</v>
      </c>
      <c r="AD4" s="17" t="s">
        <v>101</v>
      </c>
      <c r="AE4" s="17" t="s">
        <v>102</v>
      </c>
      <c r="AF4" s="17" t="s">
        <v>103</v>
      </c>
      <c r="AG4" s="17" t="s">
        <v>104</v>
      </c>
      <c r="AH4" s="17" t="s">
        <v>105</v>
      </c>
      <c r="AI4" s="17" t="s">
        <v>106</v>
      </c>
      <c r="AJ4" s="17" t="s">
        <v>107</v>
      </c>
      <c r="AK4" s="17" t="s">
        <v>108</v>
      </c>
      <c r="AL4" s="17" t="s">
        <v>109</v>
      </c>
      <c r="AM4" s="17" t="s">
        <v>110</v>
      </c>
      <c r="AN4" s="17" t="s">
        <v>111</v>
      </c>
      <c r="AO4" s="17" t="s">
        <v>112</v>
      </c>
      <c r="AP4" s="17" t="s">
        <v>113</v>
      </c>
      <c r="AQ4" s="17" t="s">
        <v>114</v>
      </c>
      <c r="AR4" s="17" t="s">
        <v>115</v>
      </c>
    </row>
    <row r="5" customFormat="false" ht="15" hidden="false" customHeight="false" outlineLevel="0" collapsed="false">
      <c r="A5" s="18" t="n">
        <v>45066</v>
      </c>
      <c r="B5" s="19" t="n">
        <v>148964338.67</v>
      </c>
      <c r="C5" s="19" t="n">
        <v>0</v>
      </c>
      <c r="D5" s="20"/>
      <c r="E5" s="21" t="n">
        <f aca="false">B5+C5</f>
        <v>148964338.67</v>
      </c>
      <c r="F5" s="21" t="n">
        <f aca="false">E5+D5</f>
        <v>148964338.67</v>
      </c>
      <c r="G5" s="22" t="n">
        <f aca="false">IFERROR(C5/E5,0)</f>
        <v>0</v>
      </c>
      <c r="H5" s="20"/>
      <c r="I5" s="20"/>
      <c r="J5" s="20"/>
      <c r="K5" s="21" t="n">
        <f aca="false">H5+I5</f>
        <v>0</v>
      </c>
      <c r="L5" s="20"/>
      <c r="M5" s="21" t="n">
        <f aca="false">H5-L5</f>
        <v>0</v>
      </c>
      <c r="N5" s="23" t="n">
        <f aca="false">IFERROR(M5/B5*10000,0)</f>
        <v>0</v>
      </c>
      <c r="O5" s="20"/>
      <c r="P5" s="20"/>
      <c r="Q5" s="21" t="n">
        <f aca="false">O5+P5</f>
        <v>0</v>
      </c>
      <c r="R5" s="22" t="n">
        <f aca="false">IF(A5&lt;HlpChangeDate,HlpSharePre,HlpSharePost)</f>
        <v>0.03</v>
      </c>
      <c r="S5" s="21" t="n">
        <f aca="false">Q5*R5/(1-R5)</f>
        <v>0</v>
      </c>
      <c r="T5" s="20"/>
      <c r="U5" s="21" t="n">
        <f aca="false">S5-T5</f>
        <v>0</v>
      </c>
      <c r="V5" s="21" t="n">
        <f aca="false">Y5-O5*R5/(1-R5)</f>
        <v>0</v>
      </c>
      <c r="W5" s="21" t="n">
        <f aca="false">Z5-P5*R5/(1-R5)</f>
        <v>0</v>
      </c>
      <c r="X5" s="21" t="n">
        <f aca="false">S5+V5+W5</f>
        <v>0</v>
      </c>
      <c r="Y5" s="20"/>
      <c r="Z5" s="20"/>
      <c r="AA5" s="19" t="n">
        <v>0</v>
      </c>
      <c r="AB5" s="20"/>
      <c r="AC5" s="20"/>
      <c r="AD5" s="24" t="n">
        <f aca="false">IFERROR(AA5/AC5,0)</f>
        <v>0</v>
      </c>
      <c r="AE5" s="25" t="n">
        <f aca="false">K5-Q5-X5</f>
        <v>0</v>
      </c>
      <c r="AF5" s="25" t="n">
        <f aca="false">Q5-AA5</f>
        <v>0</v>
      </c>
      <c r="AG5" s="20"/>
      <c r="AH5" s="26" t="n">
        <f aca="false">IFERROR(AG5/Q5,0)</f>
        <v>0</v>
      </c>
      <c r="AI5" s="27" t="n">
        <v>0</v>
      </c>
      <c r="AJ5" s="26" t="n">
        <f aca="false">IF(AI5&gt;0,AprCoef/SQRT(AI5),0)</f>
        <v>0</v>
      </c>
      <c r="AK5" s="24" t="n">
        <f aca="false">AI5*AJ5/365</f>
        <v>0</v>
      </c>
      <c r="AL5" s="24" t="n">
        <f aca="false">AD5</f>
        <v>0</v>
      </c>
      <c r="AM5" s="24" t="n">
        <f aca="false">AK5-AL5</f>
        <v>0</v>
      </c>
      <c r="AN5" s="28" t="str">
        <f aca="false">IF(A5&gt;=Hip3LaunchDate,"YES","")</f>
        <v/>
      </c>
      <c r="AO5" s="28" t="str">
        <f aca="false">IF(A5&lt;Hip4LaunchDate,"pre-launch","live (zero-fee)")</f>
        <v>pre-launch</v>
      </c>
      <c r="AP5" s="20"/>
      <c r="AQ5" s="20"/>
      <c r="AR5" s="20"/>
    </row>
    <row r="6" customFormat="false" ht="15" hidden="false" customHeight="false" outlineLevel="0" collapsed="false">
      <c r="A6" s="18" t="n">
        <v>45067</v>
      </c>
      <c r="B6" s="19" t="n">
        <v>178173809.7</v>
      </c>
      <c r="C6" s="19" t="n">
        <v>0</v>
      </c>
      <c r="D6" s="20"/>
      <c r="E6" s="21" t="n">
        <f aca="false">B6+C6</f>
        <v>178173809.7</v>
      </c>
      <c r="F6" s="21" t="n">
        <f aca="false">E6+D6</f>
        <v>178173809.7</v>
      </c>
      <c r="G6" s="22" t="n">
        <f aca="false">IFERROR(C6/E6,0)</f>
        <v>0</v>
      </c>
      <c r="H6" s="20"/>
      <c r="I6" s="20"/>
      <c r="J6" s="20"/>
      <c r="K6" s="21" t="n">
        <f aca="false">H6+I6</f>
        <v>0</v>
      </c>
      <c r="L6" s="20"/>
      <c r="M6" s="21" t="n">
        <f aca="false">H6-L6</f>
        <v>0</v>
      </c>
      <c r="N6" s="23" t="n">
        <f aca="false">IFERROR(M6/B6*10000,0)</f>
        <v>0</v>
      </c>
      <c r="O6" s="20"/>
      <c r="P6" s="20"/>
      <c r="Q6" s="21" t="n">
        <f aca="false">O6+P6</f>
        <v>0</v>
      </c>
      <c r="R6" s="22" t="n">
        <f aca="false">IF(A6&lt;HlpChangeDate,HlpSharePre,HlpSharePost)</f>
        <v>0.03</v>
      </c>
      <c r="S6" s="21" t="n">
        <f aca="false">Q6*R6/(1-R6)</f>
        <v>0</v>
      </c>
      <c r="T6" s="20"/>
      <c r="U6" s="21" t="n">
        <f aca="false">S6-T6</f>
        <v>0</v>
      </c>
      <c r="V6" s="21" t="n">
        <f aca="false">Y6-O6*R6/(1-R6)</f>
        <v>0</v>
      </c>
      <c r="W6" s="21" t="n">
        <f aca="false">Z6-P6*R6/(1-R6)</f>
        <v>0</v>
      </c>
      <c r="X6" s="21" t="n">
        <f aca="false">S6+V6+W6</f>
        <v>0</v>
      </c>
      <c r="Y6" s="20"/>
      <c r="Z6" s="20"/>
      <c r="AA6" s="19" t="n">
        <v>0</v>
      </c>
      <c r="AB6" s="20"/>
      <c r="AC6" s="20"/>
      <c r="AD6" s="24" t="n">
        <f aca="false">IFERROR(AA6/AC6,0)</f>
        <v>0</v>
      </c>
      <c r="AE6" s="25" t="n">
        <f aca="false">K6-Q6-X6</f>
        <v>0</v>
      </c>
      <c r="AF6" s="25" t="n">
        <f aca="false">Q6-AA6</f>
        <v>0</v>
      </c>
      <c r="AG6" s="20"/>
      <c r="AH6" s="26" t="n">
        <f aca="false">IFERROR(AG6/Q6,0)</f>
        <v>0</v>
      </c>
      <c r="AI6" s="27" t="n">
        <v>0</v>
      </c>
      <c r="AJ6" s="26" t="n">
        <f aca="false">IF(AI6&gt;0,AprCoef/SQRT(AI6),0)</f>
        <v>0</v>
      </c>
      <c r="AK6" s="24" t="n">
        <f aca="false">AI6*AJ6/365</f>
        <v>0</v>
      </c>
      <c r="AL6" s="24" t="n">
        <f aca="false">AD6</f>
        <v>0</v>
      </c>
      <c r="AM6" s="24" t="n">
        <f aca="false">AK6-AL6</f>
        <v>0</v>
      </c>
      <c r="AN6" s="28" t="str">
        <f aca="false">IF(A6&gt;=Hip3LaunchDate,"YES","")</f>
        <v/>
      </c>
      <c r="AO6" s="28" t="str">
        <f aca="false">IF(A6&lt;Hip4LaunchDate,"pre-launch","live (zero-fee)")</f>
        <v>pre-launch</v>
      </c>
      <c r="AP6" s="20"/>
      <c r="AQ6" s="20"/>
      <c r="AR6" s="20"/>
    </row>
    <row r="7" customFormat="false" ht="15" hidden="false" customHeight="false" outlineLevel="0" collapsed="false">
      <c r="A7" s="18" t="n">
        <v>45068</v>
      </c>
      <c r="B7" s="19" t="n">
        <v>203812892.81</v>
      </c>
      <c r="C7" s="19" t="n">
        <v>0</v>
      </c>
      <c r="D7" s="20"/>
      <c r="E7" s="21" t="n">
        <f aca="false">B7+C7</f>
        <v>203812892.81</v>
      </c>
      <c r="F7" s="21" t="n">
        <f aca="false">E7+D7</f>
        <v>203812892.81</v>
      </c>
      <c r="G7" s="22" t="n">
        <f aca="false">IFERROR(C7/E7,0)</f>
        <v>0</v>
      </c>
      <c r="H7" s="20"/>
      <c r="I7" s="20"/>
      <c r="J7" s="20"/>
      <c r="K7" s="21" t="n">
        <f aca="false">H7+I7</f>
        <v>0</v>
      </c>
      <c r="L7" s="20"/>
      <c r="M7" s="21" t="n">
        <f aca="false">H7-L7</f>
        <v>0</v>
      </c>
      <c r="N7" s="23" t="n">
        <f aca="false">IFERROR(M7/B7*10000,0)</f>
        <v>0</v>
      </c>
      <c r="O7" s="20"/>
      <c r="P7" s="20"/>
      <c r="Q7" s="21" t="n">
        <f aca="false">O7+P7</f>
        <v>0</v>
      </c>
      <c r="R7" s="22" t="n">
        <f aca="false">IF(A7&lt;HlpChangeDate,HlpSharePre,HlpSharePost)</f>
        <v>0.03</v>
      </c>
      <c r="S7" s="21" t="n">
        <f aca="false">Q7*R7/(1-R7)</f>
        <v>0</v>
      </c>
      <c r="T7" s="20"/>
      <c r="U7" s="21" t="n">
        <f aca="false">S7-T7</f>
        <v>0</v>
      </c>
      <c r="V7" s="21" t="n">
        <f aca="false">Y7-O7*R7/(1-R7)</f>
        <v>0</v>
      </c>
      <c r="W7" s="21" t="n">
        <f aca="false">Z7-P7*R7/(1-R7)</f>
        <v>0</v>
      </c>
      <c r="X7" s="21" t="n">
        <f aca="false">S7+V7+W7</f>
        <v>0</v>
      </c>
      <c r="Y7" s="20"/>
      <c r="Z7" s="20"/>
      <c r="AA7" s="19" t="n">
        <v>0</v>
      </c>
      <c r="AB7" s="20"/>
      <c r="AC7" s="20"/>
      <c r="AD7" s="24" t="n">
        <f aca="false">IFERROR(AA7/AC7,0)</f>
        <v>0</v>
      </c>
      <c r="AE7" s="25" t="n">
        <f aca="false">K7-Q7-X7</f>
        <v>0</v>
      </c>
      <c r="AF7" s="25" t="n">
        <f aca="false">Q7-AA7</f>
        <v>0</v>
      </c>
      <c r="AG7" s="20"/>
      <c r="AH7" s="26" t="n">
        <f aca="false">IFERROR(AG7/Q7,0)</f>
        <v>0</v>
      </c>
      <c r="AI7" s="27" t="n">
        <v>0</v>
      </c>
      <c r="AJ7" s="26" t="n">
        <f aca="false">IF(AI7&gt;0,AprCoef/SQRT(AI7),0)</f>
        <v>0</v>
      </c>
      <c r="AK7" s="24" t="n">
        <f aca="false">AI7*AJ7/365</f>
        <v>0</v>
      </c>
      <c r="AL7" s="24" t="n">
        <f aca="false">AD7</f>
        <v>0</v>
      </c>
      <c r="AM7" s="24" t="n">
        <f aca="false">AK7-AL7</f>
        <v>0</v>
      </c>
      <c r="AN7" s="28" t="str">
        <f aca="false">IF(A7&gt;=Hip3LaunchDate,"YES","")</f>
        <v/>
      </c>
      <c r="AO7" s="28" t="str">
        <f aca="false">IF(A7&lt;Hip4LaunchDate,"pre-launch","live (zero-fee)")</f>
        <v>pre-launch</v>
      </c>
      <c r="AP7" s="20"/>
      <c r="AQ7" s="20"/>
      <c r="AR7" s="20"/>
    </row>
    <row r="8" customFormat="false" ht="15" hidden="false" customHeight="false" outlineLevel="0" collapsed="false">
      <c r="A8" s="18" t="n">
        <v>45069</v>
      </c>
      <c r="B8" s="19" t="n">
        <v>238463179.25</v>
      </c>
      <c r="C8" s="19" t="n">
        <v>0</v>
      </c>
      <c r="D8" s="20"/>
      <c r="E8" s="21" t="n">
        <f aca="false">B8+C8</f>
        <v>238463179.25</v>
      </c>
      <c r="F8" s="21" t="n">
        <f aca="false">E8+D8</f>
        <v>238463179.25</v>
      </c>
      <c r="G8" s="22" t="n">
        <f aca="false">IFERROR(C8/E8,0)</f>
        <v>0</v>
      </c>
      <c r="H8" s="20"/>
      <c r="I8" s="20"/>
      <c r="J8" s="20"/>
      <c r="K8" s="21" t="n">
        <f aca="false">H8+I8</f>
        <v>0</v>
      </c>
      <c r="L8" s="20"/>
      <c r="M8" s="21" t="n">
        <f aca="false">H8-L8</f>
        <v>0</v>
      </c>
      <c r="N8" s="23" t="n">
        <f aca="false">IFERROR(M8/B8*10000,0)</f>
        <v>0</v>
      </c>
      <c r="O8" s="20"/>
      <c r="P8" s="20"/>
      <c r="Q8" s="21" t="n">
        <f aca="false">O8+P8</f>
        <v>0</v>
      </c>
      <c r="R8" s="22" t="n">
        <f aca="false">IF(A8&lt;HlpChangeDate,HlpSharePre,HlpSharePost)</f>
        <v>0.03</v>
      </c>
      <c r="S8" s="21" t="n">
        <f aca="false">Q8*R8/(1-R8)</f>
        <v>0</v>
      </c>
      <c r="T8" s="20"/>
      <c r="U8" s="21" t="n">
        <f aca="false">S8-T8</f>
        <v>0</v>
      </c>
      <c r="V8" s="21" t="n">
        <f aca="false">Y8-O8*R8/(1-R8)</f>
        <v>0</v>
      </c>
      <c r="W8" s="21" t="n">
        <f aca="false">Z8-P8*R8/(1-R8)</f>
        <v>0</v>
      </c>
      <c r="X8" s="21" t="n">
        <f aca="false">S8+V8+W8</f>
        <v>0</v>
      </c>
      <c r="Y8" s="20"/>
      <c r="Z8" s="20"/>
      <c r="AA8" s="19" t="n">
        <v>0</v>
      </c>
      <c r="AB8" s="20"/>
      <c r="AC8" s="20"/>
      <c r="AD8" s="24" t="n">
        <f aca="false">IFERROR(AA8/AC8,0)</f>
        <v>0</v>
      </c>
      <c r="AE8" s="25" t="n">
        <f aca="false">K8-Q8-X8</f>
        <v>0</v>
      </c>
      <c r="AF8" s="25" t="n">
        <f aca="false">Q8-AA8</f>
        <v>0</v>
      </c>
      <c r="AG8" s="20"/>
      <c r="AH8" s="26" t="n">
        <f aca="false">IFERROR(AG8/Q8,0)</f>
        <v>0</v>
      </c>
      <c r="AI8" s="27" t="n">
        <v>0</v>
      </c>
      <c r="AJ8" s="26" t="n">
        <f aca="false">IF(AI8&gt;0,AprCoef/SQRT(AI8),0)</f>
        <v>0</v>
      </c>
      <c r="AK8" s="24" t="n">
        <f aca="false">AI8*AJ8/365</f>
        <v>0</v>
      </c>
      <c r="AL8" s="24" t="n">
        <f aca="false">AD8</f>
        <v>0</v>
      </c>
      <c r="AM8" s="24" t="n">
        <f aca="false">AK8-AL8</f>
        <v>0</v>
      </c>
      <c r="AN8" s="28" t="str">
        <f aca="false">IF(A8&gt;=Hip3LaunchDate,"YES","")</f>
        <v/>
      </c>
      <c r="AO8" s="28" t="str">
        <f aca="false">IF(A8&lt;Hip4LaunchDate,"pre-launch","live (zero-fee)")</f>
        <v>pre-launch</v>
      </c>
      <c r="AP8" s="20"/>
      <c r="AQ8" s="20"/>
      <c r="AR8" s="20"/>
    </row>
    <row r="9" customFormat="false" ht="15" hidden="false" customHeight="false" outlineLevel="0" collapsed="false">
      <c r="A9" s="18" t="n">
        <v>45070</v>
      </c>
      <c r="B9" s="19" t="n">
        <v>469491974.06</v>
      </c>
      <c r="C9" s="19" t="n">
        <v>0</v>
      </c>
      <c r="D9" s="20"/>
      <c r="E9" s="21" t="n">
        <f aca="false">B9+C9</f>
        <v>469491974.06</v>
      </c>
      <c r="F9" s="21" t="n">
        <f aca="false">E9+D9</f>
        <v>469491974.06</v>
      </c>
      <c r="G9" s="22" t="n">
        <f aca="false">IFERROR(C9/E9,0)</f>
        <v>0</v>
      </c>
      <c r="H9" s="20"/>
      <c r="I9" s="20"/>
      <c r="J9" s="20"/>
      <c r="K9" s="21" t="n">
        <f aca="false">H9+I9</f>
        <v>0</v>
      </c>
      <c r="L9" s="20"/>
      <c r="M9" s="21" t="n">
        <f aca="false">H9-L9</f>
        <v>0</v>
      </c>
      <c r="N9" s="23" t="n">
        <f aca="false">IFERROR(M9/B9*10000,0)</f>
        <v>0</v>
      </c>
      <c r="O9" s="20"/>
      <c r="P9" s="20"/>
      <c r="Q9" s="21" t="n">
        <f aca="false">O9+P9</f>
        <v>0</v>
      </c>
      <c r="R9" s="22" t="n">
        <f aca="false">IF(A9&lt;HlpChangeDate,HlpSharePre,HlpSharePost)</f>
        <v>0.03</v>
      </c>
      <c r="S9" s="21" t="n">
        <f aca="false">Q9*R9/(1-R9)</f>
        <v>0</v>
      </c>
      <c r="T9" s="20"/>
      <c r="U9" s="21" t="n">
        <f aca="false">S9-T9</f>
        <v>0</v>
      </c>
      <c r="V9" s="21" t="n">
        <f aca="false">Y9-O9*R9/(1-R9)</f>
        <v>0</v>
      </c>
      <c r="W9" s="21" t="n">
        <f aca="false">Z9-P9*R9/(1-R9)</f>
        <v>0</v>
      </c>
      <c r="X9" s="21" t="n">
        <f aca="false">S9+V9+W9</f>
        <v>0</v>
      </c>
      <c r="Y9" s="20"/>
      <c r="Z9" s="20"/>
      <c r="AA9" s="19" t="n">
        <v>0</v>
      </c>
      <c r="AB9" s="20"/>
      <c r="AC9" s="20"/>
      <c r="AD9" s="24" t="n">
        <f aca="false">IFERROR(AA9/AC9,0)</f>
        <v>0</v>
      </c>
      <c r="AE9" s="25" t="n">
        <f aca="false">K9-Q9-X9</f>
        <v>0</v>
      </c>
      <c r="AF9" s="25" t="n">
        <f aca="false">Q9-AA9</f>
        <v>0</v>
      </c>
      <c r="AG9" s="20"/>
      <c r="AH9" s="26" t="n">
        <f aca="false">IFERROR(AG9/Q9,0)</f>
        <v>0</v>
      </c>
      <c r="AI9" s="27" t="n">
        <v>0</v>
      </c>
      <c r="AJ9" s="26" t="n">
        <f aca="false">IF(AI9&gt;0,AprCoef/SQRT(AI9),0)</f>
        <v>0</v>
      </c>
      <c r="AK9" s="24" t="n">
        <f aca="false">AI9*AJ9/365</f>
        <v>0</v>
      </c>
      <c r="AL9" s="24" t="n">
        <f aca="false">AD9</f>
        <v>0</v>
      </c>
      <c r="AM9" s="24" t="n">
        <f aca="false">AK9-AL9</f>
        <v>0</v>
      </c>
      <c r="AN9" s="28" t="str">
        <f aca="false">IF(A9&gt;=Hip3LaunchDate,"YES","")</f>
        <v/>
      </c>
      <c r="AO9" s="28" t="str">
        <f aca="false">IF(A9&lt;Hip4LaunchDate,"pre-launch","live (zero-fee)")</f>
        <v>pre-launch</v>
      </c>
      <c r="AP9" s="20"/>
      <c r="AQ9" s="20"/>
      <c r="AR9" s="20"/>
    </row>
    <row r="10" customFormat="false" ht="15" hidden="false" customHeight="false" outlineLevel="0" collapsed="false">
      <c r="A10" s="18" t="n">
        <v>45071</v>
      </c>
      <c r="B10" s="19" t="n">
        <v>651811236.34</v>
      </c>
      <c r="C10" s="19" t="n">
        <v>0</v>
      </c>
      <c r="D10" s="20"/>
      <c r="E10" s="21" t="n">
        <f aca="false">B10+C10</f>
        <v>651811236.34</v>
      </c>
      <c r="F10" s="21" t="n">
        <f aca="false">E10+D10</f>
        <v>651811236.34</v>
      </c>
      <c r="G10" s="22" t="n">
        <f aca="false">IFERROR(C10/E10,0)</f>
        <v>0</v>
      </c>
      <c r="H10" s="20"/>
      <c r="I10" s="20"/>
      <c r="J10" s="20"/>
      <c r="K10" s="21" t="n">
        <f aca="false">H10+I10</f>
        <v>0</v>
      </c>
      <c r="L10" s="20"/>
      <c r="M10" s="21" t="n">
        <f aca="false">H10-L10</f>
        <v>0</v>
      </c>
      <c r="N10" s="23" t="n">
        <f aca="false">IFERROR(M10/B10*10000,0)</f>
        <v>0</v>
      </c>
      <c r="O10" s="20"/>
      <c r="P10" s="20"/>
      <c r="Q10" s="21" t="n">
        <f aca="false">O10+P10</f>
        <v>0</v>
      </c>
      <c r="R10" s="22" t="n">
        <f aca="false">IF(A10&lt;HlpChangeDate,HlpSharePre,HlpSharePost)</f>
        <v>0.03</v>
      </c>
      <c r="S10" s="21" t="n">
        <f aca="false">Q10*R10/(1-R10)</f>
        <v>0</v>
      </c>
      <c r="T10" s="20"/>
      <c r="U10" s="21" t="n">
        <f aca="false">S10-T10</f>
        <v>0</v>
      </c>
      <c r="V10" s="21" t="n">
        <f aca="false">Y10-O10*R10/(1-R10)</f>
        <v>0</v>
      </c>
      <c r="W10" s="21" t="n">
        <f aca="false">Z10-P10*R10/(1-R10)</f>
        <v>0</v>
      </c>
      <c r="X10" s="21" t="n">
        <f aca="false">S10+V10+W10</f>
        <v>0</v>
      </c>
      <c r="Y10" s="20"/>
      <c r="Z10" s="20"/>
      <c r="AA10" s="19" t="n">
        <v>0</v>
      </c>
      <c r="AB10" s="20"/>
      <c r="AC10" s="20"/>
      <c r="AD10" s="24" t="n">
        <f aca="false">IFERROR(AA10/AC10,0)</f>
        <v>0</v>
      </c>
      <c r="AE10" s="25" t="n">
        <f aca="false">K10-Q10-X10</f>
        <v>0</v>
      </c>
      <c r="AF10" s="25" t="n">
        <f aca="false">Q10-AA10</f>
        <v>0</v>
      </c>
      <c r="AG10" s="20"/>
      <c r="AH10" s="26" t="n">
        <f aca="false">IFERROR(AG10/Q10,0)</f>
        <v>0</v>
      </c>
      <c r="AI10" s="27" t="n">
        <v>0</v>
      </c>
      <c r="AJ10" s="26" t="n">
        <f aca="false">IF(AI10&gt;0,AprCoef/SQRT(AI10),0)</f>
        <v>0</v>
      </c>
      <c r="AK10" s="24" t="n">
        <f aca="false">AI10*AJ10/365</f>
        <v>0</v>
      </c>
      <c r="AL10" s="24" t="n">
        <f aca="false">AD10</f>
        <v>0</v>
      </c>
      <c r="AM10" s="24" t="n">
        <f aca="false">AK10-AL10</f>
        <v>0</v>
      </c>
      <c r="AN10" s="28" t="str">
        <f aca="false">IF(A10&gt;=Hip3LaunchDate,"YES","")</f>
        <v/>
      </c>
      <c r="AO10" s="28" t="str">
        <f aca="false">IF(A10&lt;Hip4LaunchDate,"pre-launch","live (zero-fee)")</f>
        <v>pre-launch</v>
      </c>
      <c r="AP10" s="20"/>
      <c r="AQ10" s="20"/>
      <c r="AR10" s="20"/>
    </row>
    <row r="11" customFormat="false" ht="15" hidden="false" customHeight="false" outlineLevel="0" collapsed="false">
      <c r="A11" s="18" t="n">
        <v>45072</v>
      </c>
      <c r="B11" s="19" t="n">
        <v>635543236.41</v>
      </c>
      <c r="C11" s="19" t="n">
        <v>0</v>
      </c>
      <c r="D11" s="20"/>
      <c r="E11" s="21" t="n">
        <f aca="false">B11+C11</f>
        <v>635543236.41</v>
      </c>
      <c r="F11" s="21" t="n">
        <f aca="false">E11+D11</f>
        <v>635543236.41</v>
      </c>
      <c r="G11" s="22" t="n">
        <f aca="false">IFERROR(C11/E11,0)</f>
        <v>0</v>
      </c>
      <c r="H11" s="20"/>
      <c r="I11" s="20"/>
      <c r="J11" s="20"/>
      <c r="K11" s="21" t="n">
        <f aca="false">H11+I11</f>
        <v>0</v>
      </c>
      <c r="L11" s="20"/>
      <c r="M11" s="21" t="n">
        <f aca="false">H11-L11</f>
        <v>0</v>
      </c>
      <c r="N11" s="23" t="n">
        <f aca="false">IFERROR(M11/B11*10000,0)</f>
        <v>0</v>
      </c>
      <c r="O11" s="20"/>
      <c r="P11" s="20"/>
      <c r="Q11" s="21" t="n">
        <f aca="false">O11+P11</f>
        <v>0</v>
      </c>
      <c r="R11" s="22" t="n">
        <f aca="false">IF(A11&lt;HlpChangeDate,HlpSharePre,HlpSharePost)</f>
        <v>0.03</v>
      </c>
      <c r="S11" s="21" t="n">
        <f aca="false">Q11*R11/(1-R11)</f>
        <v>0</v>
      </c>
      <c r="T11" s="20"/>
      <c r="U11" s="21" t="n">
        <f aca="false">S11-T11</f>
        <v>0</v>
      </c>
      <c r="V11" s="21" t="n">
        <f aca="false">Y11-O11*R11/(1-R11)</f>
        <v>0</v>
      </c>
      <c r="W11" s="21" t="n">
        <f aca="false">Z11-P11*R11/(1-R11)</f>
        <v>0</v>
      </c>
      <c r="X11" s="21" t="n">
        <f aca="false">S11+V11+W11</f>
        <v>0</v>
      </c>
      <c r="Y11" s="20"/>
      <c r="Z11" s="20"/>
      <c r="AA11" s="19" t="n">
        <v>0</v>
      </c>
      <c r="AB11" s="20"/>
      <c r="AC11" s="20"/>
      <c r="AD11" s="24" t="n">
        <f aca="false">IFERROR(AA11/AC11,0)</f>
        <v>0</v>
      </c>
      <c r="AE11" s="25" t="n">
        <f aca="false">K11-Q11-X11</f>
        <v>0</v>
      </c>
      <c r="AF11" s="25" t="n">
        <f aca="false">Q11-AA11</f>
        <v>0</v>
      </c>
      <c r="AG11" s="20"/>
      <c r="AH11" s="26" t="n">
        <f aca="false">IFERROR(AG11/Q11,0)</f>
        <v>0</v>
      </c>
      <c r="AI11" s="27" t="n">
        <v>0</v>
      </c>
      <c r="AJ11" s="26" t="n">
        <f aca="false">IF(AI11&gt;0,AprCoef/SQRT(AI11),0)</f>
        <v>0</v>
      </c>
      <c r="AK11" s="24" t="n">
        <f aca="false">AI11*AJ11/365</f>
        <v>0</v>
      </c>
      <c r="AL11" s="24" t="n">
        <f aca="false">AD11</f>
        <v>0</v>
      </c>
      <c r="AM11" s="24" t="n">
        <f aca="false">AK11-AL11</f>
        <v>0</v>
      </c>
      <c r="AN11" s="28" t="str">
        <f aca="false">IF(A11&gt;=Hip3LaunchDate,"YES","")</f>
        <v/>
      </c>
      <c r="AO11" s="28" t="str">
        <f aca="false">IF(A11&lt;Hip4LaunchDate,"pre-launch","live (zero-fee)")</f>
        <v>pre-launch</v>
      </c>
      <c r="AP11" s="20"/>
      <c r="AQ11" s="20"/>
      <c r="AR11" s="20"/>
    </row>
    <row r="12" customFormat="false" ht="15" hidden="false" customHeight="false" outlineLevel="0" collapsed="false">
      <c r="A12" s="18" t="n">
        <v>45073</v>
      </c>
      <c r="B12" s="19" t="n">
        <v>629266368.53</v>
      </c>
      <c r="C12" s="19" t="n">
        <v>0</v>
      </c>
      <c r="D12" s="20"/>
      <c r="E12" s="21" t="n">
        <f aca="false">B12+C12</f>
        <v>629266368.53</v>
      </c>
      <c r="F12" s="21" t="n">
        <f aca="false">E12+D12</f>
        <v>629266368.53</v>
      </c>
      <c r="G12" s="22" t="n">
        <f aca="false">IFERROR(C12/E12,0)</f>
        <v>0</v>
      </c>
      <c r="H12" s="20"/>
      <c r="I12" s="20"/>
      <c r="J12" s="20"/>
      <c r="K12" s="21" t="n">
        <f aca="false">H12+I12</f>
        <v>0</v>
      </c>
      <c r="L12" s="20"/>
      <c r="M12" s="21" t="n">
        <f aca="false">H12-L12</f>
        <v>0</v>
      </c>
      <c r="N12" s="23" t="n">
        <f aca="false">IFERROR(M12/B12*10000,0)</f>
        <v>0</v>
      </c>
      <c r="O12" s="20"/>
      <c r="P12" s="20"/>
      <c r="Q12" s="21" t="n">
        <f aca="false">O12+P12</f>
        <v>0</v>
      </c>
      <c r="R12" s="22" t="n">
        <f aca="false">IF(A12&lt;HlpChangeDate,HlpSharePre,HlpSharePost)</f>
        <v>0.03</v>
      </c>
      <c r="S12" s="21" t="n">
        <f aca="false">Q12*R12/(1-R12)</f>
        <v>0</v>
      </c>
      <c r="T12" s="20"/>
      <c r="U12" s="21" t="n">
        <f aca="false">S12-T12</f>
        <v>0</v>
      </c>
      <c r="V12" s="21" t="n">
        <f aca="false">Y12-O12*R12/(1-R12)</f>
        <v>0</v>
      </c>
      <c r="W12" s="21" t="n">
        <f aca="false">Z12-P12*R12/(1-R12)</f>
        <v>0</v>
      </c>
      <c r="X12" s="21" t="n">
        <f aca="false">S12+V12+W12</f>
        <v>0</v>
      </c>
      <c r="Y12" s="20"/>
      <c r="Z12" s="20"/>
      <c r="AA12" s="19" t="n">
        <v>0</v>
      </c>
      <c r="AB12" s="20"/>
      <c r="AC12" s="20"/>
      <c r="AD12" s="24" t="n">
        <f aca="false">IFERROR(AA12/AC12,0)</f>
        <v>0</v>
      </c>
      <c r="AE12" s="25" t="n">
        <f aca="false">K12-Q12-X12</f>
        <v>0</v>
      </c>
      <c r="AF12" s="25" t="n">
        <f aca="false">Q12-AA12</f>
        <v>0</v>
      </c>
      <c r="AG12" s="20"/>
      <c r="AH12" s="26" t="n">
        <f aca="false">IFERROR(AG12/Q12,0)</f>
        <v>0</v>
      </c>
      <c r="AI12" s="27" t="n">
        <v>0</v>
      </c>
      <c r="AJ12" s="26" t="n">
        <f aca="false">IF(AI12&gt;0,AprCoef/SQRT(AI12),0)</f>
        <v>0</v>
      </c>
      <c r="AK12" s="24" t="n">
        <f aca="false">AI12*AJ12/365</f>
        <v>0</v>
      </c>
      <c r="AL12" s="24" t="n">
        <f aca="false">AD12</f>
        <v>0</v>
      </c>
      <c r="AM12" s="24" t="n">
        <f aca="false">AK12-AL12</f>
        <v>0</v>
      </c>
      <c r="AN12" s="28" t="str">
        <f aca="false">IF(A12&gt;=Hip3LaunchDate,"YES","")</f>
        <v/>
      </c>
      <c r="AO12" s="28" t="str">
        <f aca="false">IF(A12&lt;Hip4LaunchDate,"pre-launch","live (zero-fee)")</f>
        <v>pre-launch</v>
      </c>
      <c r="AP12" s="20"/>
      <c r="AQ12" s="20"/>
      <c r="AR12" s="20"/>
    </row>
    <row r="13" customFormat="false" ht="15" hidden="false" customHeight="false" outlineLevel="0" collapsed="false">
      <c r="A13" s="18" t="n">
        <v>45074</v>
      </c>
      <c r="B13" s="19" t="n">
        <v>1030286919.82</v>
      </c>
      <c r="C13" s="19" t="n">
        <v>0</v>
      </c>
      <c r="D13" s="20"/>
      <c r="E13" s="21" t="n">
        <f aca="false">B13+C13</f>
        <v>1030286919.82</v>
      </c>
      <c r="F13" s="21" t="n">
        <f aca="false">E13+D13</f>
        <v>1030286919.82</v>
      </c>
      <c r="G13" s="22" t="n">
        <f aca="false">IFERROR(C13/E13,0)</f>
        <v>0</v>
      </c>
      <c r="H13" s="20"/>
      <c r="I13" s="20"/>
      <c r="J13" s="20"/>
      <c r="K13" s="21" t="n">
        <f aca="false">H13+I13</f>
        <v>0</v>
      </c>
      <c r="L13" s="20"/>
      <c r="M13" s="21" t="n">
        <f aca="false">H13-L13</f>
        <v>0</v>
      </c>
      <c r="N13" s="23" t="n">
        <f aca="false">IFERROR(M13/B13*10000,0)</f>
        <v>0</v>
      </c>
      <c r="O13" s="20"/>
      <c r="P13" s="20"/>
      <c r="Q13" s="21" t="n">
        <f aca="false">O13+P13</f>
        <v>0</v>
      </c>
      <c r="R13" s="22" t="n">
        <f aca="false">IF(A13&lt;HlpChangeDate,HlpSharePre,HlpSharePost)</f>
        <v>0.03</v>
      </c>
      <c r="S13" s="21" t="n">
        <f aca="false">Q13*R13/(1-R13)</f>
        <v>0</v>
      </c>
      <c r="T13" s="20"/>
      <c r="U13" s="21" t="n">
        <f aca="false">S13-T13</f>
        <v>0</v>
      </c>
      <c r="V13" s="21" t="n">
        <f aca="false">Y13-O13*R13/(1-R13)</f>
        <v>0</v>
      </c>
      <c r="W13" s="21" t="n">
        <f aca="false">Z13-P13*R13/(1-R13)</f>
        <v>0</v>
      </c>
      <c r="X13" s="21" t="n">
        <f aca="false">S13+V13+W13</f>
        <v>0</v>
      </c>
      <c r="Y13" s="20"/>
      <c r="Z13" s="20"/>
      <c r="AA13" s="19" t="n">
        <v>0</v>
      </c>
      <c r="AB13" s="20"/>
      <c r="AC13" s="20"/>
      <c r="AD13" s="24" t="n">
        <f aca="false">IFERROR(AA13/AC13,0)</f>
        <v>0</v>
      </c>
      <c r="AE13" s="25" t="n">
        <f aca="false">K13-Q13-X13</f>
        <v>0</v>
      </c>
      <c r="AF13" s="25" t="n">
        <f aca="false">Q13-AA13</f>
        <v>0</v>
      </c>
      <c r="AG13" s="20"/>
      <c r="AH13" s="26" t="n">
        <f aca="false">IFERROR(AG13/Q13,0)</f>
        <v>0</v>
      </c>
      <c r="AI13" s="27" t="n">
        <v>0</v>
      </c>
      <c r="AJ13" s="26" t="n">
        <f aca="false">IF(AI13&gt;0,AprCoef/SQRT(AI13),0)</f>
        <v>0</v>
      </c>
      <c r="AK13" s="24" t="n">
        <f aca="false">AI13*AJ13/365</f>
        <v>0</v>
      </c>
      <c r="AL13" s="24" t="n">
        <f aca="false">AD13</f>
        <v>0</v>
      </c>
      <c r="AM13" s="24" t="n">
        <f aca="false">AK13-AL13</f>
        <v>0</v>
      </c>
      <c r="AN13" s="28" t="str">
        <f aca="false">IF(A13&gt;=Hip3LaunchDate,"YES","")</f>
        <v/>
      </c>
      <c r="AO13" s="28" t="str">
        <f aca="false">IF(A13&lt;Hip4LaunchDate,"pre-launch","live (zero-fee)")</f>
        <v>pre-launch</v>
      </c>
      <c r="AP13" s="20"/>
      <c r="AQ13" s="20"/>
      <c r="AR13" s="20"/>
    </row>
    <row r="14" customFormat="false" ht="15" hidden="false" customHeight="false" outlineLevel="0" collapsed="false">
      <c r="A14" s="18" t="n">
        <v>45075</v>
      </c>
      <c r="B14" s="19" t="n">
        <v>1665369748.92</v>
      </c>
      <c r="C14" s="19" t="n">
        <v>0</v>
      </c>
      <c r="D14" s="20"/>
      <c r="E14" s="21" t="n">
        <f aca="false">B14+C14</f>
        <v>1665369748.92</v>
      </c>
      <c r="F14" s="21" t="n">
        <f aca="false">E14+D14</f>
        <v>1665369748.92</v>
      </c>
      <c r="G14" s="22" t="n">
        <f aca="false">IFERROR(C14/E14,0)</f>
        <v>0</v>
      </c>
      <c r="H14" s="20"/>
      <c r="I14" s="20"/>
      <c r="J14" s="20"/>
      <c r="K14" s="21" t="n">
        <f aca="false">H14+I14</f>
        <v>0</v>
      </c>
      <c r="L14" s="20"/>
      <c r="M14" s="21" t="n">
        <f aca="false">H14-L14</f>
        <v>0</v>
      </c>
      <c r="N14" s="23" t="n">
        <f aca="false">IFERROR(M14/B14*10000,0)</f>
        <v>0</v>
      </c>
      <c r="O14" s="20"/>
      <c r="P14" s="20"/>
      <c r="Q14" s="21" t="n">
        <f aca="false">O14+P14</f>
        <v>0</v>
      </c>
      <c r="R14" s="22" t="n">
        <f aca="false">IF(A14&lt;HlpChangeDate,HlpSharePre,HlpSharePost)</f>
        <v>0.03</v>
      </c>
      <c r="S14" s="21" t="n">
        <f aca="false">Q14*R14/(1-R14)</f>
        <v>0</v>
      </c>
      <c r="T14" s="20"/>
      <c r="U14" s="21" t="n">
        <f aca="false">S14-T14</f>
        <v>0</v>
      </c>
      <c r="V14" s="21" t="n">
        <f aca="false">Y14-O14*R14/(1-R14)</f>
        <v>0</v>
      </c>
      <c r="W14" s="21" t="n">
        <f aca="false">Z14-P14*R14/(1-R14)</f>
        <v>0</v>
      </c>
      <c r="X14" s="21" t="n">
        <f aca="false">S14+V14+W14</f>
        <v>0</v>
      </c>
      <c r="Y14" s="20"/>
      <c r="Z14" s="20"/>
      <c r="AA14" s="19" t="n">
        <v>0</v>
      </c>
      <c r="AB14" s="20"/>
      <c r="AC14" s="20"/>
      <c r="AD14" s="24" t="n">
        <f aca="false">IFERROR(AA14/AC14,0)</f>
        <v>0</v>
      </c>
      <c r="AE14" s="25" t="n">
        <f aca="false">K14-Q14-X14</f>
        <v>0</v>
      </c>
      <c r="AF14" s="25" t="n">
        <f aca="false">Q14-AA14</f>
        <v>0</v>
      </c>
      <c r="AG14" s="20"/>
      <c r="AH14" s="26" t="n">
        <f aca="false">IFERROR(AG14/Q14,0)</f>
        <v>0</v>
      </c>
      <c r="AI14" s="27" t="n">
        <v>0</v>
      </c>
      <c r="AJ14" s="26" t="n">
        <f aca="false">IF(AI14&gt;0,AprCoef/SQRT(AI14),0)</f>
        <v>0</v>
      </c>
      <c r="AK14" s="24" t="n">
        <f aca="false">AI14*AJ14/365</f>
        <v>0</v>
      </c>
      <c r="AL14" s="24" t="n">
        <f aca="false">AD14</f>
        <v>0</v>
      </c>
      <c r="AM14" s="24" t="n">
        <f aca="false">AK14-AL14</f>
        <v>0</v>
      </c>
      <c r="AN14" s="28" t="str">
        <f aca="false">IF(A14&gt;=Hip3LaunchDate,"YES","")</f>
        <v/>
      </c>
      <c r="AO14" s="28" t="str">
        <f aca="false">IF(A14&lt;Hip4LaunchDate,"pre-launch","live (zero-fee)")</f>
        <v>pre-launch</v>
      </c>
      <c r="AP14" s="20"/>
      <c r="AQ14" s="20"/>
      <c r="AR14" s="20"/>
    </row>
    <row r="15" customFormat="false" ht="15" hidden="false" customHeight="false" outlineLevel="0" collapsed="false">
      <c r="A15" s="18" t="n">
        <v>45076</v>
      </c>
      <c r="B15" s="19" t="n">
        <v>790485041.09</v>
      </c>
      <c r="C15" s="19" t="n">
        <v>0</v>
      </c>
      <c r="D15" s="20"/>
      <c r="E15" s="21" t="n">
        <f aca="false">B15+C15</f>
        <v>790485041.09</v>
      </c>
      <c r="F15" s="21" t="n">
        <f aca="false">E15+D15</f>
        <v>790485041.09</v>
      </c>
      <c r="G15" s="22" t="n">
        <f aca="false">IFERROR(C15/E15,0)</f>
        <v>0</v>
      </c>
      <c r="H15" s="20"/>
      <c r="I15" s="20"/>
      <c r="J15" s="20"/>
      <c r="K15" s="21" t="n">
        <f aca="false">H15+I15</f>
        <v>0</v>
      </c>
      <c r="L15" s="20"/>
      <c r="M15" s="21" t="n">
        <f aca="false">H15-L15</f>
        <v>0</v>
      </c>
      <c r="N15" s="23" t="n">
        <f aca="false">IFERROR(M15/B15*10000,0)</f>
        <v>0</v>
      </c>
      <c r="O15" s="20"/>
      <c r="P15" s="20"/>
      <c r="Q15" s="21" t="n">
        <f aca="false">O15+P15</f>
        <v>0</v>
      </c>
      <c r="R15" s="22" t="n">
        <f aca="false">IF(A15&lt;HlpChangeDate,HlpSharePre,HlpSharePost)</f>
        <v>0.03</v>
      </c>
      <c r="S15" s="21" t="n">
        <f aca="false">Q15*R15/(1-R15)</f>
        <v>0</v>
      </c>
      <c r="T15" s="20"/>
      <c r="U15" s="21" t="n">
        <f aca="false">S15-T15</f>
        <v>0</v>
      </c>
      <c r="V15" s="21" t="n">
        <f aca="false">Y15-O15*R15/(1-R15)</f>
        <v>0</v>
      </c>
      <c r="W15" s="21" t="n">
        <f aca="false">Z15-P15*R15/(1-R15)</f>
        <v>0</v>
      </c>
      <c r="X15" s="21" t="n">
        <f aca="false">S15+V15+W15</f>
        <v>0</v>
      </c>
      <c r="Y15" s="20"/>
      <c r="Z15" s="20"/>
      <c r="AA15" s="19" t="n">
        <v>0</v>
      </c>
      <c r="AB15" s="20"/>
      <c r="AC15" s="20"/>
      <c r="AD15" s="24" t="n">
        <f aca="false">IFERROR(AA15/AC15,0)</f>
        <v>0</v>
      </c>
      <c r="AE15" s="25" t="n">
        <f aca="false">K15-Q15-X15</f>
        <v>0</v>
      </c>
      <c r="AF15" s="25" t="n">
        <f aca="false">Q15-AA15</f>
        <v>0</v>
      </c>
      <c r="AG15" s="20"/>
      <c r="AH15" s="26" t="n">
        <f aca="false">IFERROR(AG15/Q15,0)</f>
        <v>0</v>
      </c>
      <c r="AI15" s="27" t="n">
        <v>0</v>
      </c>
      <c r="AJ15" s="26" t="n">
        <f aca="false">IF(AI15&gt;0,AprCoef/SQRT(AI15),0)</f>
        <v>0</v>
      </c>
      <c r="AK15" s="24" t="n">
        <f aca="false">AI15*AJ15/365</f>
        <v>0</v>
      </c>
      <c r="AL15" s="24" t="n">
        <f aca="false">AD15</f>
        <v>0</v>
      </c>
      <c r="AM15" s="24" t="n">
        <f aca="false">AK15-AL15</f>
        <v>0</v>
      </c>
      <c r="AN15" s="28" t="str">
        <f aca="false">IF(A15&gt;=Hip3LaunchDate,"YES","")</f>
        <v/>
      </c>
      <c r="AO15" s="28" t="str">
        <f aca="false">IF(A15&lt;Hip4LaunchDate,"pre-launch","live (zero-fee)")</f>
        <v>pre-launch</v>
      </c>
      <c r="AP15" s="20"/>
      <c r="AQ15" s="20"/>
      <c r="AR15" s="20"/>
    </row>
    <row r="16" customFormat="false" ht="15" hidden="false" customHeight="false" outlineLevel="0" collapsed="false">
      <c r="A16" s="18" t="n">
        <v>45077</v>
      </c>
      <c r="B16" s="19" t="n">
        <v>697861679.63</v>
      </c>
      <c r="C16" s="19" t="n">
        <v>0</v>
      </c>
      <c r="D16" s="20"/>
      <c r="E16" s="21" t="n">
        <f aca="false">B16+C16</f>
        <v>697861679.63</v>
      </c>
      <c r="F16" s="21" t="n">
        <f aca="false">E16+D16</f>
        <v>697861679.63</v>
      </c>
      <c r="G16" s="22" t="n">
        <f aca="false">IFERROR(C16/E16,0)</f>
        <v>0</v>
      </c>
      <c r="H16" s="20"/>
      <c r="I16" s="20"/>
      <c r="J16" s="20"/>
      <c r="K16" s="21" t="n">
        <f aca="false">H16+I16</f>
        <v>0</v>
      </c>
      <c r="L16" s="20"/>
      <c r="M16" s="21" t="n">
        <f aca="false">H16-L16</f>
        <v>0</v>
      </c>
      <c r="N16" s="23" t="n">
        <f aca="false">IFERROR(M16/B16*10000,0)</f>
        <v>0</v>
      </c>
      <c r="O16" s="20"/>
      <c r="P16" s="20"/>
      <c r="Q16" s="21" t="n">
        <f aca="false">O16+P16</f>
        <v>0</v>
      </c>
      <c r="R16" s="22" t="n">
        <f aca="false">IF(A16&lt;HlpChangeDate,HlpSharePre,HlpSharePost)</f>
        <v>0.03</v>
      </c>
      <c r="S16" s="21" t="n">
        <f aca="false">Q16*R16/(1-R16)</f>
        <v>0</v>
      </c>
      <c r="T16" s="20"/>
      <c r="U16" s="21" t="n">
        <f aca="false">S16-T16</f>
        <v>0</v>
      </c>
      <c r="V16" s="21" t="n">
        <f aca="false">Y16-O16*R16/(1-R16)</f>
        <v>0</v>
      </c>
      <c r="W16" s="21" t="n">
        <f aca="false">Z16-P16*R16/(1-R16)</f>
        <v>0</v>
      </c>
      <c r="X16" s="21" t="n">
        <f aca="false">S16+V16+W16</f>
        <v>0</v>
      </c>
      <c r="Y16" s="20"/>
      <c r="Z16" s="20"/>
      <c r="AA16" s="19" t="n">
        <v>0</v>
      </c>
      <c r="AB16" s="20"/>
      <c r="AC16" s="20"/>
      <c r="AD16" s="24" t="n">
        <f aca="false">IFERROR(AA16/AC16,0)</f>
        <v>0</v>
      </c>
      <c r="AE16" s="25" t="n">
        <f aca="false">K16-Q16-X16</f>
        <v>0</v>
      </c>
      <c r="AF16" s="25" t="n">
        <f aca="false">Q16-AA16</f>
        <v>0</v>
      </c>
      <c r="AG16" s="20"/>
      <c r="AH16" s="26" t="n">
        <f aca="false">IFERROR(AG16/Q16,0)</f>
        <v>0</v>
      </c>
      <c r="AI16" s="27" t="n">
        <v>0</v>
      </c>
      <c r="AJ16" s="26" t="n">
        <f aca="false">IF(AI16&gt;0,AprCoef/SQRT(AI16),0)</f>
        <v>0</v>
      </c>
      <c r="AK16" s="24" t="n">
        <f aca="false">AI16*AJ16/365</f>
        <v>0</v>
      </c>
      <c r="AL16" s="24" t="n">
        <f aca="false">AD16</f>
        <v>0</v>
      </c>
      <c r="AM16" s="24" t="n">
        <f aca="false">AK16-AL16</f>
        <v>0</v>
      </c>
      <c r="AN16" s="28" t="str">
        <f aca="false">IF(A16&gt;=Hip3LaunchDate,"YES","")</f>
        <v/>
      </c>
      <c r="AO16" s="28" t="str">
        <f aca="false">IF(A16&lt;Hip4LaunchDate,"pre-launch","live (zero-fee)")</f>
        <v>pre-launch</v>
      </c>
      <c r="AP16" s="20"/>
      <c r="AQ16" s="20"/>
      <c r="AR16" s="20"/>
    </row>
    <row r="17" customFormat="false" ht="15" hidden="false" customHeight="false" outlineLevel="0" collapsed="false">
      <c r="A17" s="18" t="n">
        <v>45078</v>
      </c>
      <c r="B17" s="19" t="n">
        <v>695491624.04</v>
      </c>
      <c r="C17" s="19" t="n">
        <v>0</v>
      </c>
      <c r="D17" s="20"/>
      <c r="E17" s="21" t="n">
        <f aca="false">B17+C17</f>
        <v>695491624.04</v>
      </c>
      <c r="F17" s="21" t="n">
        <f aca="false">E17+D17</f>
        <v>695491624.04</v>
      </c>
      <c r="G17" s="22" t="n">
        <f aca="false">IFERROR(C17/E17,0)</f>
        <v>0</v>
      </c>
      <c r="H17" s="20"/>
      <c r="I17" s="20"/>
      <c r="J17" s="20"/>
      <c r="K17" s="21" t="n">
        <f aca="false">H17+I17</f>
        <v>0</v>
      </c>
      <c r="L17" s="20"/>
      <c r="M17" s="21" t="n">
        <f aca="false">H17-L17</f>
        <v>0</v>
      </c>
      <c r="N17" s="23" t="n">
        <f aca="false">IFERROR(M17/B17*10000,0)</f>
        <v>0</v>
      </c>
      <c r="O17" s="20"/>
      <c r="P17" s="20"/>
      <c r="Q17" s="21" t="n">
        <f aca="false">O17+P17</f>
        <v>0</v>
      </c>
      <c r="R17" s="22" t="n">
        <f aca="false">IF(A17&lt;HlpChangeDate,HlpSharePre,HlpSharePost)</f>
        <v>0.03</v>
      </c>
      <c r="S17" s="21" t="n">
        <f aca="false">Q17*R17/(1-R17)</f>
        <v>0</v>
      </c>
      <c r="T17" s="20"/>
      <c r="U17" s="21" t="n">
        <f aca="false">S17-T17</f>
        <v>0</v>
      </c>
      <c r="V17" s="21" t="n">
        <f aca="false">Y17-O17*R17/(1-R17)</f>
        <v>0</v>
      </c>
      <c r="W17" s="21" t="n">
        <f aca="false">Z17-P17*R17/(1-R17)</f>
        <v>0</v>
      </c>
      <c r="X17" s="21" t="n">
        <f aca="false">S17+V17+W17</f>
        <v>0</v>
      </c>
      <c r="Y17" s="20"/>
      <c r="Z17" s="20"/>
      <c r="AA17" s="19" t="n">
        <v>0</v>
      </c>
      <c r="AB17" s="20"/>
      <c r="AC17" s="20"/>
      <c r="AD17" s="24" t="n">
        <f aca="false">IFERROR(AA17/AC17,0)</f>
        <v>0</v>
      </c>
      <c r="AE17" s="25" t="n">
        <f aca="false">K17-Q17-X17</f>
        <v>0</v>
      </c>
      <c r="AF17" s="25" t="n">
        <f aca="false">Q17-AA17</f>
        <v>0</v>
      </c>
      <c r="AG17" s="20"/>
      <c r="AH17" s="26" t="n">
        <f aca="false">IFERROR(AG17/Q17,0)</f>
        <v>0</v>
      </c>
      <c r="AI17" s="27" t="n">
        <v>0</v>
      </c>
      <c r="AJ17" s="26" t="n">
        <f aca="false">IF(AI17&gt;0,AprCoef/SQRT(AI17),0)</f>
        <v>0</v>
      </c>
      <c r="AK17" s="24" t="n">
        <f aca="false">AI17*AJ17/365</f>
        <v>0</v>
      </c>
      <c r="AL17" s="24" t="n">
        <f aca="false">AD17</f>
        <v>0</v>
      </c>
      <c r="AM17" s="24" t="n">
        <f aca="false">AK17-AL17</f>
        <v>0</v>
      </c>
      <c r="AN17" s="28" t="str">
        <f aca="false">IF(A17&gt;=Hip3LaunchDate,"YES","")</f>
        <v/>
      </c>
      <c r="AO17" s="28" t="str">
        <f aca="false">IF(A17&lt;Hip4LaunchDate,"pre-launch","live (zero-fee)")</f>
        <v>pre-launch</v>
      </c>
      <c r="AP17" s="20"/>
      <c r="AQ17" s="20"/>
      <c r="AR17" s="20"/>
    </row>
    <row r="18" customFormat="false" ht="15" hidden="false" customHeight="false" outlineLevel="0" collapsed="false">
      <c r="A18" s="18" t="n">
        <v>45079</v>
      </c>
      <c r="B18" s="19" t="n">
        <v>828299584.35</v>
      </c>
      <c r="C18" s="19" t="n">
        <v>0</v>
      </c>
      <c r="D18" s="20"/>
      <c r="E18" s="21" t="n">
        <f aca="false">B18+C18</f>
        <v>828299584.35</v>
      </c>
      <c r="F18" s="21" t="n">
        <f aca="false">E18+D18</f>
        <v>828299584.35</v>
      </c>
      <c r="G18" s="22" t="n">
        <f aca="false">IFERROR(C18/E18,0)</f>
        <v>0</v>
      </c>
      <c r="H18" s="20"/>
      <c r="I18" s="20"/>
      <c r="J18" s="20"/>
      <c r="K18" s="21" t="n">
        <f aca="false">H18+I18</f>
        <v>0</v>
      </c>
      <c r="L18" s="20"/>
      <c r="M18" s="21" t="n">
        <f aca="false">H18-L18</f>
        <v>0</v>
      </c>
      <c r="N18" s="23" t="n">
        <f aca="false">IFERROR(M18/B18*10000,0)</f>
        <v>0</v>
      </c>
      <c r="O18" s="20"/>
      <c r="P18" s="20"/>
      <c r="Q18" s="21" t="n">
        <f aca="false">O18+P18</f>
        <v>0</v>
      </c>
      <c r="R18" s="22" t="n">
        <f aca="false">IF(A18&lt;HlpChangeDate,HlpSharePre,HlpSharePost)</f>
        <v>0.03</v>
      </c>
      <c r="S18" s="21" t="n">
        <f aca="false">Q18*R18/(1-R18)</f>
        <v>0</v>
      </c>
      <c r="T18" s="20"/>
      <c r="U18" s="21" t="n">
        <f aca="false">S18-T18</f>
        <v>0</v>
      </c>
      <c r="V18" s="21" t="n">
        <f aca="false">Y18-O18*R18/(1-R18)</f>
        <v>0</v>
      </c>
      <c r="W18" s="21" t="n">
        <f aca="false">Z18-P18*R18/(1-R18)</f>
        <v>0</v>
      </c>
      <c r="X18" s="21" t="n">
        <f aca="false">S18+V18+W18</f>
        <v>0</v>
      </c>
      <c r="Y18" s="20"/>
      <c r="Z18" s="20"/>
      <c r="AA18" s="19" t="n">
        <v>0</v>
      </c>
      <c r="AB18" s="20"/>
      <c r="AC18" s="20"/>
      <c r="AD18" s="24" t="n">
        <f aca="false">IFERROR(AA18/AC18,0)</f>
        <v>0</v>
      </c>
      <c r="AE18" s="25" t="n">
        <f aca="false">K18-Q18-X18</f>
        <v>0</v>
      </c>
      <c r="AF18" s="25" t="n">
        <f aca="false">Q18-AA18</f>
        <v>0</v>
      </c>
      <c r="AG18" s="20"/>
      <c r="AH18" s="26" t="n">
        <f aca="false">IFERROR(AG18/Q18,0)</f>
        <v>0</v>
      </c>
      <c r="AI18" s="27" t="n">
        <v>0</v>
      </c>
      <c r="AJ18" s="26" t="n">
        <f aca="false">IF(AI18&gt;0,AprCoef/SQRT(AI18),0)</f>
        <v>0</v>
      </c>
      <c r="AK18" s="24" t="n">
        <f aca="false">AI18*AJ18/365</f>
        <v>0</v>
      </c>
      <c r="AL18" s="24" t="n">
        <f aca="false">AD18</f>
        <v>0</v>
      </c>
      <c r="AM18" s="24" t="n">
        <f aca="false">AK18-AL18</f>
        <v>0</v>
      </c>
      <c r="AN18" s="28" t="str">
        <f aca="false">IF(A18&gt;=Hip3LaunchDate,"YES","")</f>
        <v/>
      </c>
      <c r="AO18" s="28" t="str">
        <f aca="false">IF(A18&lt;Hip4LaunchDate,"pre-launch","live (zero-fee)")</f>
        <v>pre-launch</v>
      </c>
      <c r="AP18" s="20"/>
      <c r="AQ18" s="20"/>
      <c r="AR18" s="20"/>
    </row>
    <row r="19" customFormat="false" ht="15" hidden="false" customHeight="false" outlineLevel="0" collapsed="false">
      <c r="A19" s="18" t="n">
        <v>45080</v>
      </c>
      <c r="B19" s="19" t="n">
        <v>360207214.07</v>
      </c>
      <c r="C19" s="19" t="n">
        <v>0</v>
      </c>
      <c r="D19" s="20"/>
      <c r="E19" s="21" t="n">
        <f aca="false">B19+C19</f>
        <v>360207214.07</v>
      </c>
      <c r="F19" s="21" t="n">
        <f aca="false">E19+D19</f>
        <v>360207214.07</v>
      </c>
      <c r="G19" s="22" t="n">
        <f aca="false">IFERROR(C19/E19,0)</f>
        <v>0</v>
      </c>
      <c r="H19" s="20"/>
      <c r="I19" s="20"/>
      <c r="J19" s="20"/>
      <c r="K19" s="21" t="n">
        <f aca="false">H19+I19</f>
        <v>0</v>
      </c>
      <c r="L19" s="20"/>
      <c r="M19" s="21" t="n">
        <f aca="false">H19-L19</f>
        <v>0</v>
      </c>
      <c r="N19" s="23" t="n">
        <f aca="false">IFERROR(M19/B19*10000,0)</f>
        <v>0</v>
      </c>
      <c r="O19" s="20"/>
      <c r="P19" s="20"/>
      <c r="Q19" s="21" t="n">
        <f aca="false">O19+P19</f>
        <v>0</v>
      </c>
      <c r="R19" s="22" t="n">
        <f aca="false">IF(A19&lt;HlpChangeDate,HlpSharePre,HlpSharePost)</f>
        <v>0.03</v>
      </c>
      <c r="S19" s="21" t="n">
        <f aca="false">Q19*R19/(1-R19)</f>
        <v>0</v>
      </c>
      <c r="T19" s="20"/>
      <c r="U19" s="21" t="n">
        <f aca="false">S19-T19</f>
        <v>0</v>
      </c>
      <c r="V19" s="21" t="n">
        <f aca="false">Y19-O19*R19/(1-R19)</f>
        <v>0</v>
      </c>
      <c r="W19" s="21" t="n">
        <f aca="false">Z19-P19*R19/(1-R19)</f>
        <v>0</v>
      </c>
      <c r="X19" s="21" t="n">
        <f aca="false">S19+V19+W19</f>
        <v>0</v>
      </c>
      <c r="Y19" s="20"/>
      <c r="Z19" s="20"/>
      <c r="AA19" s="19" t="n">
        <v>0</v>
      </c>
      <c r="AB19" s="20"/>
      <c r="AC19" s="20"/>
      <c r="AD19" s="24" t="n">
        <f aca="false">IFERROR(AA19/AC19,0)</f>
        <v>0</v>
      </c>
      <c r="AE19" s="25" t="n">
        <f aca="false">K19-Q19-X19</f>
        <v>0</v>
      </c>
      <c r="AF19" s="25" t="n">
        <f aca="false">Q19-AA19</f>
        <v>0</v>
      </c>
      <c r="AG19" s="20"/>
      <c r="AH19" s="26" t="n">
        <f aca="false">IFERROR(AG19/Q19,0)</f>
        <v>0</v>
      </c>
      <c r="AI19" s="27" t="n">
        <v>0</v>
      </c>
      <c r="AJ19" s="26" t="n">
        <f aca="false">IF(AI19&gt;0,AprCoef/SQRT(AI19),0)</f>
        <v>0</v>
      </c>
      <c r="AK19" s="24" t="n">
        <f aca="false">AI19*AJ19/365</f>
        <v>0</v>
      </c>
      <c r="AL19" s="24" t="n">
        <f aca="false">AD19</f>
        <v>0</v>
      </c>
      <c r="AM19" s="24" t="n">
        <f aca="false">AK19-AL19</f>
        <v>0</v>
      </c>
      <c r="AN19" s="28" t="str">
        <f aca="false">IF(A19&gt;=Hip3LaunchDate,"YES","")</f>
        <v/>
      </c>
      <c r="AO19" s="28" t="str">
        <f aca="false">IF(A19&lt;Hip4LaunchDate,"pre-launch","live (zero-fee)")</f>
        <v>pre-launch</v>
      </c>
      <c r="AP19" s="20"/>
      <c r="AQ19" s="20"/>
      <c r="AR19" s="20"/>
    </row>
    <row r="20" customFormat="false" ht="15" hidden="false" customHeight="false" outlineLevel="0" collapsed="false">
      <c r="A20" s="18" t="n">
        <v>45081</v>
      </c>
      <c r="B20" s="19" t="n">
        <v>436589484.58</v>
      </c>
      <c r="C20" s="19" t="n">
        <v>0</v>
      </c>
      <c r="D20" s="20"/>
      <c r="E20" s="21" t="n">
        <f aca="false">B20+C20</f>
        <v>436589484.58</v>
      </c>
      <c r="F20" s="21" t="n">
        <f aca="false">E20+D20</f>
        <v>436589484.58</v>
      </c>
      <c r="G20" s="22" t="n">
        <f aca="false">IFERROR(C20/E20,0)</f>
        <v>0</v>
      </c>
      <c r="H20" s="20"/>
      <c r="I20" s="20"/>
      <c r="J20" s="20"/>
      <c r="K20" s="21" t="n">
        <f aca="false">H20+I20</f>
        <v>0</v>
      </c>
      <c r="L20" s="20"/>
      <c r="M20" s="21" t="n">
        <f aca="false">H20-L20</f>
        <v>0</v>
      </c>
      <c r="N20" s="23" t="n">
        <f aca="false">IFERROR(M20/B20*10000,0)</f>
        <v>0</v>
      </c>
      <c r="O20" s="20"/>
      <c r="P20" s="20"/>
      <c r="Q20" s="21" t="n">
        <f aca="false">O20+P20</f>
        <v>0</v>
      </c>
      <c r="R20" s="22" t="n">
        <f aca="false">IF(A20&lt;HlpChangeDate,HlpSharePre,HlpSharePost)</f>
        <v>0.03</v>
      </c>
      <c r="S20" s="21" t="n">
        <f aca="false">Q20*R20/(1-R20)</f>
        <v>0</v>
      </c>
      <c r="T20" s="20"/>
      <c r="U20" s="21" t="n">
        <f aca="false">S20-T20</f>
        <v>0</v>
      </c>
      <c r="V20" s="21" t="n">
        <f aca="false">Y20-O20*R20/(1-R20)</f>
        <v>0</v>
      </c>
      <c r="W20" s="21" t="n">
        <f aca="false">Z20-P20*R20/(1-R20)</f>
        <v>0</v>
      </c>
      <c r="X20" s="21" t="n">
        <f aca="false">S20+V20+W20</f>
        <v>0</v>
      </c>
      <c r="Y20" s="20"/>
      <c r="Z20" s="20"/>
      <c r="AA20" s="19" t="n">
        <v>0</v>
      </c>
      <c r="AB20" s="20"/>
      <c r="AC20" s="20"/>
      <c r="AD20" s="24" t="n">
        <f aca="false">IFERROR(AA20/AC20,0)</f>
        <v>0</v>
      </c>
      <c r="AE20" s="25" t="n">
        <f aca="false">K20-Q20-X20</f>
        <v>0</v>
      </c>
      <c r="AF20" s="25" t="n">
        <f aca="false">Q20-AA20</f>
        <v>0</v>
      </c>
      <c r="AG20" s="20"/>
      <c r="AH20" s="26" t="n">
        <f aca="false">IFERROR(AG20/Q20,0)</f>
        <v>0</v>
      </c>
      <c r="AI20" s="27" t="n">
        <v>0</v>
      </c>
      <c r="AJ20" s="26" t="n">
        <f aca="false">IF(AI20&gt;0,AprCoef/SQRT(AI20),0)</f>
        <v>0</v>
      </c>
      <c r="AK20" s="24" t="n">
        <f aca="false">AI20*AJ20/365</f>
        <v>0</v>
      </c>
      <c r="AL20" s="24" t="n">
        <f aca="false">AD20</f>
        <v>0</v>
      </c>
      <c r="AM20" s="24" t="n">
        <f aca="false">AK20-AL20</f>
        <v>0</v>
      </c>
      <c r="AN20" s="28" t="str">
        <f aca="false">IF(A20&gt;=Hip3LaunchDate,"YES","")</f>
        <v/>
      </c>
      <c r="AO20" s="28" t="str">
        <f aca="false">IF(A20&lt;Hip4LaunchDate,"pre-launch","live (zero-fee)")</f>
        <v>pre-launch</v>
      </c>
      <c r="AP20" s="20"/>
      <c r="AQ20" s="20"/>
      <c r="AR20" s="20"/>
    </row>
    <row r="21" customFormat="false" ht="15" hidden="false" customHeight="false" outlineLevel="0" collapsed="false">
      <c r="A21" s="18" t="n">
        <v>45082</v>
      </c>
      <c r="B21" s="19" t="n">
        <v>1181883017.58</v>
      </c>
      <c r="C21" s="19" t="n">
        <v>0</v>
      </c>
      <c r="D21" s="20"/>
      <c r="E21" s="21" t="n">
        <f aca="false">B21+C21</f>
        <v>1181883017.58</v>
      </c>
      <c r="F21" s="21" t="n">
        <f aca="false">E21+D21</f>
        <v>1181883017.58</v>
      </c>
      <c r="G21" s="22" t="n">
        <f aca="false">IFERROR(C21/E21,0)</f>
        <v>0</v>
      </c>
      <c r="H21" s="20"/>
      <c r="I21" s="20"/>
      <c r="J21" s="20"/>
      <c r="K21" s="21" t="n">
        <f aca="false">H21+I21</f>
        <v>0</v>
      </c>
      <c r="L21" s="20"/>
      <c r="M21" s="21" t="n">
        <f aca="false">H21-L21</f>
        <v>0</v>
      </c>
      <c r="N21" s="23" t="n">
        <f aca="false">IFERROR(M21/B21*10000,0)</f>
        <v>0</v>
      </c>
      <c r="O21" s="20"/>
      <c r="P21" s="20"/>
      <c r="Q21" s="21" t="n">
        <f aca="false">O21+P21</f>
        <v>0</v>
      </c>
      <c r="R21" s="22" t="n">
        <f aca="false">IF(A21&lt;HlpChangeDate,HlpSharePre,HlpSharePost)</f>
        <v>0.03</v>
      </c>
      <c r="S21" s="21" t="n">
        <f aca="false">Q21*R21/(1-R21)</f>
        <v>0</v>
      </c>
      <c r="T21" s="20"/>
      <c r="U21" s="21" t="n">
        <f aca="false">S21-T21</f>
        <v>0</v>
      </c>
      <c r="V21" s="21" t="n">
        <f aca="false">Y21-O21*R21/(1-R21)</f>
        <v>0</v>
      </c>
      <c r="W21" s="21" t="n">
        <f aca="false">Z21-P21*R21/(1-R21)</f>
        <v>0</v>
      </c>
      <c r="X21" s="21" t="n">
        <f aca="false">S21+V21+W21</f>
        <v>0</v>
      </c>
      <c r="Y21" s="20"/>
      <c r="Z21" s="20"/>
      <c r="AA21" s="19" t="n">
        <v>0</v>
      </c>
      <c r="AB21" s="20"/>
      <c r="AC21" s="20"/>
      <c r="AD21" s="24" t="n">
        <f aca="false">IFERROR(AA21/AC21,0)</f>
        <v>0</v>
      </c>
      <c r="AE21" s="25" t="n">
        <f aca="false">K21-Q21-X21</f>
        <v>0</v>
      </c>
      <c r="AF21" s="25" t="n">
        <f aca="false">Q21-AA21</f>
        <v>0</v>
      </c>
      <c r="AG21" s="20"/>
      <c r="AH21" s="26" t="n">
        <f aca="false">IFERROR(AG21/Q21,0)</f>
        <v>0</v>
      </c>
      <c r="AI21" s="27" t="n">
        <v>0</v>
      </c>
      <c r="AJ21" s="26" t="n">
        <f aca="false">IF(AI21&gt;0,AprCoef/SQRT(AI21),0)</f>
        <v>0</v>
      </c>
      <c r="AK21" s="24" t="n">
        <f aca="false">AI21*AJ21/365</f>
        <v>0</v>
      </c>
      <c r="AL21" s="24" t="n">
        <f aca="false">AD21</f>
        <v>0</v>
      </c>
      <c r="AM21" s="24" t="n">
        <f aca="false">AK21-AL21</f>
        <v>0</v>
      </c>
      <c r="AN21" s="28" t="str">
        <f aca="false">IF(A21&gt;=Hip3LaunchDate,"YES","")</f>
        <v/>
      </c>
      <c r="AO21" s="28" t="str">
        <f aca="false">IF(A21&lt;Hip4LaunchDate,"pre-launch","live (zero-fee)")</f>
        <v>pre-launch</v>
      </c>
      <c r="AP21" s="20"/>
      <c r="AQ21" s="20"/>
      <c r="AR21" s="20"/>
    </row>
    <row r="22" customFormat="false" ht="15" hidden="false" customHeight="false" outlineLevel="0" collapsed="false">
      <c r="A22" s="18" t="n">
        <v>45083</v>
      </c>
      <c r="B22" s="19" t="n">
        <v>1680305322.52</v>
      </c>
      <c r="C22" s="19" t="n">
        <v>0</v>
      </c>
      <c r="D22" s="20"/>
      <c r="E22" s="21" t="n">
        <f aca="false">B22+C22</f>
        <v>1680305322.52</v>
      </c>
      <c r="F22" s="21" t="n">
        <f aca="false">E22+D22</f>
        <v>1680305322.52</v>
      </c>
      <c r="G22" s="22" t="n">
        <f aca="false">IFERROR(C22/E22,0)</f>
        <v>0</v>
      </c>
      <c r="H22" s="20"/>
      <c r="I22" s="20"/>
      <c r="J22" s="20"/>
      <c r="K22" s="21" t="n">
        <f aca="false">H22+I22</f>
        <v>0</v>
      </c>
      <c r="L22" s="20"/>
      <c r="M22" s="21" t="n">
        <f aca="false">H22-L22</f>
        <v>0</v>
      </c>
      <c r="N22" s="23" t="n">
        <f aca="false">IFERROR(M22/B22*10000,0)</f>
        <v>0</v>
      </c>
      <c r="O22" s="20"/>
      <c r="P22" s="20"/>
      <c r="Q22" s="21" t="n">
        <f aca="false">O22+P22</f>
        <v>0</v>
      </c>
      <c r="R22" s="22" t="n">
        <f aca="false">IF(A22&lt;HlpChangeDate,HlpSharePre,HlpSharePost)</f>
        <v>0.03</v>
      </c>
      <c r="S22" s="21" t="n">
        <f aca="false">Q22*R22/(1-R22)</f>
        <v>0</v>
      </c>
      <c r="T22" s="20"/>
      <c r="U22" s="21" t="n">
        <f aca="false">S22-T22</f>
        <v>0</v>
      </c>
      <c r="V22" s="21" t="n">
        <f aca="false">Y22-O22*R22/(1-R22)</f>
        <v>0</v>
      </c>
      <c r="W22" s="21" t="n">
        <f aca="false">Z22-P22*R22/(1-R22)</f>
        <v>0</v>
      </c>
      <c r="X22" s="21" t="n">
        <f aca="false">S22+V22+W22</f>
        <v>0</v>
      </c>
      <c r="Y22" s="20"/>
      <c r="Z22" s="20"/>
      <c r="AA22" s="19" t="n">
        <v>0</v>
      </c>
      <c r="AB22" s="20"/>
      <c r="AC22" s="20"/>
      <c r="AD22" s="24" t="n">
        <f aca="false">IFERROR(AA22/AC22,0)</f>
        <v>0</v>
      </c>
      <c r="AE22" s="25" t="n">
        <f aca="false">K22-Q22-X22</f>
        <v>0</v>
      </c>
      <c r="AF22" s="25" t="n">
        <f aca="false">Q22-AA22</f>
        <v>0</v>
      </c>
      <c r="AG22" s="20"/>
      <c r="AH22" s="26" t="n">
        <f aca="false">IFERROR(AG22/Q22,0)</f>
        <v>0</v>
      </c>
      <c r="AI22" s="27" t="n">
        <v>0</v>
      </c>
      <c r="AJ22" s="26" t="n">
        <f aca="false">IF(AI22&gt;0,AprCoef/SQRT(AI22),0)</f>
        <v>0</v>
      </c>
      <c r="AK22" s="24" t="n">
        <f aca="false">AI22*AJ22/365</f>
        <v>0</v>
      </c>
      <c r="AL22" s="24" t="n">
        <f aca="false">AD22</f>
        <v>0</v>
      </c>
      <c r="AM22" s="24" t="n">
        <f aca="false">AK22-AL22</f>
        <v>0</v>
      </c>
      <c r="AN22" s="28" t="str">
        <f aca="false">IF(A22&gt;=Hip3LaunchDate,"YES","")</f>
        <v/>
      </c>
      <c r="AO22" s="28" t="str">
        <f aca="false">IF(A22&lt;Hip4LaunchDate,"pre-launch","live (zero-fee)")</f>
        <v>pre-launch</v>
      </c>
      <c r="AP22" s="20"/>
      <c r="AQ22" s="20"/>
      <c r="AR22" s="20"/>
    </row>
    <row r="23" customFormat="false" ht="15" hidden="false" customHeight="false" outlineLevel="0" collapsed="false">
      <c r="A23" s="18" t="n">
        <v>45084</v>
      </c>
      <c r="B23" s="19" t="n">
        <v>1243360390.2</v>
      </c>
      <c r="C23" s="19" t="n">
        <v>0</v>
      </c>
      <c r="D23" s="20"/>
      <c r="E23" s="21" t="n">
        <f aca="false">B23+C23</f>
        <v>1243360390.2</v>
      </c>
      <c r="F23" s="21" t="n">
        <f aca="false">E23+D23</f>
        <v>1243360390.2</v>
      </c>
      <c r="G23" s="22" t="n">
        <f aca="false">IFERROR(C23/E23,0)</f>
        <v>0</v>
      </c>
      <c r="H23" s="20"/>
      <c r="I23" s="20"/>
      <c r="J23" s="20"/>
      <c r="K23" s="21" t="n">
        <f aca="false">H23+I23</f>
        <v>0</v>
      </c>
      <c r="L23" s="20"/>
      <c r="M23" s="21" t="n">
        <f aca="false">H23-L23</f>
        <v>0</v>
      </c>
      <c r="N23" s="23" t="n">
        <f aca="false">IFERROR(M23/B23*10000,0)</f>
        <v>0</v>
      </c>
      <c r="O23" s="20"/>
      <c r="P23" s="20"/>
      <c r="Q23" s="21" t="n">
        <f aca="false">O23+P23</f>
        <v>0</v>
      </c>
      <c r="R23" s="22" t="n">
        <f aca="false">IF(A23&lt;HlpChangeDate,HlpSharePre,HlpSharePost)</f>
        <v>0.03</v>
      </c>
      <c r="S23" s="21" t="n">
        <f aca="false">Q23*R23/(1-R23)</f>
        <v>0</v>
      </c>
      <c r="T23" s="20"/>
      <c r="U23" s="21" t="n">
        <f aca="false">S23-T23</f>
        <v>0</v>
      </c>
      <c r="V23" s="21" t="n">
        <f aca="false">Y23-O23*R23/(1-R23)</f>
        <v>0</v>
      </c>
      <c r="W23" s="21" t="n">
        <f aca="false">Z23-P23*R23/(1-R23)</f>
        <v>0</v>
      </c>
      <c r="X23" s="21" t="n">
        <f aca="false">S23+V23+W23</f>
        <v>0</v>
      </c>
      <c r="Y23" s="20"/>
      <c r="Z23" s="20"/>
      <c r="AA23" s="19" t="n">
        <v>0</v>
      </c>
      <c r="AB23" s="20"/>
      <c r="AC23" s="20"/>
      <c r="AD23" s="24" t="n">
        <f aca="false">IFERROR(AA23/AC23,0)</f>
        <v>0</v>
      </c>
      <c r="AE23" s="25" t="n">
        <f aca="false">K23-Q23-X23</f>
        <v>0</v>
      </c>
      <c r="AF23" s="25" t="n">
        <f aca="false">Q23-AA23</f>
        <v>0</v>
      </c>
      <c r="AG23" s="20"/>
      <c r="AH23" s="26" t="n">
        <f aca="false">IFERROR(AG23/Q23,0)</f>
        <v>0</v>
      </c>
      <c r="AI23" s="27" t="n">
        <v>0</v>
      </c>
      <c r="AJ23" s="26" t="n">
        <f aca="false">IF(AI23&gt;0,AprCoef/SQRT(AI23),0)</f>
        <v>0</v>
      </c>
      <c r="AK23" s="24" t="n">
        <f aca="false">AI23*AJ23/365</f>
        <v>0</v>
      </c>
      <c r="AL23" s="24" t="n">
        <f aca="false">AD23</f>
        <v>0</v>
      </c>
      <c r="AM23" s="24" t="n">
        <f aca="false">AK23-AL23</f>
        <v>0</v>
      </c>
      <c r="AN23" s="28" t="str">
        <f aca="false">IF(A23&gt;=Hip3LaunchDate,"YES","")</f>
        <v/>
      </c>
      <c r="AO23" s="28" t="str">
        <f aca="false">IF(A23&lt;Hip4LaunchDate,"pre-launch","live (zero-fee)")</f>
        <v>pre-launch</v>
      </c>
      <c r="AP23" s="20"/>
      <c r="AQ23" s="20"/>
      <c r="AR23" s="20"/>
    </row>
    <row r="24" customFormat="false" ht="15" hidden="false" customHeight="false" outlineLevel="0" collapsed="false">
      <c r="A24" s="18" t="n">
        <v>45085</v>
      </c>
      <c r="B24" s="19" t="n">
        <v>1755930919.59</v>
      </c>
      <c r="C24" s="19" t="n">
        <v>0</v>
      </c>
      <c r="D24" s="20"/>
      <c r="E24" s="21" t="n">
        <f aca="false">B24+C24</f>
        <v>1755930919.59</v>
      </c>
      <c r="F24" s="21" t="n">
        <f aca="false">E24+D24</f>
        <v>1755930919.59</v>
      </c>
      <c r="G24" s="22" t="n">
        <f aca="false">IFERROR(C24/E24,0)</f>
        <v>0</v>
      </c>
      <c r="H24" s="20"/>
      <c r="I24" s="20"/>
      <c r="J24" s="20"/>
      <c r="K24" s="21" t="n">
        <f aca="false">H24+I24</f>
        <v>0</v>
      </c>
      <c r="L24" s="20"/>
      <c r="M24" s="21" t="n">
        <f aca="false">H24-L24</f>
        <v>0</v>
      </c>
      <c r="N24" s="23" t="n">
        <f aca="false">IFERROR(M24/B24*10000,0)</f>
        <v>0</v>
      </c>
      <c r="O24" s="20"/>
      <c r="P24" s="20"/>
      <c r="Q24" s="21" t="n">
        <f aca="false">O24+P24</f>
        <v>0</v>
      </c>
      <c r="R24" s="22" t="n">
        <f aca="false">IF(A24&lt;HlpChangeDate,HlpSharePre,HlpSharePost)</f>
        <v>0.03</v>
      </c>
      <c r="S24" s="21" t="n">
        <f aca="false">Q24*R24/(1-R24)</f>
        <v>0</v>
      </c>
      <c r="T24" s="20"/>
      <c r="U24" s="21" t="n">
        <f aca="false">S24-T24</f>
        <v>0</v>
      </c>
      <c r="V24" s="21" t="n">
        <f aca="false">Y24-O24*R24/(1-R24)</f>
        <v>0</v>
      </c>
      <c r="W24" s="21" t="n">
        <f aca="false">Z24-P24*R24/(1-R24)</f>
        <v>0</v>
      </c>
      <c r="X24" s="21" t="n">
        <f aca="false">S24+V24+W24</f>
        <v>0</v>
      </c>
      <c r="Y24" s="20"/>
      <c r="Z24" s="20"/>
      <c r="AA24" s="19" t="n">
        <v>0</v>
      </c>
      <c r="AB24" s="20"/>
      <c r="AC24" s="20"/>
      <c r="AD24" s="24" t="n">
        <f aca="false">IFERROR(AA24/AC24,0)</f>
        <v>0</v>
      </c>
      <c r="AE24" s="25" t="n">
        <f aca="false">K24-Q24-X24</f>
        <v>0</v>
      </c>
      <c r="AF24" s="25" t="n">
        <f aca="false">Q24-AA24</f>
        <v>0</v>
      </c>
      <c r="AG24" s="20"/>
      <c r="AH24" s="26" t="n">
        <f aca="false">IFERROR(AG24/Q24,0)</f>
        <v>0</v>
      </c>
      <c r="AI24" s="27" t="n">
        <v>0</v>
      </c>
      <c r="AJ24" s="26" t="n">
        <f aca="false">IF(AI24&gt;0,AprCoef/SQRT(AI24),0)</f>
        <v>0</v>
      </c>
      <c r="AK24" s="24" t="n">
        <f aca="false">AI24*AJ24/365</f>
        <v>0</v>
      </c>
      <c r="AL24" s="24" t="n">
        <f aca="false">AD24</f>
        <v>0</v>
      </c>
      <c r="AM24" s="24" t="n">
        <f aca="false">AK24-AL24</f>
        <v>0</v>
      </c>
      <c r="AN24" s="28" t="str">
        <f aca="false">IF(A24&gt;=Hip3LaunchDate,"YES","")</f>
        <v/>
      </c>
      <c r="AO24" s="28" t="str">
        <f aca="false">IF(A24&lt;Hip4LaunchDate,"pre-launch","live (zero-fee)")</f>
        <v>pre-launch</v>
      </c>
      <c r="AP24" s="20"/>
      <c r="AQ24" s="20"/>
      <c r="AR24" s="20"/>
    </row>
    <row r="25" customFormat="false" ht="15" hidden="false" customHeight="false" outlineLevel="0" collapsed="false">
      <c r="A25" s="18" t="n">
        <v>45086</v>
      </c>
      <c r="B25" s="19" t="n">
        <v>1942628206.48</v>
      </c>
      <c r="C25" s="19" t="n">
        <v>0</v>
      </c>
      <c r="D25" s="20"/>
      <c r="E25" s="21" t="n">
        <f aca="false">B25+C25</f>
        <v>1942628206.48</v>
      </c>
      <c r="F25" s="21" t="n">
        <f aca="false">E25+D25</f>
        <v>1942628206.48</v>
      </c>
      <c r="G25" s="22" t="n">
        <f aca="false">IFERROR(C25/E25,0)</f>
        <v>0</v>
      </c>
      <c r="H25" s="20"/>
      <c r="I25" s="20"/>
      <c r="J25" s="20"/>
      <c r="K25" s="21" t="n">
        <f aca="false">H25+I25</f>
        <v>0</v>
      </c>
      <c r="L25" s="20"/>
      <c r="M25" s="21" t="n">
        <f aca="false">H25-L25</f>
        <v>0</v>
      </c>
      <c r="N25" s="23" t="n">
        <f aca="false">IFERROR(M25/B25*10000,0)</f>
        <v>0</v>
      </c>
      <c r="O25" s="20"/>
      <c r="P25" s="20"/>
      <c r="Q25" s="21" t="n">
        <f aca="false">O25+P25</f>
        <v>0</v>
      </c>
      <c r="R25" s="22" t="n">
        <f aca="false">IF(A25&lt;HlpChangeDate,HlpSharePre,HlpSharePost)</f>
        <v>0.03</v>
      </c>
      <c r="S25" s="21" t="n">
        <f aca="false">Q25*R25/(1-R25)</f>
        <v>0</v>
      </c>
      <c r="T25" s="20"/>
      <c r="U25" s="21" t="n">
        <f aca="false">S25-T25</f>
        <v>0</v>
      </c>
      <c r="V25" s="21" t="n">
        <f aca="false">Y25-O25*R25/(1-R25)</f>
        <v>0</v>
      </c>
      <c r="W25" s="21" t="n">
        <f aca="false">Z25-P25*R25/(1-R25)</f>
        <v>0</v>
      </c>
      <c r="X25" s="21" t="n">
        <f aca="false">S25+V25+W25</f>
        <v>0</v>
      </c>
      <c r="Y25" s="20"/>
      <c r="Z25" s="20"/>
      <c r="AA25" s="19" t="n">
        <v>0</v>
      </c>
      <c r="AB25" s="20"/>
      <c r="AC25" s="20"/>
      <c r="AD25" s="24" t="n">
        <f aca="false">IFERROR(AA25/AC25,0)</f>
        <v>0</v>
      </c>
      <c r="AE25" s="25" t="n">
        <f aca="false">K25-Q25-X25</f>
        <v>0</v>
      </c>
      <c r="AF25" s="25" t="n">
        <f aca="false">Q25-AA25</f>
        <v>0</v>
      </c>
      <c r="AG25" s="20"/>
      <c r="AH25" s="26" t="n">
        <f aca="false">IFERROR(AG25/Q25,0)</f>
        <v>0</v>
      </c>
      <c r="AI25" s="27" t="n">
        <v>0</v>
      </c>
      <c r="AJ25" s="26" t="n">
        <f aca="false">IF(AI25&gt;0,AprCoef/SQRT(AI25),0)</f>
        <v>0</v>
      </c>
      <c r="AK25" s="24" t="n">
        <f aca="false">AI25*AJ25/365</f>
        <v>0</v>
      </c>
      <c r="AL25" s="24" t="n">
        <f aca="false">AD25</f>
        <v>0</v>
      </c>
      <c r="AM25" s="24" t="n">
        <f aca="false">AK25-AL25</f>
        <v>0</v>
      </c>
      <c r="AN25" s="28" t="str">
        <f aca="false">IF(A25&gt;=Hip3LaunchDate,"YES","")</f>
        <v/>
      </c>
      <c r="AO25" s="28" t="str">
        <f aca="false">IF(A25&lt;Hip4LaunchDate,"pre-launch","live (zero-fee)")</f>
        <v>pre-launch</v>
      </c>
      <c r="AP25" s="20"/>
      <c r="AQ25" s="20"/>
      <c r="AR25" s="20"/>
    </row>
    <row r="26" customFormat="false" ht="15" hidden="false" customHeight="false" outlineLevel="0" collapsed="false">
      <c r="A26" s="18" t="n">
        <v>45087</v>
      </c>
      <c r="B26" s="19" t="n">
        <v>3671784735.35</v>
      </c>
      <c r="C26" s="19" t="n">
        <v>0</v>
      </c>
      <c r="D26" s="20"/>
      <c r="E26" s="21" t="n">
        <f aca="false">B26+C26</f>
        <v>3671784735.35</v>
      </c>
      <c r="F26" s="21" t="n">
        <f aca="false">E26+D26</f>
        <v>3671784735.35</v>
      </c>
      <c r="G26" s="22" t="n">
        <f aca="false">IFERROR(C26/E26,0)</f>
        <v>0</v>
      </c>
      <c r="H26" s="20"/>
      <c r="I26" s="20"/>
      <c r="J26" s="20"/>
      <c r="K26" s="21" t="n">
        <f aca="false">H26+I26</f>
        <v>0</v>
      </c>
      <c r="L26" s="20"/>
      <c r="M26" s="21" t="n">
        <f aca="false">H26-L26</f>
        <v>0</v>
      </c>
      <c r="N26" s="23" t="n">
        <f aca="false">IFERROR(M26/B26*10000,0)</f>
        <v>0</v>
      </c>
      <c r="O26" s="20"/>
      <c r="P26" s="20"/>
      <c r="Q26" s="21" t="n">
        <f aca="false">O26+P26</f>
        <v>0</v>
      </c>
      <c r="R26" s="22" t="n">
        <f aca="false">IF(A26&lt;HlpChangeDate,HlpSharePre,HlpSharePost)</f>
        <v>0.03</v>
      </c>
      <c r="S26" s="21" t="n">
        <f aca="false">Q26*R26/(1-R26)</f>
        <v>0</v>
      </c>
      <c r="T26" s="20"/>
      <c r="U26" s="21" t="n">
        <f aca="false">S26-T26</f>
        <v>0</v>
      </c>
      <c r="V26" s="21" t="n">
        <f aca="false">Y26-O26*R26/(1-R26)</f>
        <v>0</v>
      </c>
      <c r="W26" s="21" t="n">
        <f aca="false">Z26-P26*R26/(1-R26)</f>
        <v>0</v>
      </c>
      <c r="X26" s="21" t="n">
        <f aca="false">S26+V26+W26</f>
        <v>0</v>
      </c>
      <c r="Y26" s="20"/>
      <c r="Z26" s="20"/>
      <c r="AA26" s="19" t="n">
        <v>0</v>
      </c>
      <c r="AB26" s="20"/>
      <c r="AC26" s="20"/>
      <c r="AD26" s="24" t="n">
        <f aca="false">IFERROR(AA26/AC26,0)</f>
        <v>0</v>
      </c>
      <c r="AE26" s="25" t="n">
        <f aca="false">K26-Q26-X26</f>
        <v>0</v>
      </c>
      <c r="AF26" s="25" t="n">
        <f aca="false">Q26-AA26</f>
        <v>0</v>
      </c>
      <c r="AG26" s="20"/>
      <c r="AH26" s="26" t="n">
        <f aca="false">IFERROR(AG26/Q26,0)</f>
        <v>0</v>
      </c>
      <c r="AI26" s="27" t="n">
        <v>0</v>
      </c>
      <c r="AJ26" s="26" t="n">
        <f aca="false">IF(AI26&gt;0,AprCoef/SQRT(AI26),0)</f>
        <v>0</v>
      </c>
      <c r="AK26" s="24" t="n">
        <f aca="false">AI26*AJ26/365</f>
        <v>0</v>
      </c>
      <c r="AL26" s="24" t="n">
        <f aca="false">AD26</f>
        <v>0</v>
      </c>
      <c r="AM26" s="24" t="n">
        <f aca="false">AK26-AL26</f>
        <v>0</v>
      </c>
      <c r="AN26" s="28" t="str">
        <f aca="false">IF(A26&gt;=Hip3LaunchDate,"YES","")</f>
        <v/>
      </c>
      <c r="AO26" s="28" t="str">
        <f aca="false">IF(A26&lt;Hip4LaunchDate,"pre-launch","live (zero-fee)")</f>
        <v>pre-launch</v>
      </c>
      <c r="AP26" s="20"/>
      <c r="AQ26" s="20"/>
      <c r="AR26" s="20"/>
    </row>
    <row r="27" customFormat="false" ht="15" hidden="false" customHeight="false" outlineLevel="0" collapsed="false">
      <c r="A27" s="18" t="n">
        <v>45088</v>
      </c>
      <c r="B27" s="19" t="n">
        <v>2026034415.52</v>
      </c>
      <c r="C27" s="19" t="n">
        <v>0</v>
      </c>
      <c r="D27" s="20"/>
      <c r="E27" s="21" t="n">
        <f aca="false">B27+C27</f>
        <v>2026034415.52</v>
      </c>
      <c r="F27" s="21" t="n">
        <f aca="false">E27+D27</f>
        <v>2026034415.52</v>
      </c>
      <c r="G27" s="22" t="n">
        <f aca="false">IFERROR(C27/E27,0)</f>
        <v>0</v>
      </c>
      <c r="H27" s="20"/>
      <c r="I27" s="20"/>
      <c r="J27" s="20"/>
      <c r="K27" s="21" t="n">
        <f aca="false">H27+I27</f>
        <v>0</v>
      </c>
      <c r="L27" s="20"/>
      <c r="M27" s="21" t="n">
        <f aca="false">H27-L27</f>
        <v>0</v>
      </c>
      <c r="N27" s="23" t="n">
        <f aca="false">IFERROR(M27/B27*10000,0)</f>
        <v>0</v>
      </c>
      <c r="O27" s="20"/>
      <c r="P27" s="20"/>
      <c r="Q27" s="21" t="n">
        <f aca="false">O27+P27</f>
        <v>0</v>
      </c>
      <c r="R27" s="22" t="n">
        <f aca="false">IF(A27&lt;HlpChangeDate,HlpSharePre,HlpSharePost)</f>
        <v>0.03</v>
      </c>
      <c r="S27" s="21" t="n">
        <f aca="false">Q27*R27/(1-R27)</f>
        <v>0</v>
      </c>
      <c r="T27" s="20"/>
      <c r="U27" s="21" t="n">
        <f aca="false">S27-T27</f>
        <v>0</v>
      </c>
      <c r="V27" s="21" t="n">
        <f aca="false">Y27-O27*R27/(1-R27)</f>
        <v>0</v>
      </c>
      <c r="W27" s="21" t="n">
        <f aca="false">Z27-P27*R27/(1-R27)</f>
        <v>0</v>
      </c>
      <c r="X27" s="21" t="n">
        <f aca="false">S27+V27+W27</f>
        <v>0</v>
      </c>
      <c r="Y27" s="20"/>
      <c r="Z27" s="20"/>
      <c r="AA27" s="19" t="n">
        <v>0</v>
      </c>
      <c r="AB27" s="20"/>
      <c r="AC27" s="20"/>
      <c r="AD27" s="24" t="n">
        <f aca="false">IFERROR(AA27/AC27,0)</f>
        <v>0</v>
      </c>
      <c r="AE27" s="25" t="n">
        <f aca="false">K27-Q27-X27</f>
        <v>0</v>
      </c>
      <c r="AF27" s="25" t="n">
        <f aca="false">Q27-AA27</f>
        <v>0</v>
      </c>
      <c r="AG27" s="20"/>
      <c r="AH27" s="26" t="n">
        <f aca="false">IFERROR(AG27/Q27,0)</f>
        <v>0</v>
      </c>
      <c r="AI27" s="27" t="n">
        <v>0</v>
      </c>
      <c r="AJ27" s="26" t="n">
        <f aca="false">IF(AI27&gt;0,AprCoef/SQRT(AI27),0)</f>
        <v>0</v>
      </c>
      <c r="AK27" s="24" t="n">
        <f aca="false">AI27*AJ27/365</f>
        <v>0</v>
      </c>
      <c r="AL27" s="24" t="n">
        <f aca="false">AD27</f>
        <v>0</v>
      </c>
      <c r="AM27" s="24" t="n">
        <f aca="false">AK27-AL27</f>
        <v>0</v>
      </c>
      <c r="AN27" s="28" t="str">
        <f aca="false">IF(A27&gt;=Hip3LaunchDate,"YES","")</f>
        <v/>
      </c>
      <c r="AO27" s="28" t="str">
        <f aca="false">IF(A27&lt;Hip4LaunchDate,"pre-launch","live (zero-fee)")</f>
        <v>pre-launch</v>
      </c>
      <c r="AP27" s="20"/>
      <c r="AQ27" s="20"/>
      <c r="AR27" s="20"/>
    </row>
    <row r="28" customFormat="false" ht="15" hidden="false" customHeight="false" outlineLevel="0" collapsed="false">
      <c r="A28" s="18" t="n">
        <v>45089</v>
      </c>
      <c r="B28" s="19" t="n">
        <v>2373508641.05</v>
      </c>
      <c r="C28" s="19" t="n">
        <v>0</v>
      </c>
      <c r="D28" s="20"/>
      <c r="E28" s="21" t="n">
        <f aca="false">B28+C28</f>
        <v>2373508641.05</v>
      </c>
      <c r="F28" s="21" t="n">
        <f aca="false">E28+D28</f>
        <v>2373508641.05</v>
      </c>
      <c r="G28" s="22" t="n">
        <f aca="false">IFERROR(C28/E28,0)</f>
        <v>0</v>
      </c>
      <c r="H28" s="20"/>
      <c r="I28" s="20"/>
      <c r="J28" s="20"/>
      <c r="K28" s="21" t="n">
        <f aca="false">H28+I28</f>
        <v>0</v>
      </c>
      <c r="L28" s="20"/>
      <c r="M28" s="21" t="n">
        <f aca="false">H28-L28</f>
        <v>0</v>
      </c>
      <c r="N28" s="23" t="n">
        <f aca="false">IFERROR(M28/B28*10000,0)</f>
        <v>0</v>
      </c>
      <c r="O28" s="20"/>
      <c r="P28" s="20"/>
      <c r="Q28" s="21" t="n">
        <f aca="false">O28+P28</f>
        <v>0</v>
      </c>
      <c r="R28" s="22" t="n">
        <f aca="false">IF(A28&lt;HlpChangeDate,HlpSharePre,HlpSharePost)</f>
        <v>0.03</v>
      </c>
      <c r="S28" s="21" t="n">
        <f aca="false">Q28*R28/(1-R28)</f>
        <v>0</v>
      </c>
      <c r="T28" s="20"/>
      <c r="U28" s="21" t="n">
        <f aca="false">S28-T28</f>
        <v>0</v>
      </c>
      <c r="V28" s="21" t="n">
        <f aca="false">Y28-O28*R28/(1-R28)</f>
        <v>0</v>
      </c>
      <c r="W28" s="21" t="n">
        <f aca="false">Z28-P28*R28/(1-R28)</f>
        <v>0</v>
      </c>
      <c r="X28" s="21" t="n">
        <f aca="false">S28+V28+W28</f>
        <v>0</v>
      </c>
      <c r="Y28" s="20"/>
      <c r="Z28" s="20"/>
      <c r="AA28" s="19" t="n">
        <v>0</v>
      </c>
      <c r="AB28" s="20"/>
      <c r="AC28" s="20"/>
      <c r="AD28" s="24" t="n">
        <f aca="false">IFERROR(AA28/AC28,0)</f>
        <v>0</v>
      </c>
      <c r="AE28" s="25" t="n">
        <f aca="false">K28-Q28-X28</f>
        <v>0</v>
      </c>
      <c r="AF28" s="25" t="n">
        <f aca="false">Q28-AA28</f>
        <v>0</v>
      </c>
      <c r="AG28" s="20"/>
      <c r="AH28" s="26" t="n">
        <f aca="false">IFERROR(AG28/Q28,0)</f>
        <v>0</v>
      </c>
      <c r="AI28" s="27" t="n">
        <v>0</v>
      </c>
      <c r="AJ28" s="26" t="n">
        <f aca="false">IF(AI28&gt;0,AprCoef/SQRT(AI28),0)</f>
        <v>0</v>
      </c>
      <c r="AK28" s="24" t="n">
        <f aca="false">AI28*AJ28/365</f>
        <v>0</v>
      </c>
      <c r="AL28" s="24" t="n">
        <f aca="false">AD28</f>
        <v>0</v>
      </c>
      <c r="AM28" s="24" t="n">
        <f aca="false">AK28-AL28</f>
        <v>0</v>
      </c>
      <c r="AN28" s="28" t="str">
        <f aca="false">IF(A28&gt;=Hip3LaunchDate,"YES","")</f>
        <v/>
      </c>
      <c r="AO28" s="28" t="str">
        <f aca="false">IF(A28&lt;Hip4LaunchDate,"pre-launch","live (zero-fee)")</f>
        <v>pre-launch</v>
      </c>
      <c r="AP28" s="20"/>
      <c r="AQ28" s="20"/>
      <c r="AR28" s="20"/>
    </row>
    <row r="29" customFormat="false" ht="15" hidden="false" customHeight="false" outlineLevel="0" collapsed="false">
      <c r="A29" s="18" t="n">
        <v>45090</v>
      </c>
      <c r="B29" s="19" t="n">
        <v>531069565.5</v>
      </c>
      <c r="C29" s="19" t="n">
        <v>0</v>
      </c>
      <c r="D29" s="20"/>
      <c r="E29" s="21" t="n">
        <f aca="false">B29+C29</f>
        <v>531069565.5</v>
      </c>
      <c r="F29" s="21" t="n">
        <f aca="false">E29+D29</f>
        <v>531069565.5</v>
      </c>
      <c r="G29" s="22" t="n">
        <f aca="false">IFERROR(C29/E29,0)</f>
        <v>0</v>
      </c>
      <c r="H29" s="20"/>
      <c r="I29" s="20"/>
      <c r="J29" s="20"/>
      <c r="K29" s="21" t="n">
        <f aca="false">H29+I29</f>
        <v>0</v>
      </c>
      <c r="L29" s="20"/>
      <c r="M29" s="21" t="n">
        <f aca="false">H29-L29</f>
        <v>0</v>
      </c>
      <c r="N29" s="23" t="n">
        <f aca="false">IFERROR(M29/B29*10000,0)</f>
        <v>0</v>
      </c>
      <c r="O29" s="20"/>
      <c r="P29" s="20"/>
      <c r="Q29" s="21" t="n">
        <f aca="false">O29+P29</f>
        <v>0</v>
      </c>
      <c r="R29" s="22" t="n">
        <f aca="false">IF(A29&lt;HlpChangeDate,HlpSharePre,HlpSharePost)</f>
        <v>0.03</v>
      </c>
      <c r="S29" s="21" t="n">
        <f aca="false">Q29*R29/(1-R29)</f>
        <v>0</v>
      </c>
      <c r="T29" s="20"/>
      <c r="U29" s="21" t="n">
        <f aca="false">S29-T29</f>
        <v>0</v>
      </c>
      <c r="V29" s="21" t="n">
        <f aca="false">Y29-O29*R29/(1-R29)</f>
        <v>0</v>
      </c>
      <c r="W29" s="21" t="n">
        <f aca="false">Z29-P29*R29/(1-R29)</f>
        <v>0</v>
      </c>
      <c r="X29" s="21" t="n">
        <f aca="false">S29+V29+W29</f>
        <v>0</v>
      </c>
      <c r="Y29" s="20"/>
      <c r="Z29" s="20"/>
      <c r="AA29" s="19" t="n">
        <v>0</v>
      </c>
      <c r="AB29" s="20"/>
      <c r="AC29" s="20"/>
      <c r="AD29" s="24" t="n">
        <f aca="false">IFERROR(AA29/AC29,0)</f>
        <v>0</v>
      </c>
      <c r="AE29" s="25" t="n">
        <f aca="false">K29-Q29-X29</f>
        <v>0</v>
      </c>
      <c r="AF29" s="25" t="n">
        <f aca="false">Q29-AA29</f>
        <v>0</v>
      </c>
      <c r="AG29" s="20"/>
      <c r="AH29" s="26" t="n">
        <f aca="false">IFERROR(AG29/Q29,0)</f>
        <v>0</v>
      </c>
      <c r="AI29" s="27" t="n">
        <v>0</v>
      </c>
      <c r="AJ29" s="26" t="n">
        <f aca="false">IF(AI29&gt;0,AprCoef/SQRT(AI29),0)</f>
        <v>0</v>
      </c>
      <c r="AK29" s="24" t="n">
        <f aca="false">AI29*AJ29/365</f>
        <v>0</v>
      </c>
      <c r="AL29" s="24" t="n">
        <f aca="false">AD29</f>
        <v>0</v>
      </c>
      <c r="AM29" s="24" t="n">
        <f aca="false">AK29-AL29</f>
        <v>0</v>
      </c>
      <c r="AN29" s="28" t="str">
        <f aca="false">IF(A29&gt;=Hip3LaunchDate,"YES","")</f>
        <v/>
      </c>
      <c r="AO29" s="28" t="str">
        <f aca="false">IF(A29&lt;Hip4LaunchDate,"pre-launch","live (zero-fee)")</f>
        <v>pre-launch</v>
      </c>
      <c r="AP29" s="20"/>
      <c r="AQ29" s="20"/>
      <c r="AR29" s="20"/>
    </row>
    <row r="30" customFormat="false" ht="15" hidden="false" customHeight="false" outlineLevel="0" collapsed="false">
      <c r="A30" s="18" t="n">
        <v>45091</v>
      </c>
      <c r="B30" s="19" t="n">
        <v>70568858.43</v>
      </c>
      <c r="C30" s="19" t="n">
        <v>0</v>
      </c>
      <c r="D30" s="20"/>
      <c r="E30" s="21" t="n">
        <f aca="false">B30+C30</f>
        <v>70568858.43</v>
      </c>
      <c r="F30" s="21" t="n">
        <f aca="false">E30+D30</f>
        <v>70568858.43</v>
      </c>
      <c r="G30" s="22" t="n">
        <f aca="false">IFERROR(C30/E30,0)</f>
        <v>0</v>
      </c>
      <c r="H30" s="20"/>
      <c r="I30" s="20"/>
      <c r="J30" s="20"/>
      <c r="K30" s="21" t="n">
        <f aca="false">H30+I30</f>
        <v>0</v>
      </c>
      <c r="L30" s="20"/>
      <c r="M30" s="21" t="n">
        <f aca="false">H30-L30</f>
        <v>0</v>
      </c>
      <c r="N30" s="23" t="n">
        <f aca="false">IFERROR(M30/B30*10000,0)</f>
        <v>0</v>
      </c>
      <c r="O30" s="20"/>
      <c r="P30" s="20"/>
      <c r="Q30" s="21" t="n">
        <f aca="false">O30+P30</f>
        <v>0</v>
      </c>
      <c r="R30" s="22" t="n">
        <f aca="false">IF(A30&lt;HlpChangeDate,HlpSharePre,HlpSharePost)</f>
        <v>0.03</v>
      </c>
      <c r="S30" s="21" t="n">
        <f aca="false">Q30*R30/(1-R30)</f>
        <v>0</v>
      </c>
      <c r="T30" s="20"/>
      <c r="U30" s="21" t="n">
        <f aca="false">S30-T30</f>
        <v>0</v>
      </c>
      <c r="V30" s="21" t="n">
        <f aca="false">Y30-O30*R30/(1-R30)</f>
        <v>0</v>
      </c>
      <c r="W30" s="21" t="n">
        <f aca="false">Z30-P30*R30/(1-R30)</f>
        <v>0</v>
      </c>
      <c r="X30" s="21" t="n">
        <f aca="false">S30+V30+W30</f>
        <v>0</v>
      </c>
      <c r="Y30" s="20"/>
      <c r="Z30" s="20"/>
      <c r="AA30" s="19" t="n">
        <v>0</v>
      </c>
      <c r="AB30" s="20"/>
      <c r="AC30" s="20"/>
      <c r="AD30" s="24" t="n">
        <f aca="false">IFERROR(AA30/AC30,0)</f>
        <v>0</v>
      </c>
      <c r="AE30" s="25" t="n">
        <f aca="false">K30-Q30-X30</f>
        <v>0</v>
      </c>
      <c r="AF30" s="25" t="n">
        <f aca="false">Q30-AA30</f>
        <v>0</v>
      </c>
      <c r="AG30" s="20"/>
      <c r="AH30" s="26" t="n">
        <f aca="false">IFERROR(AG30/Q30,0)</f>
        <v>0</v>
      </c>
      <c r="AI30" s="27" t="n">
        <v>0</v>
      </c>
      <c r="AJ30" s="26" t="n">
        <f aca="false">IF(AI30&gt;0,AprCoef/SQRT(AI30),0)</f>
        <v>0</v>
      </c>
      <c r="AK30" s="24" t="n">
        <f aca="false">AI30*AJ30/365</f>
        <v>0</v>
      </c>
      <c r="AL30" s="24" t="n">
        <f aca="false">AD30</f>
        <v>0</v>
      </c>
      <c r="AM30" s="24" t="n">
        <f aca="false">AK30-AL30</f>
        <v>0</v>
      </c>
      <c r="AN30" s="28" t="str">
        <f aca="false">IF(A30&gt;=Hip3LaunchDate,"YES","")</f>
        <v/>
      </c>
      <c r="AO30" s="28" t="str">
        <f aca="false">IF(A30&lt;Hip4LaunchDate,"pre-launch","live (zero-fee)")</f>
        <v>pre-launch</v>
      </c>
      <c r="AP30" s="20"/>
      <c r="AQ30" s="20"/>
      <c r="AR30" s="20"/>
    </row>
    <row r="31" customFormat="false" ht="15" hidden="false" customHeight="false" outlineLevel="0" collapsed="false">
      <c r="A31" s="18" t="n">
        <v>45092</v>
      </c>
      <c r="B31" s="19" t="n">
        <v>95830879.85</v>
      </c>
      <c r="C31" s="19" t="n">
        <v>0</v>
      </c>
      <c r="D31" s="20"/>
      <c r="E31" s="21" t="n">
        <f aca="false">B31+C31</f>
        <v>95830879.85</v>
      </c>
      <c r="F31" s="21" t="n">
        <f aca="false">E31+D31</f>
        <v>95830879.85</v>
      </c>
      <c r="G31" s="22" t="n">
        <f aca="false">IFERROR(C31/E31,0)</f>
        <v>0</v>
      </c>
      <c r="H31" s="20"/>
      <c r="I31" s="20"/>
      <c r="J31" s="20"/>
      <c r="K31" s="21" t="n">
        <f aca="false">H31+I31</f>
        <v>0</v>
      </c>
      <c r="L31" s="20"/>
      <c r="M31" s="21" t="n">
        <f aca="false">H31-L31</f>
        <v>0</v>
      </c>
      <c r="N31" s="23" t="n">
        <f aca="false">IFERROR(M31/B31*10000,0)</f>
        <v>0</v>
      </c>
      <c r="O31" s="20"/>
      <c r="P31" s="20"/>
      <c r="Q31" s="21" t="n">
        <f aca="false">O31+P31</f>
        <v>0</v>
      </c>
      <c r="R31" s="22" t="n">
        <f aca="false">IF(A31&lt;HlpChangeDate,HlpSharePre,HlpSharePost)</f>
        <v>0.03</v>
      </c>
      <c r="S31" s="21" t="n">
        <f aca="false">Q31*R31/(1-R31)</f>
        <v>0</v>
      </c>
      <c r="T31" s="20"/>
      <c r="U31" s="21" t="n">
        <f aca="false">S31-T31</f>
        <v>0</v>
      </c>
      <c r="V31" s="21" t="n">
        <f aca="false">Y31-O31*R31/(1-R31)</f>
        <v>0</v>
      </c>
      <c r="W31" s="21" t="n">
        <f aca="false">Z31-P31*R31/(1-R31)</f>
        <v>0</v>
      </c>
      <c r="X31" s="21" t="n">
        <f aca="false">S31+V31+W31</f>
        <v>0</v>
      </c>
      <c r="Y31" s="20"/>
      <c r="Z31" s="20"/>
      <c r="AA31" s="19" t="n">
        <v>0</v>
      </c>
      <c r="AB31" s="20"/>
      <c r="AC31" s="20"/>
      <c r="AD31" s="24" t="n">
        <f aca="false">IFERROR(AA31/AC31,0)</f>
        <v>0</v>
      </c>
      <c r="AE31" s="25" t="n">
        <f aca="false">K31-Q31-X31</f>
        <v>0</v>
      </c>
      <c r="AF31" s="25" t="n">
        <f aca="false">Q31-AA31</f>
        <v>0</v>
      </c>
      <c r="AG31" s="20"/>
      <c r="AH31" s="26" t="n">
        <f aca="false">IFERROR(AG31/Q31,0)</f>
        <v>0</v>
      </c>
      <c r="AI31" s="27" t="n">
        <v>0</v>
      </c>
      <c r="AJ31" s="26" t="n">
        <f aca="false">IF(AI31&gt;0,AprCoef/SQRT(AI31),0)</f>
        <v>0</v>
      </c>
      <c r="AK31" s="24" t="n">
        <f aca="false">AI31*AJ31/365</f>
        <v>0</v>
      </c>
      <c r="AL31" s="24" t="n">
        <f aca="false">AD31</f>
        <v>0</v>
      </c>
      <c r="AM31" s="24" t="n">
        <f aca="false">AK31-AL31</f>
        <v>0</v>
      </c>
      <c r="AN31" s="28" t="str">
        <f aca="false">IF(A31&gt;=Hip3LaunchDate,"YES","")</f>
        <v/>
      </c>
      <c r="AO31" s="28" t="str">
        <f aca="false">IF(A31&lt;Hip4LaunchDate,"pre-launch","live (zero-fee)")</f>
        <v>pre-launch</v>
      </c>
      <c r="AP31" s="20"/>
      <c r="AQ31" s="20"/>
      <c r="AR31" s="20"/>
    </row>
    <row r="32" customFormat="false" ht="15" hidden="false" customHeight="false" outlineLevel="0" collapsed="false">
      <c r="A32" s="18" t="n">
        <v>45093</v>
      </c>
      <c r="B32" s="19" t="n">
        <v>16587189.4</v>
      </c>
      <c r="C32" s="19" t="n">
        <v>0</v>
      </c>
      <c r="D32" s="20"/>
      <c r="E32" s="21" t="n">
        <f aca="false">B32+C32</f>
        <v>16587189.4</v>
      </c>
      <c r="F32" s="21" t="n">
        <f aca="false">E32+D32</f>
        <v>16587189.4</v>
      </c>
      <c r="G32" s="22" t="n">
        <f aca="false">IFERROR(C32/E32,0)</f>
        <v>0</v>
      </c>
      <c r="H32" s="20"/>
      <c r="I32" s="20"/>
      <c r="J32" s="20"/>
      <c r="K32" s="21" t="n">
        <f aca="false">H32+I32</f>
        <v>0</v>
      </c>
      <c r="L32" s="20"/>
      <c r="M32" s="21" t="n">
        <f aca="false">H32-L32</f>
        <v>0</v>
      </c>
      <c r="N32" s="23" t="n">
        <f aca="false">IFERROR(M32/B32*10000,0)</f>
        <v>0</v>
      </c>
      <c r="O32" s="20"/>
      <c r="P32" s="20"/>
      <c r="Q32" s="21" t="n">
        <f aca="false">O32+P32</f>
        <v>0</v>
      </c>
      <c r="R32" s="22" t="n">
        <f aca="false">IF(A32&lt;HlpChangeDate,HlpSharePre,HlpSharePost)</f>
        <v>0.03</v>
      </c>
      <c r="S32" s="21" t="n">
        <f aca="false">Q32*R32/(1-R32)</f>
        <v>0</v>
      </c>
      <c r="T32" s="20"/>
      <c r="U32" s="21" t="n">
        <f aca="false">S32-T32</f>
        <v>0</v>
      </c>
      <c r="V32" s="21" t="n">
        <f aca="false">Y32-O32*R32/(1-R32)</f>
        <v>0</v>
      </c>
      <c r="W32" s="21" t="n">
        <f aca="false">Z32-P32*R32/(1-R32)</f>
        <v>0</v>
      </c>
      <c r="X32" s="21" t="n">
        <f aca="false">S32+V32+W32</f>
        <v>0</v>
      </c>
      <c r="Y32" s="20"/>
      <c r="Z32" s="20"/>
      <c r="AA32" s="19" t="n">
        <v>0</v>
      </c>
      <c r="AB32" s="20"/>
      <c r="AC32" s="20"/>
      <c r="AD32" s="24" t="n">
        <f aca="false">IFERROR(AA32/AC32,0)</f>
        <v>0</v>
      </c>
      <c r="AE32" s="25" t="n">
        <f aca="false">K32-Q32-X32</f>
        <v>0</v>
      </c>
      <c r="AF32" s="25" t="n">
        <f aca="false">Q32-AA32</f>
        <v>0</v>
      </c>
      <c r="AG32" s="20"/>
      <c r="AH32" s="26" t="n">
        <f aca="false">IFERROR(AG32/Q32,0)</f>
        <v>0</v>
      </c>
      <c r="AI32" s="27" t="n">
        <v>0</v>
      </c>
      <c r="AJ32" s="26" t="n">
        <f aca="false">IF(AI32&gt;0,AprCoef/SQRT(AI32),0)</f>
        <v>0</v>
      </c>
      <c r="AK32" s="24" t="n">
        <f aca="false">AI32*AJ32/365</f>
        <v>0</v>
      </c>
      <c r="AL32" s="24" t="n">
        <f aca="false">AD32</f>
        <v>0</v>
      </c>
      <c r="AM32" s="24" t="n">
        <f aca="false">AK32-AL32</f>
        <v>0</v>
      </c>
      <c r="AN32" s="28" t="str">
        <f aca="false">IF(A32&gt;=Hip3LaunchDate,"YES","")</f>
        <v/>
      </c>
      <c r="AO32" s="28" t="str">
        <f aca="false">IF(A32&lt;Hip4LaunchDate,"pre-launch","live (zero-fee)")</f>
        <v>pre-launch</v>
      </c>
      <c r="AP32" s="20"/>
      <c r="AQ32" s="20"/>
      <c r="AR32" s="20"/>
    </row>
    <row r="33" customFormat="false" ht="15" hidden="false" customHeight="false" outlineLevel="0" collapsed="false">
      <c r="A33" s="18" t="n">
        <v>45094</v>
      </c>
      <c r="B33" s="19" t="n">
        <v>9952192.19</v>
      </c>
      <c r="C33" s="19" t="n">
        <v>0</v>
      </c>
      <c r="D33" s="20"/>
      <c r="E33" s="21" t="n">
        <f aca="false">B33+C33</f>
        <v>9952192.19</v>
      </c>
      <c r="F33" s="21" t="n">
        <f aca="false">E33+D33</f>
        <v>9952192.19</v>
      </c>
      <c r="G33" s="22" t="n">
        <f aca="false">IFERROR(C33/E33,0)</f>
        <v>0</v>
      </c>
      <c r="H33" s="20"/>
      <c r="I33" s="20"/>
      <c r="J33" s="20"/>
      <c r="K33" s="21" t="n">
        <f aca="false">H33+I33</f>
        <v>0</v>
      </c>
      <c r="L33" s="20"/>
      <c r="M33" s="21" t="n">
        <f aca="false">H33-L33</f>
        <v>0</v>
      </c>
      <c r="N33" s="23" t="n">
        <f aca="false">IFERROR(M33/B33*10000,0)</f>
        <v>0</v>
      </c>
      <c r="O33" s="20"/>
      <c r="P33" s="20"/>
      <c r="Q33" s="21" t="n">
        <f aca="false">O33+P33</f>
        <v>0</v>
      </c>
      <c r="R33" s="22" t="n">
        <f aca="false">IF(A33&lt;HlpChangeDate,HlpSharePre,HlpSharePost)</f>
        <v>0.03</v>
      </c>
      <c r="S33" s="21" t="n">
        <f aca="false">Q33*R33/(1-R33)</f>
        <v>0</v>
      </c>
      <c r="T33" s="20"/>
      <c r="U33" s="21" t="n">
        <f aca="false">S33-T33</f>
        <v>0</v>
      </c>
      <c r="V33" s="21" t="n">
        <f aca="false">Y33-O33*R33/(1-R33)</f>
        <v>0</v>
      </c>
      <c r="W33" s="21" t="n">
        <f aca="false">Z33-P33*R33/(1-R33)</f>
        <v>0</v>
      </c>
      <c r="X33" s="21" t="n">
        <f aca="false">S33+V33+W33</f>
        <v>0</v>
      </c>
      <c r="Y33" s="20"/>
      <c r="Z33" s="20"/>
      <c r="AA33" s="19" t="n">
        <v>0</v>
      </c>
      <c r="AB33" s="20"/>
      <c r="AC33" s="20"/>
      <c r="AD33" s="24" t="n">
        <f aca="false">IFERROR(AA33/AC33,0)</f>
        <v>0</v>
      </c>
      <c r="AE33" s="25" t="n">
        <f aca="false">K33-Q33-X33</f>
        <v>0</v>
      </c>
      <c r="AF33" s="25" t="n">
        <f aca="false">Q33-AA33</f>
        <v>0</v>
      </c>
      <c r="AG33" s="20"/>
      <c r="AH33" s="26" t="n">
        <f aca="false">IFERROR(AG33/Q33,0)</f>
        <v>0</v>
      </c>
      <c r="AI33" s="27" t="n">
        <v>0</v>
      </c>
      <c r="AJ33" s="26" t="n">
        <f aca="false">IF(AI33&gt;0,AprCoef/SQRT(AI33),0)</f>
        <v>0</v>
      </c>
      <c r="AK33" s="24" t="n">
        <f aca="false">AI33*AJ33/365</f>
        <v>0</v>
      </c>
      <c r="AL33" s="24" t="n">
        <f aca="false">AD33</f>
        <v>0</v>
      </c>
      <c r="AM33" s="24" t="n">
        <f aca="false">AK33-AL33</f>
        <v>0</v>
      </c>
      <c r="AN33" s="28" t="str">
        <f aca="false">IF(A33&gt;=Hip3LaunchDate,"YES","")</f>
        <v/>
      </c>
      <c r="AO33" s="28" t="str">
        <f aca="false">IF(A33&lt;Hip4LaunchDate,"pre-launch","live (zero-fee)")</f>
        <v>pre-launch</v>
      </c>
      <c r="AP33" s="20"/>
      <c r="AQ33" s="20"/>
      <c r="AR33" s="20"/>
    </row>
    <row r="34" customFormat="false" ht="15" hidden="false" customHeight="false" outlineLevel="0" collapsed="false">
      <c r="A34" s="18" t="n">
        <v>45095</v>
      </c>
      <c r="B34" s="19" t="n">
        <v>9641694</v>
      </c>
      <c r="C34" s="19" t="n">
        <v>0</v>
      </c>
      <c r="D34" s="20"/>
      <c r="E34" s="21" t="n">
        <f aca="false">B34+C34</f>
        <v>9641694</v>
      </c>
      <c r="F34" s="21" t="n">
        <f aca="false">E34+D34</f>
        <v>9641694</v>
      </c>
      <c r="G34" s="22" t="n">
        <f aca="false">IFERROR(C34/E34,0)</f>
        <v>0</v>
      </c>
      <c r="H34" s="20"/>
      <c r="I34" s="20"/>
      <c r="J34" s="20"/>
      <c r="K34" s="21" t="n">
        <f aca="false">H34+I34</f>
        <v>0</v>
      </c>
      <c r="L34" s="20"/>
      <c r="M34" s="21" t="n">
        <f aca="false">H34-L34</f>
        <v>0</v>
      </c>
      <c r="N34" s="23" t="n">
        <f aca="false">IFERROR(M34/B34*10000,0)</f>
        <v>0</v>
      </c>
      <c r="O34" s="20"/>
      <c r="P34" s="20"/>
      <c r="Q34" s="21" t="n">
        <f aca="false">O34+P34</f>
        <v>0</v>
      </c>
      <c r="R34" s="22" t="n">
        <f aca="false">IF(A34&lt;HlpChangeDate,HlpSharePre,HlpSharePost)</f>
        <v>0.03</v>
      </c>
      <c r="S34" s="21" t="n">
        <f aca="false">Q34*R34/(1-R34)</f>
        <v>0</v>
      </c>
      <c r="T34" s="20"/>
      <c r="U34" s="21" t="n">
        <f aca="false">S34-T34</f>
        <v>0</v>
      </c>
      <c r="V34" s="21" t="n">
        <f aca="false">Y34-O34*R34/(1-R34)</f>
        <v>0</v>
      </c>
      <c r="W34" s="21" t="n">
        <f aca="false">Z34-P34*R34/(1-R34)</f>
        <v>0</v>
      </c>
      <c r="X34" s="21" t="n">
        <f aca="false">S34+V34+W34</f>
        <v>0</v>
      </c>
      <c r="Y34" s="20"/>
      <c r="Z34" s="20"/>
      <c r="AA34" s="19" t="n">
        <v>0</v>
      </c>
      <c r="AB34" s="20"/>
      <c r="AC34" s="20"/>
      <c r="AD34" s="24" t="n">
        <f aca="false">IFERROR(AA34/AC34,0)</f>
        <v>0</v>
      </c>
      <c r="AE34" s="25" t="n">
        <f aca="false">K34-Q34-X34</f>
        <v>0</v>
      </c>
      <c r="AF34" s="25" t="n">
        <f aca="false">Q34-AA34</f>
        <v>0</v>
      </c>
      <c r="AG34" s="20"/>
      <c r="AH34" s="26" t="n">
        <f aca="false">IFERROR(AG34/Q34,0)</f>
        <v>0</v>
      </c>
      <c r="AI34" s="27" t="n">
        <v>0</v>
      </c>
      <c r="AJ34" s="26" t="n">
        <f aca="false">IF(AI34&gt;0,AprCoef/SQRT(AI34),0)</f>
        <v>0</v>
      </c>
      <c r="AK34" s="24" t="n">
        <f aca="false">AI34*AJ34/365</f>
        <v>0</v>
      </c>
      <c r="AL34" s="24" t="n">
        <f aca="false">AD34</f>
        <v>0</v>
      </c>
      <c r="AM34" s="24" t="n">
        <f aca="false">AK34-AL34</f>
        <v>0</v>
      </c>
      <c r="AN34" s="28" t="str">
        <f aca="false">IF(A34&gt;=Hip3LaunchDate,"YES","")</f>
        <v/>
      </c>
      <c r="AO34" s="28" t="str">
        <f aca="false">IF(A34&lt;Hip4LaunchDate,"pre-launch","live (zero-fee)")</f>
        <v>pre-launch</v>
      </c>
      <c r="AP34" s="20"/>
      <c r="AQ34" s="20"/>
      <c r="AR34" s="20"/>
    </row>
    <row r="35" customFormat="false" ht="15" hidden="false" customHeight="false" outlineLevel="0" collapsed="false">
      <c r="A35" s="18" t="n">
        <v>45096</v>
      </c>
      <c r="B35" s="19" t="n">
        <v>17453853.87</v>
      </c>
      <c r="C35" s="19" t="n">
        <v>0</v>
      </c>
      <c r="D35" s="20"/>
      <c r="E35" s="21" t="n">
        <f aca="false">B35+C35</f>
        <v>17453853.87</v>
      </c>
      <c r="F35" s="21" t="n">
        <f aca="false">E35+D35</f>
        <v>17453853.87</v>
      </c>
      <c r="G35" s="22" t="n">
        <f aca="false">IFERROR(C35/E35,0)</f>
        <v>0</v>
      </c>
      <c r="H35" s="20"/>
      <c r="I35" s="20"/>
      <c r="J35" s="20"/>
      <c r="K35" s="21" t="n">
        <f aca="false">H35+I35</f>
        <v>0</v>
      </c>
      <c r="L35" s="20"/>
      <c r="M35" s="21" t="n">
        <f aca="false">H35-L35</f>
        <v>0</v>
      </c>
      <c r="N35" s="23" t="n">
        <f aca="false">IFERROR(M35/B35*10000,0)</f>
        <v>0</v>
      </c>
      <c r="O35" s="20"/>
      <c r="P35" s="20"/>
      <c r="Q35" s="21" t="n">
        <f aca="false">O35+P35</f>
        <v>0</v>
      </c>
      <c r="R35" s="22" t="n">
        <f aca="false">IF(A35&lt;HlpChangeDate,HlpSharePre,HlpSharePost)</f>
        <v>0.03</v>
      </c>
      <c r="S35" s="21" t="n">
        <f aca="false">Q35*R35/(1-R35)</f>
        <v>0</v>
      </c>
      <c r="T35" s="20"/>
      <c r="U35" s="21" t="n">
        <f aca="false">S35-T35</f>
        <v>0</v>
      </c>
      <c r="V35" s="21" t="n">
        <f aca="false">Y35-O35*R35/(1-R35)</f>
        <v>0</v>
      </c>
      <c r="W35" s="21" t="n">
        <f aca="false">Z35-P35*R35/(1-R35)</f>
        <v>0</v>
      </c>
      <c r="X35" s="21" t="n">
        <f aca="false">S35+V35+W35</f>
        <v>0</v>
      </c>
      <c r="Y35" s="20"/>
      <c r="Z35" s="20"/>
      <c r="AA35" s="19" t="n">
        <v>0</v>
      </c>
      <c r="AB35" s="20"/>
      <c r="AC35" s="20"/>
      <c r="AD35" s="24" t="n">
        <f aca="false">IFERROR(AA35/AC35,0)</f>
        <v>0</v>
      </c>
      <c r="AE35" s="25" t="n">
        <f aca="false">K35-Q35-X35</f>
        <v>0</v>
      </c>
      <c r="AF35" s="25" t="n">
        <f aca="false">Q35-AA35</f>
        <v>0</v>
      </c>
      <c r="AG35" s="20"/>
      <c r="AH35" s="26" t="n">
        <f aca="false">IFERROR(AG35/Q35,0)</f>
        <v>0</v>
      </c>
      <c r="AI35" s="27" t="n">
        <v>0</v>
      </c>
      <c r="AJ35" s="26" t="n">
        <f aca="false">IF(AI35&gt;0,AprCoef/SQRT(AI35),0)</f>
        <v>0</v>
      </c>
      <c r="AK35" s="24" t="n">
        <f aca="false">AI35*AJ35/365</f>
        <v>0</v>
      </c>
      <c r="AL35" s="24" t="n">
        <f aca="false">AD35</f>
        <v>0</v>
      </c>
      <c r="AM35" s="24" t="n">
        <f aca="false">AK35-AL35</f>
        <v>0</v>
      </c>
      <c r="AN35" s="28" t="str">
        <f aca="false">IF(A35&gt;=Hip3LaunchDate,"YES","")</f>
        <v/>
      </c>
      <c r="AO35" s="28" t="str">
        <f aca="false">IF(A35&lt;Hip4LaunchDate,"pre-launch","live (zero-fee)")</f>
        <v>pre-launch</v>
      </c>
      <c r="AP35" s="20"/>
      <c r="AQ35" s="20"/>
      <c r="AR35" s="20"/>
    </row>
    <row r="36" customFormat="false" ht="15" hidden="false" customHeight="false" outlineLevel="0" collapsed="false">
      <c r="A36" s="18" t="n">
        <v>45097</v>
      </c>
      <c r="B36" s="19" t="n">
        <v>27580830</v>
      </c>
      <c r="C36" s="19" t="n">
        <v>0</v>
      </c>
      <c r="D36" s="20"/>
      <c r="E36" s="21" t="n">
        <f aca="false">B36+C36</f>
        <v>27580830</v>
      </c>
      <c r="F36" s="21" t="n">
        <f aca="false">E36+D36</f>
        <v>27580830</v>
      </c>
      <c r="G36" s="22" t="n">
        <f aca="false">IFERROR(C36/E36,0)</f>
        <v>0</v>
      </c>
      <c r="H36" s="20"/>
      <c r="I36" s="20"/>
      <c r="J36" s="20"/>
      <c r="K36" s="21" t="n">
        <f aca="false">H36+I36</f>
        <v>0</v>
      </c>
      <c r="L36" s="20"/>
      <c r="M36" s="21" t="n">
        <f aca="false">H36-L36</f>
        <v>0</v>
      </c>
      <c r="N36" s="23" t="n">
        <f aca="false">IFERROR(M36/B36*10000,0)</f>
        <v>0</v>
      </c>
      <c r="O36" s="20"/>
      <c r="P36" s="20"/>
      <c r="Q36" s="21" t="n">
        <f aca="false">O36+P36</f>
        <v>0</v>
      </c>
      <c r="R36" s="22" t="n">
        <f aca="false">IF(A36&lt;HlpChangeDate,HlpSharePre,HlpSharePost)</f>
        <v>0.03</v>
      </c>
      <c r="S36" s="21" t="n">
        <f aca="false">Q36*R36/(1-R36)</f>
        <v>0</v>
      </c>
      <c r="T36" s="20"/>
      <c r="U36" s="21" t="n">
        <f aca="false">S36-T36</f>
        <v>0</v>
      </c>
      <c r="V36" s="21" t="n">
        <f aca="false">Y36-O36*R36/(1-R36)</f>
        <v>0</v>
      </c>
      <c r="W36" s="21" t="n">
        <f aca="false">Z36-P36*R36/(1-R36)</f>
        <v>0</v>
      </c>
      <c r="X36" s="21" t="n">
        <f aca="false">S36+V36+W36</f>
        <v>0</v>
      </c>
      <c r="Y36" s="20"/>
      <c r="Z36" s="20"/>
      <c r="AA36" s="19" t="n">
        <v>0</v>
      </c>
      <c r="AB36" s="20"/>
      <c r="AC36" s="20"/>
      <c r="AD36" s="24" t="n">
        <f aca="false">IFERROR(AA36/AC36,0)</f>
        <v>0</v>
      </c>
      <c r="AE36" s="25" t="n">
        <f aca="false">K36-Q36-X36</f>
        <v>0</v>
      </c>
      <c r="AF36" s="25" t="n">
        <f aca="false">Q36-AA36</f>
        <v>0</v>
      </c>
      <c r="AG36" s="20"/>
      <c r="AH36" s="26" t="n">
        <f aca="false">IFERROR(AG36/Q36,0)</f>
        <v>0</v>
      </c>
      <c r="AI36" s="27" t="n">
        <v>0</v>
      </c>
      <c r="AJ36" s="26" t="n">
        <f aca="false">IF(AI36&gt;0,AprCoef/SQRT(AI36),0)</f>
        <v>0</v>
      </c>
      <c r="AK36" s="24" t="n">
        <f aca="false">AI36*AJ36/365</f>
        <v>0</v>
      </c>
      <c r="AL36" s="24" t="n">
        <f aca="false">AD36</f>
        <v>0</v>
      </c>
      <c r="AM36" s="24" t="n">
        <f aca="false">AK36-AL36</f>
        <v>0</v>
      </c>
      <c r="AN36" s="28" t="str">
        <f aca="false">IF(A36&gt;=Hip3LaunchDate,"YES","")</f>
        <v/>
      </c>
      <c r="AO36" s="28" t="str">
        <f aca="false">IF(A36&lt;Hip4LaunchDate,"pre-launch","live (zero-fee)")</f>
        <v>pre-launch</v>
      </c>
      <c r="AP36" s="20"/>
      <c r="AQ36" s="20"/>
      <c r="AR36" s="20"/>
    </row>
    <row r="37" customFormat="false" ht="15" hidden="false" customHeight="false" outlineLevel="0" collapsed="false">
      <c r="A37" s="18" t="n">
        <v>45098</v>
      </c>
      <c r="B37" s="19" t="n">
        <v>61364794.97</v>
      </c>
      <c r="C37" s="19" t="n">
        <v>0</v>
      </c>
      <c r="D37" s="20"/>
      <c r="E37" s="21" t="n">
        <f aca="false">B37+C37</f>
        <v>61364794.97</v>
      </c>
      <c r="F37" s="21" t="n">
        <f aca="false">E37+D37</f>
        <v>61364794.97</v>
      </c>
      <c r="G37" s="22" t="n">
        <f aca="false">IFERROR(C37/E37,0)</f>
        <v>0</v>
      </c>
      <c r="H37" s="20"/>
      <c r="I37" s="20"/>
      <c r="J37" s="20"/>
      <c r="K37" s="21" t="n">
        <f aca="false">H37+I37</f>
        <v>0</v>
      </c>
      <c r="L37" s="20"/>
      <c r="M37" s="21" t="n">
        <f aca="false">H37-L37</f>
        <v>0</v>
      </c>
      <c r="N37" s="23" t="n">
        <f aca="false">IFERROR(M37/B37*10000,0)</f>
        <v>0</v>
      </c>
      <c r="O37" s="20"/>
      <c r="P37" s="20"/>
      <c r="Q37" s="21" t="n">
        <f aca="false">O37+P37</f>
        <v>0</v>
      </c>
      <c r="R37" s="22" t="n">
        <f aca="false">IF(A37&lt;HlpChangeDate,HlpSharePre,HlpSharePost)</f>
        <v>0.03</v>
      </c>
      <c r="S37" s="21" t="n">
        <f aca="false">Q37*R37/(1-R37)</f>
        <v>0</v>
      </c>
      <c r="T37" s="20"/>
      <c r="U37" s="21" t="n">
        <f aca="false">S37-T37</f>
        <v>0</v>
      </c>
      <c r="V37" s="21" t="n">
        <f aca="false">Y37-O37*R37/(1-R37)</f>
        <v>0</v>
      </c>
      <c r="W37" s="21" t="n">
        <f aca="false">Z37-P37*R37/(1-R37)</f>
        <v>0</v>
      </c>
      <c r="X37" s="21" t="n">
        <f aca="false">S37+V37+W37</f>
        <v>0</v>
      </c>
      <c r="Y37" s="20"/>
      <c r="Z37" s="20"/>
      <c r="AA37" s="19" t="n">
        <v>0</v>
      </c>
      <c r="AB37" s="20"/>
      <c r="AC37" s="20"/>
      <c r="AD37" s="24" t="n">
        <f aca="false">IFERROR(AA37/AC37,0)</f>
        <v>0</v>
      </c>
      <c r="AE37" s="25" t="n">
        <f aca="false">K37-Q37-X37</f>
        <v>0</v>
      </c>
      <c r="AF37" s="25" t="n">
        <f aca="false">Q37-AA37</f>
        <v>0</v>
      </c>
      <c r="AG37" s="20"/>
      <c r="AH37" s="26" t="n">
        <f aca="false">IFERROR(AG37/Q37,0)</f>
        <v>0</v>
      </c>
      <c r="AI37" s="27" t="n">
        <v>0</v>
      </c>
      <c r="AJ37" s="26" t="n">
        <f aca="false">IF(AI37&gt;0,AprCoef/SQRT(AI37),0)</f>
        <v>0</v>
      </c>
      <c r="AK37" s="24" t="n">
        <f aca="false">AI37*AJ37/365</f>
        <v>0</v>
      </c>
      <c r="AL37" s="24" t="n">
        <f aca="false">AD37</f>
        <v>0</v>
      </c>
      <c r="AM37" s="24" t="n">
        <f aca="false">AK37-AL37</f>
        <v>0</v>
      </c>
      <c r="AN37" s="28" t="str">
        <f aca="false">IF(A37&gt;=Hip3LaunchDate,"YES","")</f>
        <v/>
      </c>
      <c r="AO37" s="28" t="str">
        <f aca="false">IF(A37&lt;Hip4LaunchDate,"pre-launch","live (zero-fee)")</f>
        <v>pre-launch</v>
      </c>
      <c r="AP37" s="20"/>
      <c r="AQ37" s="20"/>
      <c r="AR37" s="20"/>
    </row>
    <row r="38" customFormat="false" ht="15" hidden="false" customHeight="false" outlineLevel="0" collapsed="false">
      <c r="A38" s="18" t="n">
        <v>45099</v>
      </c>
      <c r="B38" s="19" t="n">
        <v>43955291.81</v>
      </c>
      <c r="C38" s="19" t="n">
        <v>0</v>
      </c>
      <c r="D38" s="20"/>
      <c r="E38" s="21" t="n">
        <f aca="false">B38+C38</f>
        <v>43955291.81</v>
      </c>
      <c r="F38" s="21" t="n">
        <f aca="false">E38+D38</f>
        <v>43955291.81</v>
      </c>
      <c r="G38" s="22" t="n">
        <f aca="false">IFERROR(C38/E38,0)</f>
        <v>0</v>
      </c>
      <c r="H38" s="20"/>
      <c r="I38" s="20"/>
      <c r="J38" s="20"/>
      <c r="K38" s="21" t="n">
        <f aca="false">H38+I38</f>
        <v>0</v>
      </c>
      <c r="L38" s="20"/>
      <c r="M38" s="21" t="n">
        <f aca="false">H38-L38</f>
        <v>0</v>
      </c>
      <c r="N38" s="23" t="n">
        <f aca="false">IFERROR(M38/B38*10000,0)</f>
        <v>0</v>
      </c>
      <c r="O38" s="20"/>
      <c r="P38" s="20"/>
      <c r="Q38" s="21" t="n">
        <f aca="false">O38+P38</f>
        <v>0</v>
      </c>
      <c r="R38" s="22" t="n">
        <f aca="false">IF(A38&lt;HlpChangeDate,HlpSharePre,HlpSharePost)</f>
        <v>0.03</v>
      </c>
      <c r="S38" s="21" t="n">
        <f aca="false">Q38*R38/(1-R38)</f>
        <v>0</v>
      </c>
      <c r="T38" s="20"/>
      <c r="U38" s="21" t="n">
        <f aca="false">S38-T38</f>
        <v>0</v>
      </c>
      <c r="V38" s="21" t="n">
        <f aca="false">Y38-O38*R38/(1-R38)</f>
        <v>0</v>
      </c>
      <c r="W38" s="21" t="n">
        <f aca="false">Z38-P38*R38/(1-R38)</f>
        <v>0</v>
      </c>
      <c r="X38" s="21" t="n">
        <f aca="false">S38+V38+W38</f>
        <v>0</v>
      </c>
      <c r="Y38" s="20"/>
      <c r="Z38" s="20"/>
      <c r="AA38" s="19" t="n">
        <v>0</v>
      </c>
      <c r="AB38" s="20"/>
      <c r="AC38" s="20"/>
      <c r="AD38" s="24" t="n">
        <f aca="false">IFERROR(AA38/AC38,0)</f>
        <v>0</v>
      </c>
      <c r="AE38" s="25" t="n">
        <f aca="false">K38-Q38-X38</f>
        <v>0</v>
      </c>
      <c r="AF38" s="25" t="n">
        <f aca="false">Q38-AA38</f>
        <v>0</v>
      </c>
      <c r="AG38" s="20"/>
      <c r="AH38" s="26" t="n">
        <f aca="false">IFERROR(AG38/Q38,0)</f>
        <v>0</v>
      </c>
      <c r="AI38" s="27" t="n">
        <v>0</v>
      </c>
      <c r="AJ38" s="26" t="n">
        <f aca="false">IF(AI38&gt;0,AprCoef/SQRT(AI38),0)</f>
        <v>0</v>
      </c>
      <c r="AK38" s="24" t="n">
        <f aca="false">AI38*AJ38/365</f>
        <v>0</v>
      </c>
      <c r="AL38" s="24" t="n">
        <f aca="false">AD38</f>
        <v>0</v>
      </c>
      <c r="AM38" s="24" t="n">
        <f aca="false">AK38-AL38</f>
        <v>0</v>
      </c>
      <c r="AN38" s="28" t="str">
        <f aca="false">IF(A38&gt;=Hip3LaunchDate,"YES","")</f>
        <v/>
      </c>
      <c r="AO38" s="28" t="str">
        <f aca="false">IF(A38&lt;Hip4LaunchDate,"pre-launch","live (zero-fee)")</f>
        <v>pre-launch</v>
      </c>
      <c r="AP38" s="20"/>
      <c r="AQ38" s="20"/>
      <c r="AR38" s="20"/>
    </row>
    <row r="39" customFormat="false" ht="15" hidden="false" customHeight="false" outlineLevel="0" collapsed="false">
      <c r="A39" s="18" t="n">
        <v>45100</v>
      </c>
      <c r="B39" s="19" t="n">
        <v>47863456.18</v>
      </c>
      <c r="C39" s="19" t="n">
        <v>0</v>
      </c>
      <c r="D39" s="20"/>
      <c r="E39" s="21" t="n">
        <f aca="false">B39+C39</f>
        <v>47863456.18</v>
      </c>
      <c r="F39" s="21" t="n">
        <f aca="false">E39+D39</f>
        <v>47863456.18</v>
      </c>
      <c r="G39" s="22" t="n">
        <f aca="false">IFERROR(C39/E39,0)</f>
        <v>0</v>
      </c>
      <c r="H39" s="20"/>
      <c r="I39" s="20"/>
      <c r="J39" s="20"/>
      <c r="K39" s="21" t="n">
        <f aca="false">H39+I39</f>
        <v>0</v>
      </c>
      <c r="L39" s="20"/>
      <c r="M39" s="21" t="n">
        <f aca="false">H39-L39</f>
        <v>0</v>
      </c>
      <c r="N39" s="23" t="n">
        <f aca="false">IFERROR(M39/B39*10000,0)</f>
        <v>0</v>
      </c>
      <c r="O39" s="20"/>
      <c r="P39" s="20"/>
      <c r="Q39" s="21" t="n">
        <f aca="false">O39+P39</f>
        <v>0</v>
      </c>
      <c r="R39" s="22" t="n">
        <f aca="false">IF(A39&lt;HlpChangeDate,HlpSharePre,HlpSharePost)</f>
        <v>0.03</v>
      </c>
      <c r="S39" s="21" t="n">
        <f aca="false">Q39*R39/(1-R39)</f>
        <v>0</v>
      </c>
      <c r="T39" s="20"/>
      <c r="U39" s="21" t="n">
        <f aca="false">S39-T39</f>
        <v>0</v>
      </c>
      <c r="V39" s="21" t="n">
        <f aca="false">Y39-O39*R39/(1-R39)</f>
        <v>0</v>
      </c>
      <c r="W39" s="21" t="n">
        <f aca="false">Z39-P39*R39/(1-R39)</f>
        <v>0</v>
      </c>
      <c r="X39" s="21" t="n">
        <f aca="false">S39+V39+W39</f>
        <v>0</v>
      </c>
      <c r="Y39" s="20"/>
      <c r="Z39" s="20"/>
      <c r="AA39" s="19" t="n">
        <v>0</v>
      </c>
      <c r="AB39" s="20"/>
      <c r="AC39" s="20"/>
      <c r="AD39" s="24" t="n">
        <f aca="false">IFERROR(AA39/AC39,0)</f>
        <v>0</v>
      </c>
      <c r="AE39" s="25" t="n">
        <f aca="false">K39-Q39-X39</f>
        <v>0</v>
      </c>
      <c r="AF39" s="25" t="n">
        <f aca="false">Q39-AA39</f>
        <v>0</v>
      </c>
      <c r="AG39" s="20"/>
      <c r="AH39" s="26" t="n">
        <f aca="false">IFERROR(AG39/Q39,0)</f>
        <v>0</v>
      </c>
      <c r="AI39" s="27" t="n">
        <v>0</v>
      </c>
      <c r="AJ39" s="26" t="n">
        <f aca="false">IF(AI39&gt;0,AprCoef/SQRT(AI39),0)</f>
        <v>0</v>
      </c>
      <c r="AK39" s="24" t="n">
        <f aca="false">AI39*AJ39/365</f>
        <v>0</v>
      </c>
      <c r="AL39" s="24" t="n">
        <f aca="false">AD39</f>
        <v>0</v>
      </c>
      <c r="AM39" s="24" t="n">
        <f aca="false">AK39-AL39</f>
        <v>0</v>
      </c>
      <c r="AN39" s="28" t="str">
        <f aca="false">IF(A39&gt;=Hip3LaunchDate,"YES","")</f>
        <v/>
      </c>
      <c r="AO39" s="28" t="str">
        <f aca="false">IF(A39&lt;Hip4LaunchDate,"pre-launch","live (zero-fee)")</f>
        <v>pre-launch</v>
      </c>
      <c r="AP39" s="20"/>
      <c r="AQ39" s="20"/>
      <c r="AR39" s="20"/>
    </row>
    <row r="40" customFormat="false" ht="15" hidden="false" customHeight="false" outlineLevel="0" collapsed="false">
      <c r="A40" s="18" t="n">
        <v>45101</v>
      </c>
      <c r="B40" s="19" t="n">
        <v>33718306.41</v>
      </c>
      <c r="C40" s="19" t="n">
        <v>0</v>
      </c>
      <c r="D40" s="20"/>
      <c r="E40" s="21" t="n">
        <f aca="false">B40+C40</f>
        <v>33718306.41</v>
      </c>
      <c r="F40" s="21" t="n">
        <f aca="false">E40+D40</f>
        <v>33718306.41</v>
      </c>
      <c r="G40" s="22" t="n">
        <f aca="false">IFERROR(C40/E40,0)</f>
        <v>0</v>
      </c>
      <c r="H40" s="20"/>
      <c r="I40" s="20"/>
      <c r="J40" s="20"/>
      <c r="K40" s="21" t="n">
        <f aca="false">H40+I40</f>
        <v>0</v>
      </c>
      <c r="L40" s="20"/>
      <c r="M40" s="21" t="n">
        <f aca="false">H40-L40</f>
        <v>0</v>
      </c>
      <c r="N40" s="23" t="n">
        <f aca="false">IFERROR(M40/B40*10000,0)</f>
        <v>0</v>
      </c>
      <c r="O40" s="20"/>
      <c r="P40" s="20"/>
      <c r="Q40" s="21" t="n">
        <f aca="false">O40+P40</f>
        <v>0</v>
      </c>
      <c r="R40" s="22" t="n">
        <f aca="false">IF(A40&lt;HlpChangeDate,HlpSharePre,HlpSharePost)</f>
        <v>0.03</v>
      </c>
      <c r="S40" s="21" t="n">
        <f aca="false">Q40*R40/(1-R40)</f>
        <v>0</v>
      </c>
      <c r="T40" s="20"/>
      <c r="U40" s="21" t="n">
        <f aca="false">S40-T40</f>
        <v>0</v>
      </c>
      <c r="V40" s="21" t="n">
        <f aca="false">Y40-O40*R40/(1-R40)</f>
        <v>0</v>
      </c>
      <c r="W40" s="21" t="n">
        <f aca="false">Z40-P40*R40/(1-R40)</f>
        <v>0</v>
      </c>
      <c r="X40" s="21" t="n">
        <f aca="false">S40+V40+W40</f>
        <v>0</v>
      </c>
      <c r="Y40" s="20"/>
      <c r="Z40" s="20"/>
      <c r="AA40" s="19" t="n">
        <v>0</v>
      </c>
      <c r="AB40" s="20"/>
      <c r="AC40" s="20"/>
      <c r="AD40" s="24" t="n">
        <f aca="false">IFERROR(AA40/AC40,0)</f>
        <v>0</v>
      </c>
      <c r="AE40" s="25" t="n">
        <f aca="false">K40-Q40-X40</f>
        <v>0</v>
      </c>
      <c r="AF40" s="25" t="n">
        <f aca="false">Q40-AA40</f>
        <v>0</v>
      </c>
      <c r="AG40" s="20"/>
      <c r="AH40" s="26" t="n">
        <f aca="false">IFERROR(AG40/Q40,0)</f>
        <v>0</v>
      </c>
      <c r="AI40" s="27" t="n">
        <v>0</v>
      </c>
      <c r="AJ40" s="26" t="n">
        <f aca="false">IF(AI40&gt;0,AprCoef/SQRT(AI40),0)</f>
        <v>0</v>
      </c>
      <c r="AK40" s="24" t="n">
        <f aca="false">AI40*AJ40/365</f>
        <v>0</v>
      </c>
      <c r="AL40" s="24" t="n">
        <f aca="false">AD40</f>
        <v>0</v>
      </c>
      <c r="AM40" s="24" t="n">
        <f aca="false">AK40-AL40</f>
        <v>0</v>
      </c>
      <c r="AN40" s="28" t="str">
        <f aca="false">IF(A40&gt;=Hip3LaunchDate,"YES","")</f>
        <v/>
      </c>
      <c r="AO40" s="28" t="str">
        <f aca="false">IF(A40&lt;Hip4LaunchDate,"pre-launch","live (zero-fee)")</f>
        <v>pre-launch</v>
      </c>
      <c r="AP40" s="20"/>
      <c r="AQ40" s="20"/>
      <c r="AR40" s="20"/>
    </row>
    <row r="41" customFormat="false" ht="15" hidden="false" customHeight="false" outlineLevel="0" collapsed="false">
      <c r="A41" s="18" t="n">
        <v>45102</v>
      </c>
      <c r="B41" s="19" t="n">
        <v>36663557.62</v>
      </c>
      <c r="C41" s="19" t="n">
        <v>0</v>
      </c>
      <c r="D41" s="20"/>
      <c r="E41" s="21" t="n">
        <f aca="false">B41+C41</f>
        <v>36663557.62</v>
      </c>
      <c r="F41" s="21" t="n">
        <f aca="false">E41+D41</f>
        <v>36663557.62</v>
      </c>
      <c r="G41" s="22" t="n">
        <f aca="false">IFERROR(C41/E41,0)</f>
        <v>0</v>
      </c>
      <c r="H41" s="20"/>
      <c r="I41" s="20"/>
      <c r="J41" s="20"/>
      <c r="K41" s="21" t="n">
        <f aca="false">H41+I41</f>
        <v>0</v>
      </c>
      <c r="L41" s="20"/>
      <c r="M41" s="21" t="n">
        <f aca="false">H41-L41</f>
        <v>0</v>
      </c>
      <c r="N41" s="23" t="n">
        <f aca="false">IFERROR(M41/B41*10000,0)</f>
        <v>0</v>
      </c>
      <c r="O41" s="20"/>
      <c r="P41" s="20"/>
      <c r="Q41" s="21" t="n">
        <f aca="false">O41+P41</f>
        <v>0</v>
      </c>
      <c r="R41" s="22" t="n">
        <f aca="false">IF(A41&lt;HlpChangeDate,HlpSharePre,HlpSharePost)</f>
        <v>0.03</v>
      </c>
      <c r="S41" s="21" t="n">
        <f aca="false">Q41*R41/(1-R41)</f>
        <v>0</v>
      </c>
      <c r="T41" s="20"/>
      <c r="U41" s="21" t="n">
        <f aca="false">S41-T41</f>
        <v>0</v>
      </c>
      <c r="V41" s="21" t="n">
        <f aca="false">Y41-O41*R41/(1-R41)</f>
        <v>0</v>
      </c>
      <c r="W41" s="21" t="n">
        <f aca="false">Z41-P41*R41/(1-R41)</f>
        <v>0</v>
      </c>
      <c r="X41" s="21" t="n">
        <f aca="false">S41+V41+W41</f>
        <v>0</v>
      </c>
      <c r="Y41" s="20"/>
      <c r="Z41" s="20"/>
      <c r="AA41" s="19" t="n">
        <v>0</v>
      </c>
      <c r="AB41" s="20"/>
      <c r="AC41" s="20"/>
      <c r="AD41" s="24" t="n">
        <f aca="false">IFERROR(AA41/AC41,0)</f>
        <v>0</v>
      </c>
      <c r="AE41" s="25" t="n">
        <f aca="false">K41-Q41-X41</f>
        <v>0</v>
      </c>
      <c r="AF41" s="25" t="n">
        <f aca="false">Q41-AA41</f>
        <v>0</v>
      </c>
      <c r="AG41" s="20"/>
      <c r="AH41" s="26" t="n">
        <f aca="false">IFERROR(AG41/Q41,0)</f>
        <v>0</v>
      </c>
      <c r="AI41" s="27" t="n">
        <v>0</v>
      </c>
      <c r="AJ41" s="26" t="n">
        <f aca="false">IF(AI41&gt;0,AprCoef/SQRT(AI41),0)</f>
        <v>0</v>
      </c>
      <c r="AK41" s="24" t="n">
        <f aca="false">AI41*AJ41/365</f>
        <v>0</v>
      </c>
      <c r="AL41" s="24" t="n">
        <f aca="false">AD41</f>
        <v>0</v>
      </c>
      <c r="AM41" s="24" t="n">
        <f aca="false">AK41-AL41</f>
        <v>0</v>
      </c>
      <c r="AN41" s="28" t="str">
        <f aca="false">IF(A41&gt;=Hip3LaunchDate,"YES","")</f>
        <v/>
      </c>
      <c r="AO41" s="28" t="str">
        <f aca="false">IF(A41&lt;Hip4LaunchDate,"pre-launch","live (zero-fee)")</f>
        <v>pre-launch</v>
      </c>
      <c r="AP41" s="20"/>
      <c r="AQ41" s="20"/>
      <c r="AR41" s="20"/>
    </row>
    <row r="42" customFormat="false" ht="15" hidden="false" customHeight="false" outlineLevel="0" collapsed="false">
      <c r="A42" s="18" t="n">
        <v>45103</v>
      </c>
      <c r="B42" s="19" t="n">
        <v>33825401.27</v>
      </c>
      <c r="C42" s="19" t="n">
        <v>0</v>
      </c>
      <c r="D42" s="20"/>
      <c r="E42" s="21" t="n">
        <f aca="false">B42+C42</f>
        <v>33825401.27</v>
      </c>
      <c r="F42" s="21" t="n">
        <f aca="false">E42+D42</f>
        <v>33825401.27</v>
      </c>
      <c r="G42" s="22" t="n">
        <f aca="false">IFERROR(C42/E42,0)</f>
        <v>0</v>
      </c>
      <c r="H42" s="20"/>
      <c r="I42" s="20"/>
      <c r="J42" s="20"/>
      <c r="K42" s="21" t="n">
        <f aca="false">H42+I42</f>
        <v>0</v>
      </c>
      <c r="L42" s="20"/>
      <c r="M42" s="21" t="n">
        <f aca="false">H42-L42</f>
        <v>0</v>
      </c>
      <c r="N42" s="23" t="n">
        <f aca="false">IFERROR(M42/B42*10000,0)</f>
        <v>0</v>
      </c>
      <c r="O42" s="20"/>
      <c r="P42" s="20"/>
      <c r="Q42" s="21" t="n">
        <f aca="false">O42+P42</f>
        <v>0</v>
      </c>
      <c r="R42" s="22" t="n">
        <f aca="false">IF(A42&lt;HlpChangeDate,HlpSharePre,HlpSharePost)</f>
        <v>0.03</v>
      </c>
      <c r="S42" s="21" t="n">
        <f aca="false">Q42*R42/(1-R42)</f>
        <v>0</v>
      </c>
      <c r="T42" s="20"/>
      <c r="U42" s="21" t="n">
        <f aca="false">S42-T42</f>
        <v>0</v>
      </c>
      <c r="V42" s="21" t="n">
        <f aca="false">Y42-O42*R42/(1-R42)</f>
        <v>0</v>
      </c>
      <c r="W42" s="21" t="n">
        <f aca="false">Z42-P42*R42/(1-R42)</f>
        <v>0</v>
      </c>
      <c r="X42" s="21" t="n">
        <f aca="false">S42+V42+W42</f>
        <v>0</v>
      </c>
      <c r="Y42" s="20"/>
      <c r="Z42" s="20"/>
      <c r="AA42" s="19" t="n">
        <v>0</v>
      </c>
      <c r="AB42" s="20"/>
      <c r="AC42" s="20"/>
      <c r="AD42" s="24" t="n">
        <f aca="false">IFERROR(AA42/AC42,0)</f>
        <v>0</v>
      </c>
      <c r="AE42" s="25" t="n">
        <f aca="false">K42-Q42-X42</f>
        <v>0</v>
      </c>
      <c r="AF42" s="25" t="n">
        <f aca="false">Q42-AA42</f>
        <v>0</v>
      </c>
      <c r="AG42" s="20"/>
      <c r="AH42" s="26" t="n">
        <f aca="false">IFERROR(AG42/Q42,0)</f>
        <v>0</v>
      </c>
      <c r="AI42" s="27" t="n">
        <v>0</v>
      </c>
      <c r="AJ42" s="26" t="n">
        <f aca="false">IF(AI42&gt;0,AprCoef/SQRT(AI42),0)</f>
        <v>0</v>
      </c>
      <c r="AK42" s="24" t="n">
        <f aca="false">AI42*AJ42/365</f>
        <v>0</v>
      </c>
      <c r="AL42" s="24" t="n">
        <f aca="false">AD42</f>
        <v>0</v>
      </c>
      <c r="AM42" s="24" t="n">
        <f aca="false">AK42-AL42</f>
        <v>0</v>
      </c>
      <c r="AN42" s="28" t="str">
        <f aca="false">IF(A42&gt;=Hip3LaunchDate,"YES","")</f>
        <v/>
      </c>
      <c r="AO42" s="28" t="str">
        <f aca="false">IF(A42&lt;Hip4LaunchDate,"pre-launch","live (zero-fee)")</f>
        <v>pre-launch</v>
      </c>
      <c r="AP42" s="20"/>
      <c r="AQ42" s="20"/>
      <c r="AR42" s="20"/>
    </row>
    <row r="43" customFormat="false" ht="15" hidden="false" customHeight="false" outlineLevel="0" collapsed="false">
      <c r="A43" s="18" t="n">
        <v>45104</v>
      </c>
      <c r="B43" s="19" t="n">
        <v>39412414.67</v>
      </c>
      <c r="C43" s="19" t="n">
        <v>0</v>
      </c>
      <c r="D43" s="20"/>
      <c r="E43" s="21" t="n">
        <f aca="false">B43+C43</f>
        <v>39412414.67</v>
      </c>
      <c r="F43" s="21" t="n">
        <f aca="false">E43+D43</f>
        <v>39412414.67</v>
      </c>
      <c r="G43" s="22" t="n">
        <f aca="false">IFERROR(C43/E43,0)</f>
        <v>0</v>
      </c>
      <c r="H43" s="20"/>
      <c r="I43" s="20"/>
      <c r="J43" s="20"/>
      <c r="K43" s="21" t="n">
        <f aca="false">H43+I43</f>
        <v>0</v>
      </c>
      <c r="L43" s="20"/>
      <c r="M43" s="21" t="n">
        <f aca="false">H43-L43</f>
        <v>0</v>
      </c>
      <c r="N43" s="23" t="n">
        <f aca="false">IFERROR(M43/B43*10000,0)</f>
        <v>0</v>
      </c>
      <c r="O43" s="20"/>
      <c r="P43" s="20"/>
      <c r="Q43" s="21" t="n">
        <f aca="false">O43+P43</f>
        <v>0</v>
      </c>
      <c r="R43" s="22" t="n">
        <f aca="false">IF(A43&lt;HlpChangeDate,HlpSharePre,HlpSharePost)</f>
        <v>0.03</v>
      </c>
      <c r="S43" s="21" t="n">
        <f aca="false">Q43*R43/(1-R43)</f>
        <v>0</v>
      </c>
      <c r="T43" s="20"/>
      <c r="U43" s="21" t="n">
        <f aca="false">S43-T43</f>
        <v>0</v>
      </c>
      <c r="V43" s="21" t="n">
        <f aca="false">Y43-O43*R43/(1-R43)</f>
        <v>0</v>
      </c>
      <c r="W43" s="21" t="n">
        <f aca="false">Z43-P43*R43/(1-R43)</f>
        <v>0</v>
      </c>
      <c r="X43" s="21" t="n">
        <f aca="false">S43+V43+W43</f>
        <v>0</v>
      </c>
      <c r="Y43" s="20"/>
      <c r="Z43" s="20"/>
      <c r="AA43" s="19" t="n">
        <v>0</v>
      </c>
      <c r="AB43" s="20"/>
      <c r="AC43" s="20"/>
      <c r="AD43" s="24" t="n">
        <f aca="false">IFERROR(AA43/AC43,0)</f>
        <v>0</v>
      </c>
      <c r="AE43" s="25" t="n">
        <f aca="false">K43-Q43-X43</f>
        <v>0</v>
      </c>
      <c r="AF43" s="25" t="n">
        <f aca="false">Q43-AA43</f>
        <v>0</v>
      </c>
      <c r="AG43" s="20"/>
      <c r="AH43" s="26" t="n">
        <f aca="false">IFERROR(AG43/Q43,0)</f>
        <v>0</v>
      </c>
      <c r="AI43" s="27" t="n">
        <v>0</v>
      </c>
      <c r="AJ43" s="26" t="n">
        <f aca="false">IF(AI43&gt;0,AprCoef/SQRT(AI43),0)</f>
        <v>0</v>
      </c>
      <c r="AK43" s="24" t="n">
        <f aca="false">AI43*AJ43/365</f>
        <v>0</v>
      </c>
      <c r="AL43" s="24" t="n">
        <f aca="false">AD43</f>
        <v>0</v>
      </c>
      <c r="AM43" s="24" t="n">
        <f aca="false">AK43-AL43</f>
        <v>0</v>
      </c>
      <c r="AN43" s="28" t="str">
        <f aca="false">IF(A43&gt;=Hip3LaunchDate,"YES","")</f>
        <v/>
      </c>
      <c r="AO43" s="28" t="str">
        <f aca="false">IF(A43&lt;Hip4LaunchDate,"pre-launch","live (zero-fee)")</f>
        <v>pre-launch</v>
      </c>
      <c r="AP43" s="20"/>
      <c r="AQ43" s="20"/>
      <c r="AR43" s="20"/>
    </row>
    <row r="44" customFormat="false" ht="15" hidden="false" customHeight="false" outlineLevel="0" collapsed="false">
      <c r="A44" s="18" t="n">
        <v>45105</v>
      </c>
      <c r="B44" s="19" t="n">
        <v>36420297.35</v>
      </c>
      <c r="C44" s="19" t="n">
        <v>0</v>
      </c>
      <c r="D44" s="20"/>
      <c r="E44" s="21" t="n">
        <f aca="false">B44+C44</f>
        <v>36420297.35</v>
      </c>
      <c r="F44" s="21" t="n">
        <f aca="false">E44+D44</f>
        <v>36420297.35</v>
      </c>
      <c r="G44" s="22" t="n">
        <f aca="false">IFERROR(C44/E44,0)</f>
        <v>0</v>
      </c>
      <c r="H44" s="20"/>
      <c r="I44" s="20"/>
      <c r="J44" s="20"/>
      <c r="K44" s="21" t="n">
        <f aca="false">H44+I44</f>
        <v>0</v>
      </c>
      <c r="L44" s="20"/>
      <c r="M44" s="21" t="n">
        <f aca="false">H44-L44</f>
        <v>0</v>
      </c>
      <c r="N44" s="23" t="n">
        <f aca="false">IFERROR(M44/B44*10000,0)</f>
        <v>0</v>
      </c>
      <c r="O44" s="20"/>
      <c r="P44" s="20"/>
      <c r="Q44" s="21" t="n">
        <f aca="false">O44+P44</f>
        <v>0</v>
      </c>
      <c r="R44" s="22" t="n">
        <f aca="false">IF(A44&lt;HlpChangeDate,HlpSharePre,HlpSharePost)</f>
        <v>0.03</v>
      </c>
      <c r="S44" s="21" t="n">
        <f aca="false">Q44*R44/(1-R44)</f>
        <v>0</v>
      </c>
      <c r="T44" s="20"/>
      <c r="U44" s="21" t="n">
        <f aca="false">S44-T44</f>
        <v>0</v>
      </c>
      <c r="V44" s="21" t="n">
        <f aca="false">Y44-O44*R44/(1-R44)</f>
        <v>0</v>
      </c>
      <c r="W44" s="21" t="n">
        <f aca="false">Z44-P44*R44/(1-R44)</f>
        <v>0</v>
      </c>
      <c r="X44" s="21" t="n">
        <f aca="false">S44+V44+W44</f>
        <v>0</v>
      </c>
      <c r="Y44" s="20"/>
      <c r="Z44" s="20"/>
      <c r="AA44" s="19" t="n">
        <v>0</v>
      </c>
      <c r="AB44" s="20"/>
      <c r="AC44" s="20"/>
      <c r="AD44" s="24" t="n">
        <f aca="false">IFERROR(AA44/AC44,0)</f>
        <v>0</v>
      </c>
      <c r="AE44" s="25" t="n">
        <f aca="false">K44-Q44-X44</f>
        <v>0</v>
      </c>
      <c r="AF44" s="25" t="n">
        <f aca="false">Q44-AA44</f>
        <v>0</v>
      </c>
      <c r="AG44" s="20"/>
      <c r="AH44" s="26" t="n">
        <f aca="false">IFERROR(AG44/Q44,0)</f>
        <v>0</v>
      </c>
      <c r="AI44" s="27" t="n">
        <v>0</v>
      </c>
      <c r="AJ44" s="26" t="n">
        <f aca="false">IF(AI44&gt;0,AprCoef/SQRT(AI44),0)</f>
        <v>0</v>
      </c>
      <c r="AK44" s="24" t="n">
        <f aca="false">AI44*AJ44/365</f>
        <v>0</v>
      </c>
      <c r="AL44" s="24" t="n">
        <f aca="false">AD44</f>
        <v>0</v>
      </c>
      <c r="AM44" s="24" t="n">
        <f aca="false">AK44-AL44</f>
        <v>0</v>
      </c>
      <c r="AN44" s="28" t="str">
        <f aca="false">IF(A44&gt;=Hip3LaunchDate,"YES","")</f>
        <v/>
      </c>
      <c r="AO44" s="28" t="str">
        <f aca="false">IF(A44&lt;Hip4LaunchDate,"pre-launch","live (zero-fee)")</f>
        <v>pre-launch</v>
      </c>
      <c r="AP44" s="20"/>
      <c r="AQ44" s="20"/>
      <c r="AR44" s="20"/>
    </row>
    <row r="45" customFormat="false" ht="15" hidden="false" customHeight="false" outlineLevel="0" collapsed="false">
      <c r="A45" s="18" t="n">
        <v>45106</v>
      </c>
      <c r="B45" s="19" t="n">
        <v>35097287.47</v>
      </c>
      <c r="C45" s="19" t="n">
        <v>0</v>
      </c>
      <c r="D45" s="20"/>
      <c r="E45" s="21" t="n">
        <f aca="false">B45+C45</f>
        <v>35097287.47</v>
      </c>
      <c r="F45" s="21" t="n">
        <f aca="false">E45+D45</f>
        <v>35097287.47</v>
      </c>
      <c r="G45" s="22" t="n">
        <f aca="false">IFERROR(C45/E45,0)</f>
        <v>0</v>
      </c>
      <c r="H45" s="20"/>
      <c r="I45" s="20"/>
      <c r="J45" s="20"/>
      <c r="K45" s="21" t="n">
        <f aca="false">H45+I45</f>
        <v>0</v>
      </c>
      <c r="L45" s="20"/>
      <c r="M45" s="21" t="n">
        <f aca="false">H45-L45</f>
        <v>0</v>
      </c>
      <c r="N45" s="23" t="n">
        <f aca="false">IFERROR(M45/B45*10000,0)</f>
        <v>0</v>
      </c>
      <c r="O45" s="20"/>
      <c r="P45" s="20"/>
      <c r="Q45" s="21" t="n">
        <f aca="false">O45+P45</f>
        <v>0</v>
      </c>
      <c r="R45" s="22" t="n">
        <f aca="false">IF(A45&lt;HlpChangeDate,HlpSharePre,HlpSharePost)</f>
        <v>0.03</v>
      </c>
      <c r="S45" s="21" t="n">
        <f aca="false">Q45*R45/(1-R45)</f>
        <v>0</v>
      </c>
      <c r="T45" s="20"/>
      <c r="U45" s="21" t="n">
        <f aca="false">S45-T45</f>
        <v>0</v>
      </c>
      <c r="V45" s="21" t="n">
        <f aca="false">Y45-O45*R45/(1-R45)</f>
        <v>0</v>
      </c>
      <c r="W45" s="21" t="n">
        <f aca="false">Z45-P45*R45/(1-R45)</f>
        <v>0</v>
      </c>
      <c r="X45" s="21" t="n">
        <f aca="false">S45+V45+W45</f>
        <v>0</v>
      </c>
      <c r="Y45" s="20"/>
      <c r="Z45" s="20"/>
      <c r="AA45" s="19" t="n">
        <v>0</v>
      </c>
      <c r="AB45" s="20"/>
      <c r="AC45" s="20"/>
      <c r="AD45" s="24" t="n">
        <f aca="false">IFERROR(AA45/AC45,0)</f>
        <v>0</v>
      </c>
      <c r="AE45" s="25" t="n">
        <f aca="false">K45-Q45-X45</f>
        <v>0</v>
      </c>
      <c r="AF45" s="25" t="n">
        <f aca="false">Q45-AA45</f>
        <v>0</v>
      </c>
      <c r="AG45" s="20"/>
      <c r="AH45" s="26" t="n">
        <f aca="false">IFERROR(AG45/Q45,0)</f>
        <v>0</v>
      </c>
      <c r="AI45" s="27" t="n">
        <v>0</v>
      </c>
      <c r="AJ45" s="26" t="n">
        <f aca="false">IF(AI45&gt;0,AprCoef/SQRT(AI45),0)</f>
        <v>0</v>
      </c>
      <c r="AK45" s="24" t="n">
        <f aca="false">AI45*AJ45/365</f>
        <v>0</v>
      </c>
      <c r="AL45" s="24" t="n">
        <f aca="false">AD45</f>
        <v>0</v>
      </c>
      <c r="AM45" s="24" t="n">
        <f aca="false">AK45-AL45</f>
        <v>0</v>
      </c>
      <c r="AN45" s="28" t="str">
        <f aca="false">IF(A45&gt;=Hip3LaunchDate,"YES","")</f>
        <v/>
      </c>
      <c r="AO45" s="28" t="str">
        <f aca="false">IF(A45&lt;Hip4LaunchDate,"pre-launch","live (zero-fee)")</f>
        <v>pre-launch</v>
      </c>
      <c r="AP45" s="20"/>
      <c r="AQ45" s="20"/>
      <c r="AR45" s="20"/>
    </row>
    <row r="46" customFormat="false" ht="15" hidden="false" customHeight="false" outlineLevel="0" collapsed="false">
      <c r="A46" s="18" t="n">
        <v>45107</v>
      </c>
      <c r="B46" s="19" t="n">
        <v>38893210</v>
      </c>
      <c r="C46" s="19" t="n">
        <v>0</v>
      </c>
      <c r="D46" s="20"/>
      <c r="E46" s="21" t="n">
        <f aca="false">B46+C46</f>
        <v>38893210</v>
      </c>
      <c r="F46" s="21" t="n">
        <f aca="false">E46+D46</f>
        <v>38893210</v>
      </c>
      <c r="G46" s="22" t="n">
        <f aca="false">IFERROR(C46/E46,0)</f>
        <v>0</v>
      </c>
      <c r="H46" s="20"/>
      <c r="I46" s="20"/>
      <c r="J46" s="20"/>
      <c r="K46" s="21" t="n">
        <f aca="false">H46+I46</f>
        <v>0</v>
      </c>
      <c r="L46" s="20"/>
      <c r="M46" s="21" t="n">
        <f aca="false">H46-L46</f>
        <v>0</v>
      </c>
      <c r="N46" s="23" t="n">
        <f aca="false">IFERROR(M46/B46*10000,0)</f>
        <v>0</v>
      </c>
      <c r="O46" s="20"/>
      <c r="P46" s="20"/>
      <c r="Q46" s="21" t="n">
        <f aca="false">O46+P46</f>
        <v>0</v>
      </c>
      <c r="R46" s="22" t="n">
        <f aca="false">IF(A46&lt;HlpChangeDate,HlpSharePre,HlpSharePost)</f>
        <v>0.03</v>
      </c>
      <c r="S46" s="21" t="n">
        <f aca="false">Q46*R46/(1-R46)</f>
        <v>0</v>
      </c>
      <c r="T46" s="20"/>
      <c r="U46" s="21" t="n">
        <f aca="false">S46-T46</f>
        <v>0</v>
      </c>
      <c r="V46" s="21" t="n">
        <f aca="false">Y46-O46*R46/(1-R46)</f>
        <v>0</v>
      </c>
      <c r="W46" s="21" t="n">
        <f aca="false">Z46-P46*R46/(1-R46)</f>
        <v>0</v>
      </c>
      <c r="X46" s="21" t="n">
        <f aca="false">S46+V46+W46</f>
        <v>0</v>
      </c>
      <c r="Y46" s="20"/>
      <c r="Z46" s="20"/>
      <c r="AA46" s="19" t="n">
        <v>0</v>
      </c>
      <c r="AB46" s="20"/>
      <c r="AC46" s="20"/>
      <c r="AD46" s="24" t="n">
        <f aca="false">IFERROR(AA46/AC46,0)</f>
        <v>0</v>
      </c>
      <c r="AE46" s="25" t="n">
        <f aca="false">K46-Q46-X46</f>
        <v>0</v>
      </c>
      <c r="AF46" s="25" t="n">
        <f aca="false">Q46-AA46</f>
        <v>0</v>
      </c>
      <c r="AG46" s="20"/>
      <c r="AH46" s="26" t="n">
        <f aca="false">IFERROR(AG46/Q46,0)</f>
        <v>0</v>
      </c>
      <c r="AI46" s="27" t="n">
        <v>0</v>
      </c>
      <c r="AJ46" s="26" t="n">
        <f aca="false">IF(AI46&gt;0,AprCoef/SQRT(AI46),0)</f>
        <v>0</v>
      </c>
      <c r="AK46" s="24" t="n">
        <f aca="false">AI46*AJ46/365</f>
        <v>0</v>
      </c>
      <c r="AL46" s="24" t="n">
        <f aca="false">AD46</f>
        <v>0</v>
      </c>
      <c r="AM46" s="24" t="n">
        <f aca="false">AK46-AL46</f>
        <v>0</v>
      </c>
      <c r="AN46" s="28" t="str">
        <f aca="false">IF(A46&gt;=Hip3LaunchDate,"YES","")</f>
        <v/>
      </c>
      <c r="AO46" s="28" t="str">
        <f aca="false">IF(A46&lt;Hip4LaunchDate,"pre-launch","live (zero-fee)")</f>
        <v>pre-launch</v>
      </c>
      <c r="AP46" s="20"/>
      <c r="AQ46" s="20"/>
      <c r="AR46" s="20"/>
    </row>
    <row r="47" customFormat="false" ht="15" hidden="false" customHeight="false" outlineLevel="0" collapsed="false">
      <c r="A47" s="18" t="n">
        <v>45108</v>
      </c>
      <c r="B47" s="19" t="n">
        <v>36096499.01</v>
      </c>
      <c r="C47" s="19" t="n">
        <v>0</v>
      </c>
      <c r="D47" s="20"/>
      <c r="E47" s="21" t="n">
        <f aca="false">B47+C47</f>
        <v>36096499.01</v>
      </c>
      <c r="F47" s="21" t="n">
        <f aca="false">E47+D47</f>
        <v>36096499.01</v>
      </c>
      <c r="G47" s="22" t="n">
        <f aca="false">IFERROR(C47/E47,0)</f>
        <v>0</v>
      </c>
      <c r="H47" s="20"/>
      <c r="I47" s="20"/>
      <c r="J47" s="20"/>
      <c r="K47" s="21" t="n">
        <f aca="false">H47+I47</f>
        <v>0</v>
      </c>
      <c r="L47" s="20"/>
      <c r="M47" s="21" t="n">
        <f aca="false">H47-L47</f>
        <v>0</v>
      </c>
      <c r="N47" s="23" t="n">
        <f aca="false">IFERROR(M47/B47*10000,0)</f>
        <v>0</v>
      </c>
      <c r="O47" s="20"/>
      <c r="P47" s="20"/>
      <c r="Q47" s="21" t="n">
        <f aca="false">O47+P47</f>
        <v>0</v>
      </c>
      <c r="R47" s="22" t="n">
        <f aca="false">IF(A47&lt;HlpChangeDate,HlpSharePre,HlpSharePost)</f>
        <v>0.03</v>
      </c>
      <c r="S47" s="21" t="n">
        <f aca="false">Q47*R47/(1-R47)</f>
        <v>0</v>
      </c>
      <c r="T47" s="20"/>
      <c r="U47" s="21" t="n">
        <f aca="false">S47-T47</f>
        <v>0</v>
      </c>
      <c r="V47" s="21" t="n">
        <f aca="false">Y47-O47*R47/(1-R47)</f>
        <v>0</v>
      </c>
      <c r="W47" s="21" t="n">
        <f aca="false">Z47-P47*R47/(1-R47)</f>
        <v>0</v>
      </c>
      <c r="X47" s="21" t="n">
        <f aca="false">S47+V47+W47</f>
        <v>0</v>
      </c>
      <c r="Y47" s="20"/>
      <c r="Z47" s="20"/>
      <c r="AA47" s="19" t="n">
        <v>0</v>
      </c>
      <c r="AB47" s="20"/>
      <c r="AC47" s="20"/>
      <c r="AD47" s="24" t="n">
        <f aca="false">IFERROR(AA47/AC47,0)</f>
        <v>0</v>
      </c>
      <c r="AE47" s="25" t="n">
        <f aca="false">K47-Q47-X47</f>
        <v>0</v>
      </c>
      <c r="AF47" s="25" t="n">
        <f aca="false">Q47-AA47</f>
        <v>0</v>
      </c>
      <c r="AG47" s="20"/>
      <c r="AH47" s="26" t="n">
        <f aca="false">IFERROR(AG47/Q47,0)</f>
        <v>0</v>
      </c>
      <c r="AI47" s="27" t="n">
        <v>0</v>
      </c>
      <c r="AJ47" s="26" t="n">
        <f aca="false">IF(AI47&gt;0,AprCoef/SQRT(AI47),0)</f>
        <v>0</v>
      </c>
      <c r="AK47" s="24" t="n">
        <f aca="false">AI47*AJ47/365</f>
        <v>0</v>
      </c>
      <c r="AL47" s="24" t="n">
        <f aca="false">AD47</f>
        <v>0</v>
      </c>
      <c r="AM47" s="24" t="n">
        <f aca="false">AK47-AL47</f>
        <v>0</v>
      </c>
      <c r="AN47" s="28" t="str">
        <f aca="false">IF(A47&gt;=Hip3LaunchDate,"YES","")</f>
        <v/>
      </c>
      <c r="AO47" s="28" t="str">
        <f aca="false">IF(A47&lt;Hip4LaunchDate,"pre-launch","live (zero-fee)")</f>
        <v>pre-launch</v>
      </c>
      <c r="AP47" s="20"/>
      <c r="AQ47" s="20"/>
      <c r="AR47" s="20"/>
    </row>
    <row r="48" customFormat="false" ht="15" hidden="false" customHeight="false" outlineLevel="0" collapsed="false">
      <c r="A48" s="18" t="n">
        <v>45109</v>
      </c>
      <c r="B48" s="19" t="n">
        <v>40130798.83</v>
      </c>
      <c r="C48" s="19" t="n">
        <v>0</v>
      </c>
      <c r="D48" s="20"/>
      <c r="E48" s="21" t="n">
        <f aca="false">B48+C48</f>
        <v>40130798.83</v>
      </c>
      <c r="F48" s="21" t="n">
        <f aca="false">E48+D48</f>
        <v>40130798.83</v>
      </c>
      <c r="G48" s="22" t="n">
        <f aca="false">IFERROR(C48/E48,0)</f>
        <v>0</v>
      </c>
      <c r="H48" s="20"/>
      <c r="I48" s="20"/>
      <c r="J48" s="20"/>
      <c r="K48" s="21" t="n">
        <f aca="false">H48+I48</f>
        <v>0</v>
      </c>
      <c r="L48" s="20"/>
      <c r="M48" s="21" t="n">
        <f aca="false">H48-L48</f>
        <v>0</v>
      </c>
      <c r="N48" s="23" t="n">
        <f aca="false">IFERROR(M48/B48*10000,0)</f>
        <v>0</v>
      </c>
      <c r="O48" s="20"/>
      <c r="P48" s="20"/>
      <c r="Q48" s="21" t="n">
        <f aca="false">O48+P48</f>
        <v>0</v>
      </c>
      <c r="R48" s="22" t="n">
        <f aca="false">IF(A48&lt;HlpChangeDate,HlpSharePre,HlpSharePost)</f>
        <v>0.03</v>
      </c>
      <c r="S48" s="21" t="n">
        <f aca="false">Q48*R48/(1-R48)</f>
        <v>0</v>
      </c>
      <c r="T48" s="20"/>
      <c r="U48" s="21" t="n">
        <f aca="false">S48-T48</f>
        <v>0</v>
      </c>
      <c r="V48" s="21" t="n">
        <f aca="false">Y48-O48*R48/(1-R48)</f>
        <v>0</v>
      </c>
      <c r="W48" s="21" t="n">
        <f aca="false">Z48-P48*R48/(1-R48)</f>
        <v>0</v>
      </c>
      <c r="X48" s="21" t="n">
        <f aca="false">S48+V48+W48</f>
        <v>0</v>
      </c>
      <c r="Y48" s="20"/>
      <c r="Z48" s="20"/>
      <c r="AA48" s="19" t="n">
        <v>0</v>
      </c>
      <c r="AB48" s="20"/>
      <c r="AC48" s="20"/>
      <c r="AD48" s="24" t="n">
        <f aca="false">IFERROR(AA48/AC48,0)</f>
        <v>0</v>
      </c>
      <c r="AE48" s="25" t="n">
        <f aca="false">K48-Q48-X48</f>
        <v>0</v>
      </c>
      <c r="AF48" s="25" t="n">
        <f aca="false">Q48-AA48</f>
        <v>0</v>
      </c>
      <c r="AG48" s="20"/>
      <c r="AH48" s="26" t="n">
        <f aca="false">IFERROR(AG48/Q48,0)</f>
        <v>0</v>
      </c>
      <c r="AI48" s="27" t="n">
        <v>0</v>
      </c>
      <c r="AJ48" s="26" t="n">
        <f aca="false">IF(AI48&gt;0,AprCoef/SQRT(AI48),0)</f>
        <v>0</v>
      </c>
      <c r="AK48" s="24" t="n">
        <f aca="false">AI48*AJ48/365</f>
        <v>0</v>
      </c>
      <c r="AL48" s="24" t="n">
        <f aca="false">AD48</f>
        <v>0</v>
      </c>
      <c r="AM48" s="24" t="n">
        <f aca="false">AK48-AL48</f>
        <v>0</v>
      </c>
      <c r="AN48" s="28" t="str">
        <f aca="false">IF(A48&gt;=Hip3LaunchDate,"YES","")</f>
        <v/>
      </c>
      <c r="AO48" s="28" t="str">
        <f aca="false">IF(A48&lt;Hip4LaunchDate,"pre-launch","live (zero-fee)")</f>
        <v>pre-launch</v>
      </c>
      <c r="AP48" s="20"/>
      <c r="AQ48" s="20"/>
      <c r="AR48" s="20"/>
    </row>
    <row r="49" customFormat="false" ht="15" hidden="false" customHeight="false" outlineLevel="0" collapsed="false">
      <c r="A49" s="18" t="n">
        <v>45110</v>
      </c>
      <c r="B49" s="19" t="n">
        <v>26975342.24</v>
      </c>
      <c r="C49" s="19" t="n">
        <v>0</v>
      </c>
      <c r="D49" s="20"/>
      <c r="E49" s="21" t="n">
        <f aca="false">B49+C49</f>
        <v>26975342.24</v>
      </c>
      <c r="F49" s="21" t="n">
        <f aca="false">E49+D49</f>
        <v>26975342.24</v>
      </c>
      <c r="G49" s="22" t="n">
        <f aca="false">IFERROR(C49/E49,0)</f>
        <v>0</v>
      </c>
      <c r="H49" s="20"/>
      <c r="I49" s="20"/>
      <c r="J49" s="20"/>
      <c r="K49" s="21" t="n">
        <f aca="false">H49+I49</f>
        <v>0</v>
      </c>
      <c r="L49" s="20"/>
      <c r="M49" s="21" t="n">
        <f aca="false">H49-L49</f>
        <v>0</v>
      </c>
      <c r="N49" s="23" t="n">
        <f aca="false">IFERROR(M49/B49*10000,0)</f>
        <v>0</v>
      </c>
      <c r="O49" s="20"/>
      <c r="P49" s="20"/>
      <c r="Q49" s="21" t="n">
        <f aca="false">O49+P49</f>
        <v>0</v>
      </c>
      <c r="R49" s="22" t="n">
        <f aca="false">IF(A49&lt;HlpChangeDate,HlpSharePre,HlpSharePost)</f>
        <v>0.03</v>
      </c>
      <c r="S49" s="21" t="n">
        <f aca="false">Q49*R49/(1-R49)</f>
        <v>0</v>
      </c>
      <c r="T49" s="20"/>
      <c r="U49" s="21" t="n">
        <f aca="false">S49-T49</f>
        <v>0</v>
      </c>
      <c r="V49" s="21" t="n">
        <f aca="false">Y49-O49*R49/(1-R49)</f>
        <v>0</v>
      </c>
      <c r="W49" s="21" t="n">
        <f aca="false">Z49-P49*R49/(1-R49)</f>
        <v>0</v>
      </c>
      <c r="X49" s="21" t="n">
        <f aca="false">S49+V49+W49</f>
        <v>0</v>
      </c>
      <c r="Y49" s="20"/>
      <c r="Z49" s="20"/>
      <c r="AA49" s="19" t="n">
        <v>0</v>
      </c>
      <c r="AB49" s="20"/>
      <c r="AC49" s="20"/>
      <c r="AD49" s="24" t="n">
        <f aca="false">IFERROR(AA49/AC49,0)</f>
        <v>0</v>
      </c>
      <c r="AE49" s="25" t="n">
        <f aca="false">K49-Q49-X49</f>
        <v>0</v>
      </c>
      <c r="AF49" s="25" t="n">
        <f aca="false">Q49-AA49</f>
        <v>0</v>
      </c>
      <c r="AG49" s="20"/>
      <c r="AH49" s="26" t="n">
        <f aca="false">IFERROR(AG49/Q49,0)</f>
        <v>0</v>
      </c>
      <c r="AI49" s="27" t="n">
        <v>0</v>
      </c>
      <c r="AJ49" s="26" t="n">
        <f aca="false">IF(AI49&gt;0,AprCoef/SQRT(AI49),0)</f>
        <v>0</v>
      </c>
      <c r="AK49" s="24" t="n">
        <f aca="false">AI49*AJ49/365</f>
        <v>0</v>
      </c>
      <c r="AL49" s="24" t="n">
        <f aca="false">AD49</f>
        <v>0</v>
      </c>
      <c r="AM49" s="24" t="n">
        <f aca="false">AK49-AL49</f>
        <v>0</v>
      </c>
      <c r="AN49" s="28" t="str">
        <f aca="false">IF(A49&gt;=Hip3LaunchDate,"YES","")</f>
        <v/>
      </c>
      <c r="AO49" s="28" t="str">
        <f aca="false">IF(A49&lt;Hip4LaunchDate,"pre-launch","live (zero-fee)")</f>
        <v>pre-launch</v>
      </c>
      <c r="AP49" s="20"/>
      <c r="AQ49" s="20"/>
      <c r="AR49" s="20"/>
    </row>
    <row r="50" customFormat="false" ht="15" hidden="false" customHeight="false" outlineLevel="0" collapsed="false">
      <c r="A50" s="18" t="n">
        <v>45111</v>
      </c>
      <c r="B50" s="19" t="n">
        <v>27964915.15</v>
      </c>
      <c r="C50" s="19" t="n">
        <v>0</v>
      </c>
      <c r="D50" s="20"/>
      <c r="E50" s="21" t="n">
        <f aca="false">B50+C50</f>
        <v>27964915.15</v>
      </c>
      <c r="F50" s="21" t="n">
        <f aca="false">E50+D50</f>
        <v>27964915.15</v>
      </c>
      <c r="G50" s="22" t="n">
        <f aca="false">IFERROR(C50/E50,0)</f>
        <v>0</v>
      </c>
      <c r="H50" s="20"/>
      <c r="I50" s="20"/>
      <c r="J50" s="20"/>
      <c r="K50" s="21" t="n">
        <f aca="false">H50+I50</f>
        <v>0</v>
      </c>
      <c r="L50" s="20"/>
      <c r="M50" s="21" t="n">
        <f aca="false">H50-L50</f>
        <v>0</v>
      </c>
      <c r="N50" s="23" t="n">
        <f aca="false">IFERROR(M50/B50*10000,0)</f>
        <v>0</v>
      </c>
      <c r="O50" s="20"/>
      <c r="P50" s="20"/>
      <c r="Q50" s="21" t="n">
        <f aca="false">O50+P50</f>
        <v>0</v>
      </c>
      <c r="R50" s="22" t="n">
        <f aca="false">IF(A50&lt;HlpChangeDate,HlpSharePre,HlpSharePost)</f>
        <v>0.03</v>
      </c>
      <c r="S50" s="21" t="n">
        <f aca="false">Q50*R50/(1-R50)</f>
        <v>0</v>
      </c>
      <c r="T50" s="20"/>
      <c r="U50" s="21" t="n">
        <f aca="false">S50-T50</f>
        <v>0</v>
      </c>
      <c r="V50" s="21" t="n">
        <f aca="false">Y50-O50*R50/(1-R50)</f>
        <v>0</v>
      </c>
      <c r="W50" s="21" t="n">
        <f aca="false">Z50-P50*R50/(1-R50)</f>
        <v>0</v>
      </c>
      <c r="X50" s="21" t="n">
        <f aca="false">S50+V50+W50</f>
        <v>0</v>
      </c>
      <c r="Y50" s="20"/>
      <c r="Z50" s="20"/>
      <c r="AA50" s="19" t="n">
        <v>0</v>
      </c>
      <c r="AB50" s="20"/>
      <c r="AC50" s="20"/>
      <c r="AD50" s="24" t="n">
        <f aca="false">IFERROR(AA50/AC50,0)</f>
        <v>0</v>
      </c>
      <c r="AE50" s="25" t="n">
        <f aca="false">K50-Q50-X50</f>
        <v>0</v>
      </c>
      <c r="AF50" s="25" t="n">
        <f aca="false">Q50-AA50</f>
        <v>0</v>
      </c>
      <c r="AG50" s="20"/>
      <c r="AH50" s="26" t="n">
        <f aca="false">IFERROR(AG50/Q50,0)</f>
        <v>0</v>
      </c>
      <c r="AI50" s="27" t="n">
        <v>0</v>
      </c>
      <c r="AJ50" s="26" t="n">
        <f aca="false">IF(AI50&gt;0,AprCoef/SQRT(AI50),0)</f>
        <v>0</v>
      </c>
      <c r="AK50" s="24" t="n">
        <f aca="false">AI50*AJ50/365</f>
        <v>0</v>
      </c>
      <c r="AL50" s="24" t="n">
        <f aca="false">AD50</f>
        <v>0</v>
      </c>
      <c r="AM50" s="24" t="n">
        <f aca="false">AK50-AL50</f>
        <v>0</v>
      </c>
      <c r="AN50" s="28" t="str">
        <f aca="false">IF(A50&gt;=Hip3LaunchDate,"YES","")</f>
        <v/>
      </c>
      <c r="AO50" s="28" t="str">
        <f aca="false">IF(A50&lt;Hip4LaunchDate,"pre-launch","live (zero-fee)")</f>
        <v>pre-launch</v>
      </c>
      <c r="AP50" s="20"/>
      <c r="AQ50" s="20"/>
      <c r="AR50" s="20"/>
    </row>
    <row r="51" customFormat="false" ht="15" hidden="false" customHeight="false" outlineLevel="0" collapsed="false">
      <c r="A51" s="18" t="n">
        <v>45112</v>
      </c>
      <c r="B51" s="19" t="n">
        <v>51666494.66</v>
      </c>
      <c r="C51" s="19" t="n">
        <v>0</v>
      </c>
      <c r="D51" s="20"/>
      <c r="E51" s="21" t="n">
        <f aca="false">B51+C51</f>
        <v>51666494.66</v>
      </c>
      <c r="F51" s="21" t="n">
        <f aca="false">E51+D51</f>
        <v>51666494.66</v>
      </c>
      <c r="G51" s="22" t="n">
        <f aca="false">IFERROR(C51/E51,0)</f>
        <v>0</v>
      </c>
      <c r="H51" s="20"/>
      <c r="I51" s="20"/>
      <c r="J51" s="20"/>
      <c r="K51" s="21" t="n">
        <f aca="false">H51+I51</f>
        <v>0</v>
      </c>
      <c r="L51" s="20"/>
      <c r="M51" s="21" t="n">
        <f aca="false">H51-L51</f>
        <v>0</v>
      </c>
      <c r="N51" s="23" t="n">
        <f aca="false">IFERROR(M51/B51*10000,0)</f>
        <v>0</v>
      </c>
      <c r="O51" s="20"/>
      <c r="P51" s="20"/>
      <c r="Q51" s="21" t="n">
        <f aca="false">O51+P51</f>
        <v>0</v>
      </c>
      <c r="R51" s="22" t="n">
        <f aca="false">IF(A51&lt;HlpChangeDate,HlpSharePre,HlpSharePost)</f>
        <v>0.03</v>
      </c>
      <c r="S51" s="21" t="n">
        <f aca="false">Q51*R51/(1-R51)</f>
        <v>0</v>
      </c>
      <c r="T51" s="20"/>
      <c r="U51" s="21" t="n">
        <f aca="false">S51-T51</f>
        <v>0</v>
      </c>
      <c r="V51" s="21" t="n">
        <f aca="false">Y51-O51*R51/(1-R51)</f>
        <v>0</v>
      </c>
      <c r="W51" s="21" t="n">
        <f aca="false">Z51-P51*R51/(1-R51)</f>
        <v>0</v>
      </c>
      <c r="X51" s="21" t="n">
        <f aca="false">S51+V51+W51</f>
        <v>0</v>
      </c>
      <c r="Y51" s="20"/>
      <c r="Z51" s="20"/>
      <c r="AA51" s="19" t="n">
        <v>0</v>
      </c>
      <c r="AB51" s="20"/>
      <c r="AC51" s="20"/>
      <c r="AD51" s="24" t="n">
        <f aca="false">IFERROR(AA51/AC51,0)</f>
        <v>0</v>
      </c>
      <c r="AE51" s="25" t="n">
        <f aca="false">K51-Q51-X51</f>
        <v>0</v>
      </c>
      <c r="AF51" s="25" t="n">
        <f aca="false">Q51-AA51</f>
        <v>0</v>
      </c>
      <c r="AG51" s="20"/>
      <c r="AH51" s="26" t="n">
        <f aca="false">IFERROR(AG51/Q51,0)</f>
        <v>0</v>
      </c>
      <c r="AI51" s="27" t="n">
        <v>0</v>
      </c>
      <c r="AJ51" s="26" t="n">
        <f aca="false">IF(AI51&gt;0,AprCoef/SQRT(AI51),0)</f>
        <v>0</v>
      </c>
      <c r="AK51" s="24" t="n">
        <f aca="false">AI51*AJ51/365</f>
        <v>0</v>
      </c>
      <c r="AL51" s="24" t="n">
        <f aca="false">AD51</f>
        <v>0</v>
      </c>
      <c r="AM51" s="24" t="n">
        <f aca="false">AK51-AL51</f>
        <v>0</v>
      </c>
      <c r="AN51" s="28" t="str">
        <f aca="false">IF(A51&gt;=Hip3LaunchDate,"YES","")</f>
        <v/>
      </c>
      <c r="AO51" s="28" t="str">
        <f aca="false">IF(A51&lt;Hip4LaunchDate,"pre-launch","live (zero-fee)")</f>
        <v>pre-launch</v>
      </c>
      <c r="AP51" s="20"/>
      <c r="AQ51" s="20"/>
      <c r="AR51" s="20"/>
    </row>
    <row r="52" customFormat="false" ht="15" hidden="false" customHeight="false" outlineLevel="0" collapsed="false">
      <c r="A52" s="18" t="n">
        <v>45113</v>
      </c>
      <c r="B52" s="19" t="n">
        <v>52236295.34</v>
      </c>
      <c r="C52" s="19" t="n">
        <v>0</v>
      </c>
      <c r="D52" s="20"/>
      <c r="E52" s="21" t="n">
        <f aca="false">B52+C52</f>
        <v>52236295.34</v>
      </c>
      <c r="F52" s="21" t="n">
        <f aca="false">E52+D52</f>
        <v>52236295.34</v>
      </c>
      <c r="G52" s="22" t="n">
        <f aca="false">IFERROR(C52/E52,0)</f>
        <v>0</v>
      </c>
      <c r="H52" s="20"/>
      <c r="I52" s="20"/>
      <c r="J52" s="20"/>
      <c r="K52" s="21" t="n">
        <f aca="false">H52+I52</f>
        <v>0</v>
      </c>
      <c r="L52" s="20"/>
      <c r="M52" s="21" t="n">
        <f aca="false">H52-L52</f>
        <v>0</v>
      </c>
      <c r="N52" s="23" t="n">
        <f aca="false">IFERROR(M52/B52*10000,0)</f>
        <v>0</v>
      </c>
      <c r="O52" s="20"/>
      <c r="P52" s="20"/>
      <c r="Q52" s="21" t="n">
        <f aca="false">O52+P52</f>
        <v>0</v>
      </c>
      <c r="R52" s="22" t="n">
        <f aca="false">IF(A52&lt;HlpChangeDate,HlpSharePre,HlpSharePost)</f>
        <v>0.03</v>
      </c>
      <c r="S52" s="21" t="n">
        <f aca="false">Q52*R52/(1-R52)</f>
        <v>0</v>
      </c>
      <c r="T52" s="20"/>
      <c r="U52" s="21" t="n">
        <f aca="false">S52-T52</f>
        <v>0</v>
      </c>
      <c r="V52" s="21" t="n">
        <f aca="false">Y52-O52*R52/(1-R52)</f>
        <v>0</v>
      </c>
      <c r="W52" s="21" t="n">
        <f aca="false">Z52-P52*R52/(1-R52)</f>
        <v>0</v>
      </c>
      <c r="X52" s="21" t="n">
        <f aca="false">S52+V52+W52</f>
        <v>0</v>
      </c>
      <c r="Y52" s="20"/>
      <c r="Z52" s="20"/>
      <c r="AA52" s="19" t="n">
        <v>0</v>
      </c>
      <c r="AB52" s="20"/>
      <c r="AC52" s="20"/>
      <c r="AD52" s="24" t="n">
        <f aca="false">IFERROR(AA52/AC52,0)</f>
        <v>0</v>
      </c>
      <c r="AE52" s="25" t="n">
        <f aca="false">K52-Q52-X52</f>
        <v>0</v>
      </c>
      <c r="AF52" s="25" t="n">
        <f aca="false">Q52-AA52</f>
        <v>0</v>
      </c>
      <c r="AG52" s="20"/>
      <c r="AH52" s="26" t="n">
        <f aca="false">IFERROR(AG52/Q52,0)</f>
        <v>0</v>
      </c>
      <c r="AI52" s="27" t="n">
        <v>0</v>
      </c>
      <c r="AJ52" s="26" t="n">
        <f aca="false">IF(AI52&gt;0,AprCoef/SQRT(AI52),0)</f>
        <v>0</v>
      </c>
      <c r="AK52" s="24" t="n">
        <f aca="false">AI52*AJ52/365</f>
        <v>0</v>
      </c>
      <c r="AL52" s="24" t="n">
        <f aca="false">AD52</f>
        <v>0</v>
      </c>
      <c r="AM52" s="24" t="n">
        <f aca="false">AK52-AL52</f>
        <v>0</v>
      </c>
      <c r="AN52" s="28" t="str">
        <f aca="false">IF(A52&gt;=Hip3LaunchDate,"YES","")</f>
        <v/>
      </c>
      <c r="AO52" s="28" t="str">
        <f aca="false">IF(A52&lt;Hip4LaunchDate,"pre-launch","live (zero-fee)")</f>
        <v>pre-launch</v>
      </c>
      <c r="AP52" s="20"/>
      <c r="AQ52" s="20"/>
      <c r="AR52" s="20"/>
    </row>
    <row r="53" customFormat="false" ht="15" hidden="false" customHeight="false" outlineLevel="0" collapsed="false">
      <c r="A53" s="18" t="n">
        <v>45114</v>
      </c>
      <c r="B53" s="19" t="n">
        <v>52464368.59</v>
      </c>
      <c r="C53" s="19" t="n">
        <v>0</v>
      </c>
      <c r="D53" s="20"/>
      <c r="E53" s="21" t="n">
        <f aca="false">B53+C53</f>
        <v>52464368.59</v>
      </c>
      <c r="F53" s="21" t="n">
        <f aca="false">E53+D53</f>
        <v>52464368.59</v>
      </c>
      <c r="G53" s="22" t="n">
        <f aca="false">IFERROR(C53/E53,0)</f>
        <v>0</v>
      </c>
      <c r="H53" s="20"/>
      <c r="I53" s="20"/>
      <c r="J53" s="20"/>
      <c r="K53" s="21" t="n">
        <f aca="false">H53+I53</f>
        <v>0</v>
      </c>
      <c r="L53" s="20"/>
      <c r="M53" s="21" t="n">
        <f aca="false">H53-L53</f>
        <v>0</v>
      </c>
      <c r="N53" s="23" t="n">
        <f aca="false">IFERROR(M53/B53*10000,0)</f>
        <v>0</v>
      </c>
      <c r="O53" s="20"/>
      <c r="P53" s="20"/>
      <c r="Q53" s="21" t="n">
        <f aca="false">O53+P53</f>
        <v>0</v>
      </c>
      <c r="R53" s="22" t="n">
        <f aca="false">IF(A53&lt;HlpChangeDate,HlpSharePre,HlpSharePost)</f>
        <v>0.03</v>
      </c>
      <c r="S53" s="21" t="n">
        <f aca="false">Q53*R53/(1-R53)</f>
        <v>0</v>
      </c>
      <c r="T53" s="20"/>
      <c r="U53" s="21" t="n">
        <f aca="false">S53-T53</f>
        <v>0</v>
      </c>
      <c r="V53" s="21" t="n">
        <f aca="false">Y53-O53*R53/(1-R53)</f>
        <v>0</v>
      </c>
      <c r="W53" s="21" t="n">
        <f aca="false">Z53-P53*R53/(1-R53)</f>
        <v>0</v>
      </c>
      <c r="X53" s="21" t="n">
        <f aca="false">S53+V53+W53</f>
        <v>0</v>
      </c>
      <c r="Y53" s="20"/>
      <c r="Z53" s="20"/>
      <c r="AA53" s="19" t="n">
        <v>0</v>
      </c>
      <c r="AB53" s="20"/>
      <c r="AC53" s="20"/>
      <c r="AD53" s="24" t="n">
        <f aca="false">IFERROR(AA53/AC53,0)</f>
        <v>0</v>
      </c>
      <c r="AE53" s="25" t="n">
        <f aca="false">K53-Q53-X53</f>
        <v>0</v>
      </c>
      <c r="AF53" s="25" t="n">
        <f aca="false">Q53-AA53</f>
        <v>0</v>
      </c>
      <c r="AG53" s="20"/>
      <c r="AH53" s="26" t="n">
        <f aca="false">IFERROR(AG53/Q53,0)</f>
        <v>0</v>
      </c>
      <c r="AI53" s="27" t="n">
        <v>0</v>
      </c>
      <c r="AJ53" s="26" t="n">
        <f aca="false">IF(AI53&gt;0,AprCoef/SQRT(AI53),0)</f>
        <v>0</v>
      </c>
      <c r="AK53" s="24" t="n">
        <f aca="false">AI53*AJ53/365</f>
        <v>0</v>
      </c>
      <c r="AL53" s="24" t="n">
        <f aca="false">AD53</f>
        <v>0</v>
      </c>
      <c r="AM53" s="24" t="n">
        <f aca="false">AK53-AL53</f>
        <v>0</v>
      </c>
      <c r="AN53" s="28" t="str">
        <f aca="false">IF(A53&gt;=Hip3LaunchDate,"YES","")</f>
        <v/>
      </c>
      <c r="AO53" s="28" t="str">
        <f aca="false">IF(A53&lt;Hip4LaunchDate,"pre-launch","live (zero-fee)")</f>
        <v>pre-launch</v>
      </c>
      <c r="AP53" s="20"/>
      <c r="AQ53" s="20"/>
      <c r="AR53" s="20"/>
    </row>
    <row r="54" customFormat="false" ht="15" hidden="false" customHeight="false" outlineLevel="0" collapsed="false">
      <c r="A54" s="18" t="n">
        <v>45115</v>
      </c>
      <c r="B54" s="19" t="n">
        <v>61768431.32</v>
      </c>
      <c r="C54" s="19" t="n">
        <v>0</v>
      </c>
      <c r="D54" s="20"/>
      <c r="E54" s="21" t="n">
        <f aca="false">B54+C54</f>
        <v>61768431.32</v>
      </c>
      <c r="F54" s="21" t="n">
        <f aca="false">E54+D54</f>
        <v>61768431.32</v>
      </c>
      <c r="G54" s="22" t="n">
        <f aca="false">IFERROR(C54/E54,0)</f>
        <v>0</v>
      </c>
      <c r="H54" s="20"/>
      <c r="I54" s="20"/>
      <c r="J54" s="20"/>
      <c r="K54" s="21" t="n">
        <f aca="false">H54+I54</f>
        <v>0</v>
      </c>
      <c r="L54" s="20"/>
      <c r="M54" s="21" t="n">
        <f aca="false">H54-L54</f>
        <v>0</v>
      </c>
      <c r="N54" s="23" t="n">
        <f aca="false">IFERROR(M54/B54*10000,0)</f>
        <v>0</v>
      </c>
      <c r="O54" s="20"/>
      <c r="P54" s="20"/>
      <c r="Q54" s="21" t="n">
        <f aca="false">O54+P54</f>
        <v>0</v>
      </c>
      <c r="R54" s="22" t="n">
        <f aca="false">IF(A54&lt;HlpChangeDate,HlpSharePre,HlpSharePost)</f>
        <v>0.03</v>
      </c>
      <c r="S54" s="21" t="n">
        <f aca="false">Q54*R54/(1-R54)</f>
        <v>0</v>
      </c>
      <c r="T54" s="20"/>
      <c r="U54" s="21" t="n">
        <f aca="false">S54-T54</f>
        <v>0</v>
      </c>
      <c r="V54" s="21" t="n">
        <f aca="false">Y54-O54*R54/(1-R54)</f>
        <v>0</v>
      </c>
      <c r="W54" s="21" t="n">
        <f aca="false">Z54-P54*R54/(1-R54)</f>
        <v>0</v>
      </c>
      <c r="X54" s="21" t="n">
        <f aca="false">S54+V54+W54</f>
        <v>0</v>
      </c>
      <c r="Y54" s="20"/>
      <c r="Z54" s="20"/>
      <c r="AA54" s="19" t="n">
        <v>0</v>
      </c>
      <c r="AB54" s="20"/>
      <c r="AC54" s="20"/>
      <c r="AD54" s="24" t="n">
        <f aca="false">IFERROR(AA54/AC54,0)</f>
        <v>0</v>
      </c>
      <c r="AE54" s="25" t="n">
        <f aca="false">K54-Q54-X54</f>
        <v>0</v>
      </c>
      <c r="AF54" s="25" t="n">
        <f aca="false">Q54-AA54</f>
        <v>0</v>
      </c>
      <c r="AG54" s="20"/>
      <c r="AH54" s="26" t="n">
        <f aca="false">IFERROR(AG54/Q54,0)</f>
        <v>0</v>
      </c>
      <c r="AI54" s="27" t="n">
        <v>0</v>
      </c>
      <c r="AJ54" s="26" t="n">
        <f aca="false">IF(AI54&gt;0,AprCoef/SQRT(AI54),0)</f>
        <v>0</v>
      </c>
      <c r="AK54" s="24" t="n">
        <f aca="false">AI54*AJ54/365</f>
        <v>0</v>
      </c>
      <c r="AL54" s="24" t="n">
        <f aca="false">AD54</f>
        <v>0</v>
      </c>
      <c r="AM54" s="24" t="n">
        <f aca="false">AK54-AL54</f>
        <v>0</v>
      </c>
      <c r="AN54" s="28" t="str">
        <f aca="false">IF(A54&gt;=Hip3LaunchDate,"YES","")</f>
        <v/>
      </c>
      <c r="AO54" s="28" t="str">
        <f aca="false">IF(A54&lt;Hip4LaunchDate,"pre-launch","live (zero-fee)")</f>
        <v>pre-launch</v>
      </c>
      <c r="AP54" s="20"/>
      <c r="AQ54" s="20"/>
      <c r="AR54" s="20"/>
    </row>
    <row r="55" customFormat="false" ht="15" hidden="false" customHeight="false" outlineLevel="0" collapsed="false">
      <c r="A55" s="18" t="n">
        <v>45116</v>
      </c>
      <c r="B55" s="19" t="n">
        <v>58842855.87</v>
      </c>
      <c r="C55" s="19" t="n">
        <v>0</v>
      </c>
      <c r="D55" s="20"/>
      <c r="E55" s="21" t="n">
        <f aca="false">B55+C55</f>
        <v>58842855.87</v>
      </c>
      <c r="F55" s="21" t="n">
        <f aca="false">E55+D55</f>
        <v>58842855.87</v>
      </c>
      <c r="G55" s="22" t="n">
        <f aca="false">IFERROR(C55/E55,0)</f>
        <v>0</v>
      </c>
      <c r="H55" s="20"/>
      <c r="I55" s="20"/>
      <c r="J55" s="20"/>
      <c r="K55" s="21" t="n">
        <f aca="false">H55+I55</f>
        <v>0</v>
      </c>
      <c r="L55" s="20"/>
      <c r="M55" s="21" t="n">
        <f aca="false">H55-L55</f>
        <v>0</v>
      </c>
      <c r="N55" s="23" t="n">
        <f aca="false">IFERROR(M55/B55*10000,0)</f>
        <v>0</v>
      </c>
      <c r="O55" s="20"/>
      <c r="P55" s="20"/>
      <c r="Q55" s="21" t="n">
        <f aca="false">O55+P55</f>
        <v>0</v>
      </c>
      <c r="R55" s="22" t="n">
        <f aca="false">IF(A55&lt;HlpChangeDate,HlpSharePre,HlpSharePost)</f>
        <v>0.03</v>
      </c>
      <c r="S55" s="21" t="n">
        <f aca="false">Q55*R55/(1-R55)</f>
        <v>0</v>
      </c>
      <c r="T55" s="20"/>
      <c r="U55" s="21" t="n">
        <f aca="false">S55-T55</f>
        <v>0</v>
      </c>
      <c r="V55" s="21" t="n">
        <f aca="false">Y55-O55*R55/(1-R55)</f>
        <v>0</v>
      </c>
      <c r="W55" s="21" t="n">
        <f aca="false">Z55-P55*R55/(1-R55)</f>
        <v>0</v>
      </c>
      <c r="X55" s="21" t="n">
        <f aca="false">S55+V55+W55</f>
        <v>0</v>
      </c>
      <c r="Y55" s="20"/>
      <c r="Z55" s="20"/>
      <c r="AA55" s="19" t="n">
        <v>0</v>
      </c>
      <c r="AB55" s="20"/>
      <c r="AC55" s="20"/>
      <c r="AD55" s="24" t="n">
        <f aca="false">IFERROR(AA55/AC55,0)</f>
        <v>0</v>
      </c>
      <c r="AE55" s="25" t="n">
        <f aca="false">K55-Q55-X55</f>
        <v>0</v>
      </c>
      <c r="AF55" s="25" t="n">
        <f aca="false">Q55-AA55</f>
        <v>0</v>
      </c>
      <c r="AG55" s="20"/>
      <c r="AH55" s="26" t="n">
        <f aca="false">IFERROR(AG55/Q55,0)</f>
        <v>0</v>
      </c>
      <c r="AI55" s="27" t="n">
        <v>0</v>
      </c>
      <c r="AJ55" s="26" t="n">
        <f aca="false">IF(AI55&gt;0,AprCoef/SQRT(AI55),0)</f>
        <v>0</v>
      </c>
      <c r="AK55" s="24" t="n">
        <f aca="false">AI55*AJ55/365</f>
        <v>0</v>
      </c>
      <c r="AL55" s="24" t="n">
        <f aca="false">AD55</f>
        <v>0</v>
      </c>
      <c r="AM55" s="24" t="n">
        <f aca="false">AK55-AL55</f>
        <v>0</v>
      </c>
      <c r="AN55" s="28" t="str">
        <f aca="false">IF(A55&gt;=Hip3LaunchDate,"YES","")</f>
        <v/>
      </c>
      <c r="AO55" s="28" t="str">
        <f aca="false">IF(A55&lt;Hip4LaunchDate,"pre-launch","live (zero-fee)")</f>
        <v>pre-launch</v>
      </c>
      <c r="AP55" s="20"/>
      <c r="AQ55" s="20"/>
      <c r="AR55" s="20"/>
    </row>
    <row r="56" customFormat="false" ht="15" hidden="false" customHeight="false" outlineLevel="0" collapsed="false">
      <c r="A56" s="18" t="n">
        <v>45117</v>
      </c>
      <c r="B56" s="19" t="n">
        <v>95782243.09</v>
      </c>
      <c r="C56" s="19" t="n">
        <v>0</v>
      </c>
      <c r="D56" s="20"/>
      <c r="E56" s="21" t="n">
        <f aca="false">B56+C56</f>
        <v>95782243.09</v>
      </c>
      <c r="F56" s="21" t="n">
        <f aca="false">E56+D56</f>
        <v>95782243.09</v>
      </c>
      <c r="G56" s="22" t="n">
        <f aca="false">IFERROR(C56/E56,0)</f>
        <v>0</v>
      </c>
      <c r="H56" s="20"/>
      <c r="I56" s="20"/>
      <c r="J56" s="20"/>
      <c r="K56" s="21" t="n">
        <f aca="false">H56+I56</f>
        <v>0</v>
      </c>
      <c r="L56" s="20"/>
      <c r="M56" s="21" t="n">
        <f aca="false">H56-L56</f>
        <v>0</v>
      </c>
      <c r="N56" s="23" t="n">
        <f aca="false">IFERROR(M56/B56*10000,0)</f>
        <v>0</v>
      </c>
      <c r="O56" s="20"/>
      <c r="P56" s="20"/>
      <c r="Q56" s="21" t="n">
        <f aca="false">O56+P56</f>
        <v>0</v>
      </c>
      <c r="R56" s="22" t="n">
        <f aca="false">IF(A56&lt;HlpChangeDate,HlpSharePre,HlpSharePost)</f>
        <v>0.03</v>
      </c>
      <c r="S56" s="21" t="n">
        <f aca="false">Q56*R56/(1-R56)</f>
        <v>0</v>
      </c>
      <c r="T56" s="20"/>
      <c r="U56" s="21" t="n">
        <f aca="false">S56-T56</f>
        <v>0</v>
      </c>
      <c r="V56" s="21" t="n">
        <f aca="false">Y56-O56*R56/(1-R56)</f>
        <v>0</v>
      </c>
      <c r="W56" s="21" t="n">
        <f aca="false">Z56-P56*R56/(1-R56)</f>
        <v>0</v>
      </c>
      <c r="X56" s="21" t="n">
        <f aca="false">S56+V56+W56</f>
        <v>0</v>
      </c>
      <c r="Y56" s="20"/>
      <c r="Z56" s="20"/>
      <c r="AA56" s="19" t="n">
        <v>0</v>
      </c>
      <c r="AB56" s="20"/>
      <c r="AC56" s="20"/>
      <c r="AD56" s="24" t="n">
        <f aca="false">IFERROR(AA56/AC56,0)</f>
        <v>0</v>
      </c>
      <c r="AE56" s="25" t="n">
        <f aca="false">K56-Q56-X56</f>
        <v>0</v>
      </c>
      <c r="AF56" s="25" t="n">
        <f aca="false">Q56-AA56</f>
        <v>0</v>
      </c>
      <c r="AG56" s="20"/>
      <c r="AH56" s="26" t="n">
        <f aca="false">IFERROR(AG56/Q56,0)</f>
        <v>0</v>
      </c>
      <c r="AI56" s="27" t="n">
        <v>0</v>
      </c>
      <c r="AJ56" s="26" t="n">
        <f aca="false">IF(AI56&gt;0,AprCoef/SQRT(AI56),0)</f>
        <v>0</v>
      </c>
      <c r="AK56" s="24" t="n">
        <f aca="false">AI56*AJ56/365</f>
        <v>0</v>
      </c>
      <c r="AL56" s="24" t="n">
        <f aca="false">AD56</f>
        <v>0</v>
      </c>
      <c r="AM56" s="24" t="n">
        <f aca="false">AK56-AL56</f>
        <v>0</v>
      </c>
      <c r="AN56" s="28" t="str">
        <f aca="false">IF(A56&gt;=Hip3LaunchDate,"YES","")</f>
        <v/>
      </c>
      <c r="AO56" s="28" t="str">
        <f aca="false">IF(A56&lt;Hip4LaunchDate,"pre-launch","live (zero-fee)")</f>
        <v>pre-launch</v>
      </c>
      <c r="AP56" s="20"/>
      <c r="AQ56" s="20"/>
      <c r="AR56" s="20"/>
    </row>
    <row r="57" customFormat="false" ht="15" hidden="false" customHeight="false" outlineLevel="0" collapsed="false">
      <c r="A57" s="18" t="n">
        <v>45118</v>
      </c>
      <c r="B57" s="19" t="n">
        <v>65723684.32</v>
      </c>
      <c r="C57" s="19" t="n">
        <v>0</v>
      </c>
      <c r="D57" s="20"/>
      <c r="E57" s="21" t="n">
        <f aca="false">B57+C57</f>
        <v>65723684.32</v>
      </c>
      <c r="F57" s="21" t="n">
        <f aca="false">E57+D57</f>
        <v>65723684.32</v>
      </c>
      <c r="G57" s="22" t="n">
        <f aca="false">IFERROR(C57/E57,0)</f>
        <v>0</v>
      </c>
      <c r="H57" s="20"/>
      <c r="I57" s="20"/>
      <c r="J57" s="20"/>
      <c r="K57" s="21" t="n">
        <f aca="false">H57+I57</f>
        <v>0</v>
      </c>
      <c r="L57" s="20"/>
      <c r="M57" s="21" t="n">
        <f aca="false">H57-L57</f>
        <v>0</v>
      </c>
      <c r="N57" s="23" t="n">
        <f aca="false">IFERROR(M57/B57*10000,0)</f>
        <v>0</v>
      </c>
      <c r="O57" s="20"/>
      <c r="P57" s="20"/>
      <c r="Q57" s="21" t="n">
        <f aca="false">O57+P57</f>
        <v>0</v>
      </c>
      <c r="R57" s="22" t="n">
        <f aca="false">IF(A57&lt;HlpChangeDate,HlpSharePre,HlpSharePost)</f>
        <v>0.03</v>
      </c>
      <c r="S57" s="21" t="n">
        <f aca="false">Q57*R57/(1-R57)</f>
        <v>0</v>
      </c>
      <c r="T57" s="20"/>
      <c r="U57" s="21" t="n">
        <f aca="false">S57-T57</f>
        <v>0</v>
      </c>
      <c r="V57" s="21" t="n">
        <f aca="false">Y57-O57*R57/(1-R57)</f>
        <v>0</v>
      </c>
      <c r="W57" s="21" t="n">
        <f aca="false">Z57-P57*R57/(1-R57)</f>
        <v>0</v>
      </c>
      <c r="X57" s="21" t="n">
        <f aca="false">S57+V57+W57</f>
        <v>0</v>
      </c>
      <c r="Y57" s="20"/>
      <c r="Z57" s="20"/>
      <c r="AA57" s="19" t="n">
        <v>0</v>
      </c>
      <c r="AB57" s="20"/>
      <c r="AC57" s="20"/>
      <c r="AD57" s="24" t="n">
        <f aca="false">IFERROR(AA57/AC57,0)</f>
        <v>0</v>
      </c>
      <c r="AE57" s="25" t="n">
        <f aca="false">K57-Q57-X57</f>
        <v>0</v>
      </c>
      <c r="AF57" s="25" t="n">
        <f aca="false">Q57-AA57</f>
        <v>0</v>
      </c>
      <c r="AG57" s="20"/>
      <c r="AH57" s="26" t="n">
        <f aca="false">IFERROR(AG57/Q57,0)</f>
        <v>0</v>
      </c>
      <c r="AI57" s="27" t="n">
        <v>0</v>
      </c>
      <c r="AJ57" s="26" t="n">
        <f aca="false">IF(AI57&gt;0,AprCoef/SQRT(AI57),0)</f>
        <v>0</v>
      </c>
      <c r="AK57" s="24" t="n">
        <f aca="false">AI57*AJ57/365</f>
        <v>0</v>
      </c>
      <c r="AL57" s="24" t="n">
        <f aca="false">AD57</f>
        <v>0</v>
      </c>
      <c r="AM57" s="24" t="n">
        <f aca="false">AK57-AL57</f>
        <v>0</v>
      </c>
      <c r="AN57" s="28" t="str">
        <f aca="false">IF(A57&gt;=Hip3LaunchDate,"YES","")</f>
        <v/>
      </c>
      <c r="AO57" s="28" t="str">
        <f aca="false">IF(A57&lt;Hip4LaunchDate,"pre-launch","live (zero-fee)")</f>
        <v>pre-launch</v>
      </c>
      <c r="AP57" s="20"/>
      <c r="AQ57" s="20"/>
      <c r="AR57" s="20"/>
    </row>
    <row r="58" customFormat="false" ht="15" hidden="false" customHeight="false" outlineLevel="0" collapsed="false">
      <c r="A58" s="18" t="n">
        <v>45119</v>
      </c>
      <c r="B58" s="19" t="n">
        <v>50362844.7</v>
      </c>
      <c r="C58" s="19" t="n">
        <v>0</v>
      </c>
      <c r="D58" s="20"/>
      <c r="E58" s="21" t="n">
        <f aca="false">B58+C58</f>
        <v>50362844.7</v>
      </c>
      <c r="F58" s="21" t="n">
        <f aca="false">E58+D58</f>
        <v>50362844.7</v>
      </c>
      <c r="G58" s="22" t="n">
        <f aca="false">IFERROR(C58/E58,0)</f>
        <v>0</v>
      </c>
      <c r="H58" s="20"/>
      <c r="I58" s="20"/>
      <c r="J58" s="20"/>
      <c r="K58" s="21" t="n">
        <f aca="false">H58+I58</f>
        <v>0</v>
      </c>
      <c r="L58" s="20"/>
      <c r="M58" s="21" t="n">
        <f aca="false">H58-L58</f>
        <v>0</v>
      </c>
      <c r="N58" s="23" t="n">
        <f aca="false">IFERROR(M58/B58*10000,0)</f>
        <v>0</v>
      </c>
      <c r="O58" s="20"/>
      <c r="P58" s="20"/>
      <c r="Q58" s="21" t="n">
        <f aca="false">O58+P58</f>
        <v>0</v>
      </c>
      <c r="R58" s="22" t="n">
        <f aca="false">IF(A58&lt;HlpChangeDate,HlpSharePre,HlpSharePost)</f>
        <v>0.03</v>
      </c>
      <c r="S58" s="21" t="n">
        <f aca="false">Q58*R58/(1-R58)</f>
        <v>0</v>
      </c>
      <c r="T58" s="20"/>
      <c r="U58" s="21" t="n">
        <f aca="false">S58-T58</f>
        <v>0</v>
      </c>
      <c r="V58" s="21" t="n">
        <f aca="false">Y58-O58*R58/(1-R58)</f>
        <v>0</v>
      </c>
      <c r="W58" s="21" t="n">
        <f aca="false">Z58-P58*R58/(1-R58)</f>
        <v>0</v>
      </c>
      <c r="X58" s="21" t="n">
        <f aca="false">S58+V58+W58</f>
        <v>0</v>
      </c>
      <c r="Y58" s="20"/>
      <c r="Z58" s="20"/>
      <c r="AA58" s="19" t="n">
        <v>0</v>
      </c>
      <c r="AB58" s="20"/>
      <c r="AC58" s="20"/>
      <c r="AD58" s="24" t="n">
        <f aca="false">IFERROR(AA58/AC58,0)</f>
        <v>0</v>
      </c>
      <c r="AE58" s="25" t="n">
        <f aca="false">K58-Q58-X58</f>
        <v>0</v>
      </c>
      <c r="AF58" s="25" t="n">
        <f aca="false">Q58-AA58</f>
        <v>0</v>
      </c>
      <c r="AG58" s="20"/>
      <c r="AH58" s="26" t="n">
        <f aca="false">IFERROR(AG58/Q58,0)</f>
        <v>0</v>
      </c>
      <c r="AI58" s="27" t="n">
        <v>0</v>
      </c>
      <c r="AJ58" s="26" t="n">
        <f aca="false">IF(AI58&gt;0,AprCoef/SQRT(AI58),0)</f>
        <v>0</v>
      </c>
      <c r="AK58" s="24" t="n">
        <f aca="false">AI58*AJ58/365</f>
        <v>0</v>
      </c>
      <c r="AL58" s="24" t="n">
        <f aca="false">AD58</f>
        <v>0</v>
      </c>
      <c r="AM58" s="24" t="n">
        <f aca="false">AK58-AL58</f>
        <v>0</v>
      </c>
      <c r="AN58" s="28" t="str">
        <f aca="false">IF(A58&gt;=Hip3LaunchDate,"YES","")</f>
        <v/>
      </c>
      <c r="AO58" s="28" t="str">
        <f aca="false">IF(A58&lt;Hip4LaunchDate,"pre-launch","live (zero-fee)")</f>
        <v>pre-launch</v>
      </c>
      <c r="AP58" s="20"/>
      <c r="AQ58" s="20"/>
      <c r="AR58" s="20"/>
    </row>
    <row r="59" customFormat="false" ht="15" hidden="false" customHeight="false" outlineLevel="0" collapsed="false">
      <c r="A59" s="18" t="n">
        <v>45120</v>
      </c>
      <c r="B59" s="19" t="n">
        <v>31025762.63</v>
      </c>
      <c r="C59" s="19" t="n">
        <v>0</v>
      </c>
      <c r="D59" s="20"/>
      <c r="E59" s="21" t="n">
        <f aca="false">B59+C59</f>
        <v>31025762.63</v>
      </c>
      <c r="F59" s="21" t="n">
        <f aca="false">E59+D59</f>
        <v>31025762.63</v>
      </c>
      <c r="G59" s="22" t="n">
        <f aca="false">IFERROR(C59/E59,0)</f>
        <v>0</v>
      </c>
      <c r="H59" s="20"/>
      <c r="I59" s="20"/>
      <c r="J59" s="20"/>
      <c r="K59" s="21" t="n">
        <f aca="false">H59+I59</f>
        <v>0</v>
      </c>
      <c r="L59" s="20"/>
      <c r="M59" s="21" t="n">
        <f aca="false">H59-L59</f>
        <v>0</v>
      </c>
      <c r="N59" s="23" t="n">
        <f aca="false">IFERROR(M59/B59*10000,0)</f>
        <v>0</v>
      </c>
      <c r="O59" s="20"/>
      <c r="P59" s="20"/>
      <c r="Q59" s="21" t="n">
        <f aca="false">O59+P59</f>
        <v>0</v>
      </c>
      <c r="R59" s="22" t="n">
        <f aca="false">IF(A59&lt;HlpChangeDate,HlpSharePre,HlpSharePost)</f>
        <v>0.03</v>
      </c>
      <c r="S59" s="21" t="n">
        <f aca="false">Q59*R59/(1-R59)</f>
        <v>0</v>
      </c>
      <c r="T59" s="20"/>
      <c r="U59" s="21" t="n">
        <f aca="false">S59-T59</f>
        <v>0</v>
      </c>
      <c r="V59" s="21" t="n">
        <f aca="false">Y59-O59*R59/(1-R59)</f>
        <v>0</v>
      </c>
      <c r="W59" s="21" t="n">
        <f aca="false">Z59-P59*R59/(1-R59)</f>
        <v>0</v>
      </c>
      <c r="X59" s="21" t="n">
        <f aca="false">S59+V59+W59</f>
        <v>0</v>
      </c>
      <c r="Y59" s="20"/>
      <c r="Z59" s="20"/>
      <c r="AA59" s="19" t="n">
        <v>0</v>
      </c>
      <c r="AB59" s="20"/>
      <c r="AC59" s="20"/>
      <c r="AD59" s="24" t="n">
        <f aca="false">IFERROR(AA59/AC59,0)</f>
        <v>0</v>
      </c>
      <c r="AE59" s="25" t="n">
        <f aca="false">K59-Q59-X59</f>
        <v>0</v>
      </c>
      <c r="AF59" s="25" t="n">
        <f aca="false">Q59-AA59</f>
        <v>0</v>
      </c>
      <c r="AG59" s="20"/>
      <c r="AH59" s="26" t="n">
        <f aca="false">IFERROR(AG59/Q59,0)</f>
        <v>0</v>
      </c>
      <c r="AI59" s="27" t="n">
        <v>0</v>
      </c>
      <c r="AJ59" s="26" t="n">
        <f aca="false">IF(AI59&gt;0,AprCoef/SQRT(AI59),0)</f>
        <v>0</v>
      </c>
      <c r="AK59" s="24" t="n">
        <f aca="false">AI59*AJ59/365</f>
        <v>0</v>
      </c>
      <c r="AL59" s="24" t="n">
        <f aca="false">AD59</f>
        <v>0</v>
      </c>
      <c r="AM59" s="24" t="n">
        <f aca="false">AK59-AL59</f>
        <v>0</v>
      </c>
      <c r="AN59" s="28" t="str">
        <f aca="false">IF(A59&gt;=Hip3LaunchDate,"YES","")</f>
        <v/>
      </c>
      <c r="AO59" s="28" t="str">
        <f aca="false">IF(A59&lt;Hip4LaunchDate,"pre-launch","live (zero-fee)")</f>
        <v>pre-launch</v>
      </c>
      <c r="AP59" s="20"/>
      <c r="AQ59" s="20"/>
      <c r="AR59" s="20"/>
    </row>
    <row r="60" customFormat="false" ht="15" hidden="false" customHeight="false" outlineLevel="0" collapsed="false">
      <c r="A60" s="18" t="n">
        <v>45121</v>
      </c>
      <c r="B60" s="19" t="n">
        <v>56820053.59</v>
      </c>
      <c r="C60" s="19" t="n">
        <v>0</v>
      </c>
      <c r="D60" s="20"/>
      <c r="E60" s="21" t="n">
        <f aca="false">B60+C60</f>
        <v>56820053.59</v>
      </c>
      <c r="F60" s="21" t="n">
        <f aca="false">E60+D60</f>
        <v>56820053.59</v>
      </c>
      <c r="G60" s="22" t="n">
        <f aca="false">IFERROR(C60/E60,0)</f>
        <v>0</v>
      </c>
      <c r="H60" s="20"/>
      <c r="I60" s="20"/>
      <c r="J60" s="20"/>
      <c r="K60" s="21" t="n">
        <f aca="false">H60+I60</f>
        <v>0</v>
      </c>
      <c r="L60" s="20"/>
      <c r="M60" s="21" t="n">
        <f aca="false">H60-L60</f>
        <v>0</v>
      </c>
      <c r="N60" s="23" t="n">
        <f aca="false">IFERROR(M60/B60*10000,0)</f>
        <v>0</v>
      </c>
      <c r="O60" s="20"/>
      <c r="P60" s="20"/>
      <c r="Q60" s="21" t="n">
        <f aca="false">O60+P60</f>
        <v>0</v>
      </c>
      <c r="R60" s="22" t="n">
        <f aca="false">IF(A60&lt;HlpChangeDate,HlpSharePre,HlpSharePost)</f>
        <v>0.03</v>
      </c>
      <c r="S60" s="21" t="n">
        <f aca="false">Q60*R60/(1-R60)</f>
        <v>0</v>
      </c>
      <c r="T60" s="20"/>
      <c r="U60" s="21" t="n">
        <f aca="false">S60-T60</f>
        <v>0</v>
      </c>
      <c r="V60" s="21" t="n">
        <f aca="false">Y60-O60*R60/(1-R60)</f>
        <v>0</v>
      </c>
      <c r="W60" s="21" t="n">
        <f aca="false">Z60-P60*R60/(1-R60)</f>
        <v>0</v>
      </c>
      <c r="X60" s="21" t="n">
        <f aca="false">S60+V60+W60</f>
        <v>0</v>
      </c>
      <c r="Y60" s="20"/>
      <c r="Z60" s="20"/>
      <c r="AA60" s="19" t="n">
        <v>0</v>
      </c>
      <c r="AB60" s="20"/>
      <c r="AC60" s="20"/>
      <c r="AD60" s="24" t="n">
        <f aca="false">IFERROR(AA60/AC60,0)</f>
        <v>0</v>
      </c>
      <c r="AE60" s="25" t="n">
        <f aca="false">K60-Q60-X60</f>
        <v>0</v>
      </c>
      <c r="AF60" s="25" t="n">
        <f aca="false">Q60-AA60</f>
        <v>0</v>
      </c>
      <c r="AG60" s="20"/>
      <c r="AH60" s="26" t="n">
        <f aca="false">IFERROR(AG60/Q60,0)</f>
        <v>0</v>
      </c>
      <c r="AI60" s="27" t="n">
        <v>0</v>
      </c>
      <c r="AJ60" s="26" t="n">
        <f aca="false">IF(AI60&gt;0,AprCoef/SQRT(AI60),0)</f>
        <v>0</v>
      </c>
      <c r="AK60" s="24" t="n">
        <f aca="false">AI60*AJ60/365</f>
        <v>0</v>
      </c>
      <c r="AL60" s="24" t="n">
        <f aca="false">AD60</f>
        <v>0</v>
      </c>
      <c r="AM60" s="24" t="n">
        <f aca="false">AK60-AL60</f>
        <v>0</v>
      </c>
      <c r="AN60" s="28" t="str">
        <f aca="false">IF(A60&gt;=Hip3LaunchDate,"YES","")</f>
        <v/>
      </c>
      <c r="AO60" s="28" t="str">
        <f aca="false">IF(A60&lt;Hip4LaunchDate,"pre-launch","live (zero-fee)")</f>
        <v>pre-launch</v>
      </c>
      <c r="AP60" s="20"/>
      <c r="AQ60" s="20"/>
      <c r="AR60" s="20"/>
    </row>
    <row r="61" customFormat="false" ht="15" hidden="false" customHeight="false" outlineLevel="0" collapsed="false">
      <c r="A61" s="18" t="n">
        <v>45122</v>
      </c>
      <c r="B61" s="19" t="n">
        <v>31952872.71</v>
      </c>
      <c r="C61" s="19" t="n">
        <v>0</v>
      </c>
      <c r="D61" s="20"/>
      <c r="E61" s="21" t="n">
        <f aca="false">B61+C61</f>
        <v>31952872.71</v>
      </c>
      <c r="F61" s="21" t="n">
        <f aca="false">E61+D61</f>
        <v>31952872.71</v>
      </c>
      <c r="G61" s="22" t="n">
        <f aca="false">IFERROR(C61/E61,0)</f>
        <v>0</v>
      </c>
      <c r="H61" s="20"/>
      <c r="I61" s="20"/>
      <c r="J61" s="20"/>
      <c r="K61" s="21" t="n">
        <f aca="false">H61+I61</f>
        <v>0</v>
      </c>
      <c r="L61" s="20"/>
      <c r="M61" s="21" t="n">
        <f aca="false">H61-L61</f>
        <v>0</v>
      </c>
      <c r="N61" s="23" t="n">
        <f aca="false">IFERROR(M61/B61*10000,0)</f>
        <v>0</v>
      </c>
      <c r="O61" s="20"/>
      <c r="P61" s="20"/>
      <c r="Q61" s="21" t="n">
        <f aca="false">O61+P61</f>
        <v>0</v>
      </c>
      <c r="R61" s="22" t="n">
        <f aca="false">IF(A61&lt;HlpChangeDate,HlpSharePre,HlpSharePost)</f>
        <v>0.03</v>
      </c>
      <c r="S61" s="21" t="n">
        <f aca="false">Q61*R61/(1-R61)</f>
        <v>0</v>
      </c>
      <c r="T61" s="20"/>
      <c r="U61" s="21" t="n">
        <f aca="false">S61-T61</f>
        <v>0</v>
      </c>
      <c r="V61" s="21" t="n">
        <f aca="false">Y61-O61*R61/(1-R61)</f>
        <v>0</v>
      </c>
      <c r="W61" s="21" t="n">
        <f aca="false">Z61-P61*R61/(1-R61)</f>
        <v>0</v>
      </c>
      <c r="X61" s="21" t="n">
        <f aca="false">S61+V61+W61</f>
        <v>0</v>
      </c>
      <c r="Y61" s="20"/>
      <c r="Z61" s="20"/>
      <c r="AA61" s="19" t="n">
        <v>0</v>
      </c>
      <c r="AB61" s="20"/>
      <c r="AC61" s="20"/>
      <c r="AD61" s="24" t="n">
        <f aca="false">IFERROR(AA61/AC61,0)</f>
        <v>0</v>
      </c>
      <c r="AE61" s="25" t="n">
        <f aca="false">K61-Q61-X61</f>
        <v>0</v>
      </c>
      <c r="AF61" s="25" t="n">
        <f aca="false">Q61-AA61</f>
        <v>0</v>
      </c>
      <c r="AG61" s="20"/>
      <c r="AH61" s="26" t="n">
        <f aca="false">IFERROR(AG61/Q61,0)</f>
        <v>0</v>
      </c>
      <c r="AI61" s="27" t="n">
        <v>0</v>
      </c>
      <c r="AJ61" s="26" t="n">
        <f aca="false">IF(AI61&gt;0,AprCoef/SQRT(AI61),0)</f>
        <v>0</v>
      </c>
      <c r="AK61" s="24" t="n">
        <f aca="false">AI61*AJ61/365</f>
        <v>0</v>
      </c>
      <c r="AL61" s="24" t="n">
        <f aca="false">AD61</f>
        <v>0</v>
      </c>
      <c r="AM61" s="24" t="n">
        <f aca="false">AK61-AL61</f>
        <v>0</v>
      </c>
      <c r="AN61" s="28" t="str">
        <f aca="false">IF(A61&gt;=Hip3LaunchDate,"YES","")</f>
        <v/>
      </c>
      <c r="AO61" s="28" t="str">
        <f aca="false">IF(A61&lt;Hip4LaunchDate,"pre-launch","live (zero-fee)")</f>
        <v>pre-launch</v>
      </c>
      <c r="AP61" s="20"/>
      <c r="AQ61" s="20"/>
      <c r="AR61" s="20"/>
    </row>
    <row r="62" customFormat="false" ht="15" hidden="false" customHeight="false" outlineLevel="0" collapsed="false">
      <c r="A62" s="18" t="n">
        <v>45123</v>
      </c>
      <c r="B62" s="19" t="n">
        <v>27396746.37</v>
      </c>
      <c r="C62" s="19" t="n">
        <v>0</v>
      </c>
      <c r="D62" s="20"/>
      <c r="E62" s="21" t="n">
        <f aca="false">B62+C62</f>
        <v>27396746.37</v>
      </c>
      <c r="F62" s="21" t="n">
        <f aca="false">E62+D62</f>
        <v>27396746.37</v>
      </c>
      <c r="G62" s="22" t="n">
        <f aca="false">IFERROR(C62/E62,0)</f>
        <v>0</v>
      </c>
      <c r="H62" s="20"/>
      <c r="I62" s="20"/>
      <c r="J62" s="20"/>
      <c r="K62" s="21" t="n">
        <f aca="false">H62+I62</f>
        <v>0</v>
      </c>
      <c r="L62" s="20"/>
      <c r="M62" s="21" t="n">
        <f aca="false">H62-L62</f>
        <v>0</v>
      </c>
      <c r="N62" s="23" t="n">
        <f aca="false">IFERROR(M62/B62*10000,0)</f>
        <v>0</v>
      </c>
      <c r="O62" s="20"/>
      <c r="P62" s="20"/>
      <c r="Q62" s="21" t="n">
        <f aca="false">O62+P62</f>
        <v>0</v>
      </c>
      <c r="R62" s="22" t="n">
        <f aca="false">IF(A62&lt;HlpChangeDate,HlpSharePre,HlpSharePost)</f>
        <v>0.03</v>
      </c>
      <c r="S62" s="21" t="n">
        <f aca="false">Q62*R62/(1-R62)</f>
        <v>0</v>
      </c>
      <c r="T62" s="20"/>
      <c r="U62" s="21" t="n">
        <f aca="false">S62-T62</f>
        <v>0</v>
      </c>
      <c r="V62" s="21" t="n">
        <f aca="false">Y62-O62*R62/(1-R62)</f>
        <v>0</v>
      </c>
      <c r="W62" s="21" t="n">
        <f aca="false">Z62-P62*R62/(1-R62)</f>
        <v>0</v>
      </c>
      <c r="X62" s="21" t="n">
        <f aca="false">S62+V62+W62</f>
        <v>0</v>
      </c>
      <c r="Y62" s="20"/>
      <c r="Z62" s="20"/>
      <c r="AA62" s="19" t="n">
        <v>0</v>
      </c>
      <c r="AB62" s="20"/>
      <c r="AC62" s="20"/>
      <c r="AD62" s="24" t="n">
        <f aca="false">IFERROR(AA62/AC62,0)</f>
        <v>0</v>
      </c>
      <c r="AE62" s="25" t="n">
        <f aca="false">K62-Q62-X62</f>
        <v>0</v>
      </c>
      <c r="AF62" s="25" t="n">
        <f aca="false">Q62-AA62</f>
        <v>0</v>
      </c>
      <c r="AG62" s="20"/>
      <c r="AH62" s="26" t="n">
        <f aca="false">IFERROR(AG62/Q62,0)</f>
        <v>0</v>
      </c>
      <c r="AI62" s="27" t="n">
        <v>0</v>
      </c>
      <c r="AJ62" s="26" t="n">
        <f aca="false">IF(AI62&gt;0,AprCoef/SQRT(AI62),0)</f>
        <v>0</v>
      </c>
      <c r="AK62" s="24" t="n">
        <f aca="false">AI62*AJ62/365</f>
        <v>0</v>
      </c>
      <c r="AL62" s="24" t="n">
        <f aca="false">AD62</f>
        <v>0</v>
      </c>
      <c r="AM62" s="24" t="n">
        <f aca="false">AK62-AL62</f>
        <v>0</v>
      </c>
      <c r="AN62" s="28" t="str">
        <f aca="false">IF(A62&gt;=Hip3LaunchDate,"YES","")</f>
        <v/>
      </c>
      <c r="AO62" s="28" t="str">
        <f aca="false">IF(A62&lt;Hip4LaunchDate,"pre-launch","live (zero-fee)")</f>
        <v>pre-launch</v>
      </c>
      <c r="AP62" s="20"/>
      <c r="AQ62" s="20"/>
      <c r="AR62" s="20"/>
    </row>
    <row r="63" customFormat="false" ht="15" hidden="false" customHeight="false" outlineLevel="0" collapsed="false">
      <c r="A63" s="18" t="n">
        <v>45124</v>
      </c>
      <c r="B63" s="19" t="n">
        <v>55087949.03</v>
      </c>
      <c r="C63" s="19" t="n">
        <v>0</v>
      </c>
      <c r="D63" s="20"/>
      <c r="E63" s="21" t="n">
        <f aca="false">B63+C63</f>
        <v>55087949.03</v>
      </c>
      <c r="F63" s="21" t="n">
        <f aca="false">E63+D63</f>
        <v>55087949.03</v>
      </c>
      <c r="G63" s="22" t="n">
        <f aca="false">IFERROR(C63/E63,0)</f>
        <v>0</v>
      </c>
      <c r="H63" s="20"/>
      <c r="I63" s="20"/>
      <c r="J63" s="20"/>
      <c r="K63" s="21" t="n">
        <f aca="false">H63+I63</f>
        <v>0</v>
      </c>
      <c r="L63" s="20"/>
      <c r="M63" s="21" t="n">
        <f aca="false">H63-L63</f>
        <v>0</v>
      </c>
      <c r="N63" s="23" t="n">
        <f aca="false">IFERROR(M63/B63*10000,0)</f>
        <v>0</v>
      </c>
      <c r="O63" s="20"/>
      <c r="P63" s="20"/>
      <c r="Q63" s="21" t="n">
        <f aca="false">O63+P63</f>
        <v>0</v>
      </c>
      <c r="R63" s="22" t="n">
        <f aca="false">IF(A63&lt;HlpChangeDate,HlpSharePre,HlpSharePost)</f>
        <v>0.03</v>
      </c>
      <c r="S63" s="21" t="n">
        <f aca="false">Q63*R63/(1-R63)</f>
        <v>0</v>
      </c>
      <c r="T63" s="20"/>
      <c r="U63" s="21" t="n">
        <f aca="false">S63-T63</f>
        <v>0</v>
      </c>
      <c r="V63" s="21" t="n">
        <f aca="false">Y63-O63*R63/(1-R63)</f>
        <v>0</v>
      </c>
      <c r="W63" s="21" t="n">
        <f aca="false">Z63-P63*R63/(1-R63)</f>
        <v>0</v>
      </c>
      <c r="X63" s="21" t="n">
        <f aca="false">S63+V63+W63</f>
        <v>0</v>
      </c>
      <c r="Y63" s="20"/>
      <c r="Z63" s="20"/>
      <c r="AA63" s="19" t="n">
        <v>0</v>
      </c>
      <c r="AB63" s="20"/>
      <c r="AC63" s="20"/>
      <c r="AD63" s="24" t="n">
        <f aca="false">IFERROR(AA63/AC63,0)</f>
        <v>0</v>
      </c>
      <c r="AE63" s="25" t="n">
        <f aca="false">K63-Q63-X63</f>
        <v>0</v>
      </c>
      <c r="AF63" s="25" t="n">
        <f aca="false">Q63-AA63</f>
        <v>0</v>
      </c>
      <c r="AG63" s="20"/>
      <c r="AH63" s="26" t="n">
        <f aca="false">IFERROR(AG63/Q63,0)</f>
        <v>0</v>
      </c>
      <c r="AI63" s="27" t="n">
        <v>0</v>
      </c>
      <c r="AJ63" s="26" t="n">
        <f aca="false">IF(AI63&gt;0,AprCoef/SQRT(AI63),0)</f>
        <v>0</v>
      </c>
      <c r="AK63" s="24" t="n">
        <f aca="false">AI63*AJ63/365</f>
        <v>0</v>
      </c>
      <c r="AL63" s="24" t="n">
        <f aca="false">AD63</f>
        <v>0</v>
      </c>
      <c r="AM63" s="24" t="n">
        <f aca="false">AK63-AL63</f>
        <v>0</v>
      </c>
      <c r="AN63" s="28" t="str">
        <f aca="false">IF(A63&gt;=Hip3LaunchDate,"YES","")</f>
        <v/>
      </c>
      <c r="AO63" s="28" t="str">
        <f aca="false">IF(A63&lt;Hip4LaunchDate,"pre-launch","live (zero-fee)")</f>
        <v>pre-launch</v>
      </c>
      <c r="AP63" s="20"/>
      <c r="AQ63" s="20"/>
      <c r="AR63" s="20"/>
    </row>
    <row r="64" customFormat="false" ht="15" hidden="false" customHeight="false" outlineLevel="0" collapsed="false">
      <c r="A64" s="18" t="n">
        <v>45125</v>
      </c>
      <c r="B64" s="19" t="n">
        <v>54940167.15</v>
      </c>
      <c r="C64" s="19" t="n">
        <v>0</v>
      </c>
      <c r="D64" s="20"/>
      <c r="E64" s="21" t="n">
        <f aca="false">B64+C64</f>
        <v>54940167.15</v>
      </c>
      <c r="F64" s="21" t="n">
        <f aca="false">E64+D64</f>
        <v>54940167.15</v>
      </c>
      <c r="G64" s="22" t="n">
        <f aca="false">IFERROR(C64/E64,0)</f>
        <v>0</v>
      </c>
      <c r="H64" s="20"/>
      <c r="I64" s="20"/>
      <c r="J64" s="20"/>
      <c r="K64" s="21" t="n">
        <f aca="false">H64+I64</f>
        <v>0</v>
      </c>
      <c r="L64" s="20"/>
      <c r="M64" s="21" t="n">
        <f aca="false">H64-L64</f>
        <v>0</v>
      </c>
      <c r="N64" s="23" t="n">
        <f aca="false">IFERROR(M64/B64*10000,0)</f>
        <v>0</v>
      </c>
      <c r="O64" s="20"/>
      <c r="P64" s="20"/>
      <c r="Q64" s="21" t="n">
        <f aca="false">O64+P64</f>
        <v>0</v>
      </c>
      <c r="R64" s="22" t="n">
        <f aca="false">IF(A64&lt;HlpChangeDate,HlpSharePre,HlpSharePost)</f>
        <v>0.03</v>
      </c>
      <c r="S64" s="21" t="n">
        <f aca="false">Q64*R64/(1-R64)</f>
        <v>0</v>
      </c>
      <c r="T64" s="20"/>
      <c r="U64" s="21" t="n">
        <f aca="false">S64-T64</f>
        <v>0</v>
      </c>
      <c r="V64" s="21" t="n">
        <f aca="false">Y64-O64*R64/(1-R64)</f>
        <v>0</v>
      </c>
      <c r="W64" s="21" t="n">
        <f aca="false">Z64-P64*R64/(1-R64)</f>
        <v>0</v>
      </c>
      <c r="X64" s="21" t="n">
        <f aca="false">S64+V64+W64</f>
        <v>0</v>
      </c>
      <c r="Y64" s="20"/>
      <c r="Z64" s="20"/>
      <c r="AA64" s="19" t="n">
        <v>0</v>
      </c>
      <c r="AB64" s="20"/>
      <c r="AC64" s="20"/>
      <c r="AD64" s="24" t="n">
        <f aca="false">IFERROR(AA64/AC64,0)</f>
        <v>0</v>
      </c>
      <c r="AE64" s="25" t="n">
        <f aca="false">K64-Q64-X64</f>
        <v>0</v>
      </c>
      <c r="AF64" s="25" t="n">
        <f aca="false">Q64-AA64</f>
        <v>0</v>
      </c>
      <c r="AG64" s="20"/>
      <c r="AH64" s="26" t="n">
        <f aca="false">IFERROR(AG64/Q64,0)</f>
        <v>0</v>
      </c>
      <c r="AI64" s="27" t="n">
        <v>0</v>
      </c>
      <c r="AJ64" s="26" t="n">
        <f aca="false">IF(AI64&gt;0,AprCoef/SQRT(AI64),0)</f>
        <v>0</v>
      </c>
      <c r="AK64" s="24" t="n">
        <f aca="false">AI64*AJ64/365</f>
        <v>0</v>
      </c>
      <c r="AL64" s="24" t="n">
        <f aca="false">AD64</f>
        <v>0</v>
      </c>
      <c r="AM64" s="24" t="n">
        <f aca="false">AK64-AL64</f>
        <v>0</v>
      </c>
      <c r="AN64" s="28" t="str">
        <f aca="false">IF(A64&gt;=Hip3LaunchDate,"YES","")</f>
        <v/>
      </c>
      <c r="AO64" s="28" t="str">
        <f aca="false">IF(A64&lt;Hip4LaunchDate,"pre-launch","live (zero-fee)")</f>
        <v>pre-launch</v>
      </c>
      <c r="AP64" s="20"/>
      <c r="AQ64" s="20"/>
      <c r="AR64" s="20"/>
    </row>
    <row r="65" customFormat="false" ht="15" hidden="false" customHeight="false" outlineLevel="0" collapsed="false">
      <c r="A65" s="18" t="n">
        <v>45126</v>
      </c>
      <c r="B65" s="19" t="n">
        <v>46673377.74</v>
      </c>
      <c r="C65" s="19" t="n">
        <v>0</v>
      </c>
      <c r="D65" s="20"/>
      <c r="E65" s="21" t="n">
        <f aca="false">B65+C65</f>
        <v>46673377.74</v>
      </c>
      <c r="F65" s="21" t="n">
        <f aca="false">E65+D65</f>
        <v>46673377.74</v>
      </c>
      <c r="G65" s="22" t="n">
        <f aca="false">IFERROR(C65/E65,0)</f>
        <v>0</v>
      </c>
      <c r="H65" s="20"/>
      <c r="I65" s="20"/>
      <c r="J65" s="20"/>
      <c r="K65" s="21" t="n">
        <f aca="false">H65+I65</f>
        <v>0</v>
      </c>
      <c r="L65" s="20"/>
      <c r="M65" s="21" t="n">
        <f aca="false">H65-L65</f>
        <v>0</v>
      </c>
      <c r="N65" s="23" t="n">
        <f aca="false">IFERROR(M65/B65*10000,0)</f>
        <v>0</v>
      </c>
      <c r="O65" s="20"/>
      <c r="P65" s="20"/>
      <c r="Q65" s="21" t="n">
        <f aca="false">O65+P65</f>
        <v>0</v>
      </c>
      <c r="R65" s="22" t="n">
        <f aca="false">IF(A65&lt;HlpChangeDate,HlpSharePre,HlpSharePost)</f>
        <v>0.03</v>
      </c>
      <c r="S65" s="21" t="n">
        <f aca="false">Q65*R65/(1-R65)</f>
        <v>0</v>
      </c>
      <c r="T65" s="20"/>
      <c r="U65" s="21" t="n">
        <f aca="false">S65-T65</f>
        <v>0</v>
      </c>
      <c r="V65" s="21" t="n">
        <f aca="false">Y65-O65*R65/(1-R65)</f>
        <v>0</v>
      </c>
      <c r="W65" s="21" t="n">
        <f aca="false">Z65-P65*R65/(1-R65)</f>
        <v>0</v>
      </c>
      <c r="X65" s="21" t="n">
        <f aca="false">S65+V65+W65</f>
        <v>0</v>
      </c>
      <c r="Y65" s="20"/>
      <c r="Z65" s="20"/>
      <c r="AA65" s="19" t="n">
        <v>0</v>
      </c>
      <c r="AB65" s="20"/>
      <c r="AC65" s="20"/>
      <c r="AD65" s="24" t="n">
        <f aca="false">IFERROR(AA65/AC65,0)</f>
        <v>0</v>
      </c>
      <c r="AE65" s="25" t="n">
        <f aca="false">K65-Q65-X65</f>
        <v>0</v>
      </c>
      <c r="AF65" s="25" t="n">
        <f aca="false">Q65-AA65</f>
        <v>0</v>
      </c>
      <c r="AG65" s="20"/>
      <c r="AH65" s="26" t="n">
        <f aca="false">IFERROR(AG65/Q65,0)</f>
        <v>0</v>
      </c>
      <c r="AI65" s="27" t="n">
        <v>0</v>
      </c>
      <c r="AJ65" s="26" t="n">
        <f aca="false">IF(AI65&gt;0,AprCoef/SQRT(AI65),0)</f>
        <v>0</v>
      </c>
      <c r="AK65" s="24" t="n">
        <f aca="false">AI65*AJ65/365</f>
        <v>0</v>
      </c>
      <c r="AL65" s="24" t="n">
        <f aca="false">AD65</f>
        <v>0</v>
      </c>
      <c r="AM65" s="24" t="n">
        <f aca="false">AK65-AL65</f>
        <v>0</v>
      </c>
      <c r="AN65" s="28" t="str">
        <f aca="false">IF(A65&gt;=Hip3LaunchDate,"YES","")</f>
        <v/>
      </c>
      <c r="AO65" s="28" t="str">
        <f aca="false">IF(A65&lt;Hip4LaunchDate,"pre-launch","live (zero-fee)")</f>
        <v>pre-launch</v>
      </c>
      <c r="AP65" s="20"/>
      <c r="AQ65" s="20"/>
      <c r="AR65" s="20"/>
    </row>
    <row r="66" customFormat="false" ht="15" hidden="false" customHeight="false" outlineLevel="0" collapsed="false">
      <c r="A66" s="18" t="n">
        <v>45127</v>
      </c>
      <c r="B66" s="19" t="n">
        <v>49633624.74</v>
      </c>
      <c r="C66" s="19" t="n">
        <v>0</v>
      </c>
      <c r="D66" s="20"/>
      <c r="E66" s="21" t="n">
        <f aca="false">B66+C66</f>
        <v>49633624.74</v>
      </c>
      <c r="F66" s="21" t="n">
        <f aca="false">E66+D66</f>
        <v>49633624.74</v>
      </c>
      <c r="G66" s="22" t="n">
        <f aca="false">IFERROR(C66/E66,0)</f>
        <v>0</v>
      </c>
      <c r="H66" s="20"/>
      <c r="I66" s="20"/>
      <c r="J66" s="20"/>
      <c r="K66" s="21" t="n">
        <f aca="false">H66+I66</f>
        <v>0</v>
      </c>
      <c r="L66" s="20"/>
      <c r="M66" s="21" t="n">
        <f aca="false">H66-L66</f>
        <v>0</v>
      </c>
      <c r="N66" s="23" t="n">
        <f aca="false">IFERROR(M66/B66*10000,0)</f>
        <v>0</v>
      </c>
      <c r="O66" s="20"/>
      <c r="P66" s="20"/>
      <c r="Q66" s="21" t="n">
        <f aca="false">O66+P66</f>
        <v>0</v>
      </c>
      <c r="R66" s="22" t="n">
        <f aca="false">IF(A66&lt;HlpChangeDate,HlpSharePre,HlpSharePost)</f>
        <v>0.03</v>
      </c>
      <c r="S66" s="21" t="n">
        <f aca="false">Q66*R66/(1-R66)</f>
        <v>0</v>
      </c>
      <c r="T66" s="20"/>
      <c r="U66" s="21" t="n">
        <f aca="false">S66-T66</f>
        <v>0</v>
      </c>
      <c r="V66" s="21" t="n">
        <f aca="false">Y66-O66*R66/(1-R66)</f>
        <v>0</v>
      </c>
      <c r="W66" s="21" t="n">
        <f aca="false">Z66-P66*R66/(1-R66)</f>
        <v>0</v>
      </c>
      <c r="X66" s="21" t="n">
        <f aca="false">S66+V66+W66</f>
        <v>0</v>
      </c>
      <c r="Y66" s="20"/>
      <c r="Z66" s="20"/>
      <c r="AA66" s="19" t="n">
        <v>0</v>
      </c>
      <c r="AB66" s="20"/>
      <c r="AC66" s="20"/>
      <c r="AD66" s="24" t="n">
        <f aca="false">IFERROR(AA66/AC66,0)</f>
        <v>0</v>
      </c>
      <c r="AE66" s="25" t="n">
        <f aca="false">K66-Q66-X66</f>
        <v>0</v>
      </c>
      <c r="AF66" s="25" t="n">
        <f aca="false">Q66-AA66</f>
        <v>0</v>
      </c>
      <c r="AG66" s="20"/>
      <c r="AH66" s="26" t="n">
        <f aca="false">IFERROR(AG66/Q66,0)</f>
        <v>0</v>
      </c>
      <c r="AI66" s="27" t="n">
        <v>0</v>
      </c>
      <c r="AJ66" s="26" t="n">
        <f aca="false">IF(AI66&gt;0,AprCoef/SQRT(AI66),0)</f>
        <v>0</v>
      </c>
      <c r="AK66" s="24" t="n">
        <f aca="false">AI66*AJ66/365</f>
        <v>0</v>
      </c>
      <c r="AL66" s="24" t="n">
        <f aca="false">AD66</f>
        <v>0</v>
      </c>
      <c r="AM66" s="24" t="n">
        <f aca="false">AK66-AL66</f>
        <v>0</v>
      </c>
      <c r="AN66" s="28" t="str">
        <f aca="false">IF(A66&gt;=Hip3LaunchDate,"YES","")</f>
        <v/>
      </c>
      <c r="AO66" s="28" t="str">
        <f aca="false">IF(A66&lt;Hip4LaunchDate,"pre-launch","live (zero-fee)")</f>
        <v>pre-launch</v>
      </c>
      <c r="AP66" s="20"/>
      <c r="AQ66" s="20"/>
      <c r="AR66" s="20"/>
    </row>
    <row r="67" customFormat="false" ht="15" hidden="false" customHeight="false" outlineLevel="0" collapsed="false">
      <c r="A67" s="18" t="n">
        <v>45128</v>
      </c>
      <c r="B67" s="19" t="n">
        <v>39391632.68</v>
      </c>
      <c r="C67" s="19" t="n">
        <v>0</v>
      </c>
      <c r="D67" s="20"/>
      <c r="E67" s="21" t="n">
        <f aca="false">B67+C67</f>
        <v>39391632.68</v>
      </c>
      <c r="F67" s="21" t="n">
        <f aca="false">E67+D67</f>
        <v>39391632.68</v>
      </c>
      <c r="G67" s="22" t="n">
        <f aca="false">IFERROR(C67/E67,0)</f>
        <v>0</v>
      </c>
      <c r="H67" s="20"/>
      <c r="I67" s="20"/>
      <c r="J67" s="20"/>
      <c r="K67" s="21" t="n">
        <f aca="false">H67+I67</f>
        <v>0</v>
      </c>
      <c r="L67" s="20"/>
      <c r="M67" s="21" t="n">
        <f aca="false">H67-L67</f>
        <v>0</v>
      </c>
      <c r="N67" s="23" t="n">
        <f aca="false">IFERROR(M67/B67*10000,0)</f>
        <v>0</v>
      </c>
      <c r="O67" s="20"/>
      <c r="P67" s="20"/>
      <c r="Q67" s="21" t="n">
        <f aca="false">O67+P67</f>
        <v>0</v>
      </c>
      <c r="R67" s="22" t="n">
        <f aca="false">IF(A67&lt;HlpChangeDate,HlpSharePre,HlpSharePost)</f>
        <v>0.03</v>
      </c>
      <c r="S67" s="21" t="n">
        <f aca="false">Q67*R67/(1-R67)</f>
        <v>0</v>
      </c>
      <c r="T67" s="20"/>
      <c r="U67" s="21" t="n">
        <f aca="false">S67-T67</f>
        <v>0</v>
      </c>
      <c r="V67" s="21" t="n">
        <f aca="false">Y67-O67*R67/(1-R67)</f>
        <v>0</v>
      </c>
      <c r="W67" s="21" t="n">
        <f aca="false">Z67-P67*R67/(1-R67)</f>
        <v>0</v>
      </c>
      <c r="X67" s="21" t="n">
        <f aca="false">S67+V67+W67</f>
        <v>0</v>
      </c>
      <c r="Y67" s="20"/>
      <c r="Z67" s="20"/>
      <c r="AA67" s="19" t="n">
        <v>0</v>
      </c>
      <c r="AB67" s="20"/>
      <c r="AC67" s="20"/>
      <c r="AD67" s="24" t="n">
        <f aca="false">IFERROR(AA67/AC67,0)</f>
        <v>0</v>
      </c>
      <c r="AE67" s="25" t="n">
        <f aca="false">K67-Q67-X67</f>
        <v>0</v>
      </c>
      <c r="AF67" s="25" t="n">
        <f aca="false">Q67-AA67</f>
        <v>0</v>
      </c>
      <c r="AG67" s="20"/>
      <c r="AH67" s="26" t="n">
        <f aca="false">IFERROR(AG67/Q67,0)</f>
        <v>0</v>
      </c>
      <c r="AI67" s="27" t="n">
        <v>0</v>
      </c>
      <c r="AJ67" s="26" t="n">
        <f aca="false">IF(AI67&gt;0,AprCoef/SQRT(AI67),0)</f>
        <v>0</v>
      </c>
      <c r="AK67" s="24" t="n">
        <f aca="false">AI67*AJ67/365</f>
        <v>0</v>
      </c>
      <c r="AL67" s="24" t="n">
        <f aca="false">AD67</f>
        <v>0</v>
      </c>
      <c r="AM67" s="24" t="n">
        <f aca="false">AK67-AL67</f>
        <v>0</v>
      </c>
      <c r="AN67" s="28" t="str">
        <f aca="false">IF(A67&gt;=Hip3LaunchDate,"YES","")</f>
        <v/>
      </c>
      <c r="AO67" s="28" t="str">
        <f aca="false">IF(A67&lt;Hip4LaunchDate,"pre-launch","live (zero-fee)")</f>
        <v>pre-launch</v>
      </c>
      <c r="AP67" s="20"/>
      <c r="AQ67" s="20"/>
      <c r="AR67" s="20"/>
    </row>
    <row r="68" customFormat="false" ht="15" hidden="false" customHeight="false" outlineLevel="0" collapsed="false">
      <c r="A68" s="18" t="n">
        <v>45129</v>
      </c>
      <c r="B68" s="19" t="n">
        <v>28310371.76</v>
      </c>
      <c r="C68" s="19" t="n">
        <v>0</v>
      </c>
      <c r="D68" s="20"/>
      <c r="E68" s="21" t="n">
        <f aca="false">B68+C68</f>
        <v>28310371.76</v>
      </c>
      <c r="F68" s="21" t="n">
        <f aca="false">E68+D68</f>
        <v>28310371.76</v>
      </c>
      <c r="G68" s="22" t="n">
        <f aca="false">IFERROR(C68/E68,0)</f>
        <v>0</v>
      </c>
      <c r="H68" s="20"/>
      <c r="I68" s="20"/>
      <c r="J68" s="20"/>
      <c r="K68" s="21" t="n">
        <f aca="false">H68+I68</f>
        <v>0</v>
      </c>
      <c r="L68" s="20"/>
      <c r="M68" s="21" t="n">
        <f aca="false">H68-L68</f>
        <v>0</v>
      </c>
      <c r="N68" s="23" t="n">
        <f aca="false">IFERROR(M68/B68*10000,0)</f>
        <v>0</v>
      </c>
      <c r="O68" s="20"/>
      <c r="P68" s="20"/>
      <c r="Q68" s="21" t="n">
        <f aca="false">O68+P68</f>
        <v>0</v>
      </c>
      <c r="R68" s="22" t="n">
        <f aca="false">IF(A68&lt;HlpChangeDate,HlpSharePre,HlpSharePost)</f>
        <v>0.03</v>
      </c>
      <c r="S68" s="21" t="n">
        <f aca="false">Q68*R68/(1-R68)</f>
        <v>0</v>
      </c>
      <c r="T68" s="20"/>
      <c r="U68" s="21" t="n">
        <f aca="false">S68-T68</f>
        <v>0</v>
      </c>
      <c r="V68" s="21" t="n">
        <f aca="false">Y68-O68*R68/(1-R68)</f>
        <v>0</v>
      </c>
      <c r="W68" s="21" t="n">
        <f aca="false">Z68-P68*R68/(1-R68)</f>
        <v>0</v>
      </c>
      <c r="X68" s="21" t="n">
        <f aca="false">S68+V68+W68</f>
        <v>0</v>
      </c>
      <c r="Y68" s="20"/>
      <c r="Z68" s="20"/>
      <c r="AA68" s="19" t="n">
        <v>0</v>
      </c>
      <c r="AB68" s="20"/>
      <c r="AC68" s="20"/>
      <c r="AD68" s="24" t="n">
        <f aca="false">IFERROR(AA68/AC68,0)</f>
        <v>0</v>
      </c>
      <c r="AE68" s="25" t="n">
        <f aca="false">K68-Q68-X68</f>
        <v>0</v>
      </c>
      <c r="AF68" s="25" t="n">
        <f aca="false">Q68-AA68</f>
        <v>0</v>
      </c>
      <c r="AG68" s="20"/>
      <c r="AH68" s="26" t="n">
        <f aca="false">IFERROR(AG68/Q68,0)</f>
        <v>0</v>
      </c>
      <c r="AI68" s="27" t="n">
        <v>0</v>
      </c>
      <c r="AJ68" s="26" t="n">
        <f aca="false">IF(AI68&gt;0,AprCoef/SQRT(AI68),0)</f>
        <v>0</v>
      </c>
      <c r="AK68" s="24" t="n">
        <f aca="false">AI68*AJ68/365</f>
        <v>0</v>
      </c>
      <c r="AL68" s="24" t="n">
        <f aca="false">AD68</f>
        <v>0</v>
      </c>
      <c r="AM68" s="24" t="n">
        <f aca="false">AK68-AL68</f>
        <v>0</v>
      </c>
      <c r="AN68" s="28" t="str">
        <f aca="false">IF(A68&gt;=Hip3LaunchDate,"YES","")</f>
        <v/>
      </c>
      <c r="AO68" s="28" t="str">
        <f aca="false">IF(A68&lt;Hip4LaunchDate,"pre-launch","live (zero-fee)")</f>
        <v>pre-launch</v>
      </c>
      <c r="AP68" s="20"/>
      <c r="AQ68" s="20"/>
      <c r="AR68" s="20"/>
    </row>
    <row r="69" customFormat="false" ht="15" hidden="false" customHeight="false" outlineLevel="0" collapsed="false">
      <c r="A69" s="18" t="n">
        <v>45130</v>
      </c>
      <c r="B69" s="19" t="n">
        <v>26423941.14</v>
      </c>
      <c r="C69" s="19" t="n">
        <v>0</v>
      </c>
      <c r="D69" s="20"/>
      <c r="E69" s="21" t="n">
        <f aca="false">B69+C69</f>
        <v>26423941.14</v>
      </c>
      <c r="F69" s="21" t="n">
        <f aca="false">E69+D69</f>
        <v>26423941.14</v>
      </c>
      <c r="G69" s="22" t="n">
        <f aca="false">IFERROR(C69/E69,0)</f>
        <v>0</v>
      </c>
      <c r="H69" s="20"/>
      <c r="I69" s="20"/>
      <c r="J69" s="20"/>
      <c r="K69" s="21" t="n">
        <f aca="false">H69+I69</f>
        <v>0</v>
      </c>
      <c r="L69" s="20"/>
      <c r="M69" s="21" t="n">
        <f aca="false">H69-L69</f>
        <v>0</v>
      </c>
      <c r="N69" s="23" t="n">
        <f aca="false">IFERROR(M69/B69*10000,0)</f>
        <v>0</v>
      </c>
      <c r="O69" s="20"/>
      <c r="P69" s="20"/>
      <c r="Q69" s="21" t="n">
        <f aca="false">O69+P69</f>
        <v>0</v>
      </c>
      <c r="R69" s="22" t="n">
        <f aca="false">IF(A69&lt;HlpChangeDate,HlpSharePre,HlpSharePost)</f>
        <v>0.03</v>
      </c>
      <c r="S69" s="21" t="n">
        <f aca="false">Q69*R69/(1-R69)</f>
        <v>0</v>
      </c>
      <c r="T69" s="20"/>
      <c r="U69" s="21" t="n">
        <f aca="false">S69-T69</f>
        <v>0</v>
      </c>
      <c r="V69" s="21" t="n">
        <f aca="false">Y69-O69*R69/(1-R69)</f>
        <v>0</v>
      </c>
      <c r="W69" s="21" t="n">
        <f aca="false">Z69-P69*R69/(1-R69)</f>
        <v>0</v>
      </c>
      <c r="X69" s="21" t="n">
        <f aca="false">S69+V69+W69</f>
        <v>0</v>
      </c>
      <c r="Y69" s="20"/>
      <c r="Z69" s="20"/>
      <c r="AA69" s="19" t="n">
        <v>0</v>
      </c>
      <c r="AB69" s="20"/>
      <c r="AC69" s="20"/>
      <c r="AD69" s="24" t="n">
        <f aca="false">IFERROR(AA69/AC69,0)</f>
        <v>0</v>
      </c>
      <c r="AE69" s="25" t="n">
        <f aca="false">K69-Q69-X69</f>
        <v>0</v>
      </c>
      <c r="AF69" s="25" t="n">
        <f aca="false">Q69-AA69</f>
        <v>0</v>
      </c>
      <c r="AG69" s="20"/>
      <c r="AH69" s="26" t="n">
        <f aca="false">IFERROR(AG69/Q69,0)</f>
        <v>0</v>
      </c>
      <c r="AI69" s="27" t="n">
        <v>0</v>
      </c>
      <c r="AJ69" s="26" t="n">
        <f aca="false">IF(AI69&gt;0,AprCoef/SQRT(AI69),0)</f>
        <v>0</v>
      </c>
      <c r="AK69" s="24" t="n">
        <f aca="false">AI69*AJ69/365</f>
        <v>0</v>
      </c>
      <c r="AL69" s="24" t="n">
        <f aca="false">AD69</f>
        <v>0</v>
      </c>
      <c r="AM69" s="24" t="n">
        <f aca="false">AK69-AL69</f>
        <v>0</v>
      </c>
      <c r="AN69" s="28" t="str">
        <f aca="false">IF(A69&gt;=Hip3LaunchDate,"YES","")</f>
        <v/>
      </c>
      <c r="AO69" s="28" t="str">
        <f aca="false">IF(A69&lt;Hip4LaunchDate,"pre-launch","live (zero-fee)")</f>
        <v>pre-launch</v>
      </c>
      <c r="AP69" s="20"/>
      <c r="AQ69" s="20"/>
      <c r="AR69" s="20"/>
    </row>
    <row r="70" customFormat="false" ht="15" hidden="false" customHeight="false" outlineLevel="0" collapsed="false">
      <c r="A70" s="18" t="n">
        <v>45131</v>
      </c>
      <c r="B70" s="19" t="n">
        <v>55533797.57</v>
      </c>
      <c r="C70" s="19" t="n">
        <v>0</v>
      </c>
      <c r="D70" s="20"/>
      <c r="E70" s="21" t="n">
        <f aca="false">B70+C70</f>
        <v>55533797.57</v>
      </c>
      <c r="F70" s="21" t="n">
        <f aca="false">E70+D70</f>
        <v>55533797.57</v>
      </c>
      <c r="G70" s="22" t="n">
        <f aca="false">IFERROR(C70/E70,0)</f>
        <v>0</v>
      </c>
      <c r="H70" s="20"/>
      <c r="I70" s="20"/>
      <c r="J70" s="20"/>
      <c r="K70" s="21" t="n">
        <f aca="false">H70+I70</f>
        <v>0</v>
      </c>
      <c r="L70" s="20"/>
      <c r="M70" s="21" t="n">
        <f aca="false">H70-L70</f>
        <v>0</v>
      </c>
      <c r="N70" s="23" t="n">
        <f aca="false">IFERROR(M70/B70*10000,0)</f>
        <v>0</v>
      </c>
      <c r="O70" s="20"/>
      <c r="P70" s="20"/>
      <c r="Q70" s="21" t="n">
        <f aca="false">O70+P70</f>
        <v>0</v>
      </c>
      <c r="R70" s="22" t="n">
        <f aca="false">IF(A70&lt;HlpChangeDate,HlpSharePre,HlpSharePost)</f>
        <v>0.03</v>
      </c>
      <c r="S70" s="21" t="n">
        <f aca="false">Q70*R70/(1-R70)</f>
        <v>0</v>
      </c>
      <c r="T70" s="20"/>
      <c r="U70" s="21" t="n">
        <f aca="false">S70-T70</f>
        <v>0</v>
      </c>
      <c r="V70" s="21" t="n">
        <f aca="false">Y70-O70*R70/(1-R70)</f>
        <v>0</v>
      </c>
      <c r="W70" s="21" t="n">
        <f aca="false">Z70-P70*R70/(1-R70)</f>
        <v>0</v>
      </c>
      <c r="X70" s="21" t="n">
        <f aca="false">S70+V70+W70</f>
        <v>0</v>
      </c>
      <c r="Y70" s="20"/>
      <c r="Z70" s="20"/>
      <c r="AA70" s="19" t="n">
        <v>0</v>
      </c>
      <c r="AB70" s="20"/>
      <c r="AC70" s="20"/>
      <c r="AD70" s="24" t="n">
        <f aca="false">IFERROR(AA70/AC70,0)</f>
        <v>0</v>
      </c>
      <c r="AE70" s="25" t="n">
        <f aca="false">K70-Q70-X70</f>
        <v>0</v>
      </c>
      <c r="AF70" s="25" t="n">
        <f aca="false">Q70-AA70</f>
        <v>0</v>
      </c>
      <c r="AG70" s="20"/>
      <c r="AH70" s="26" t="n">
        <f aca="false">IFERROR(AG70/Q70,0)</f>
        <v>0</v>
      </c>
      <c r="AI70" s="27" t="n">
        <v>0</v>
      </c>
      <c r="AJ70" s="26" t="n">
        <f aca="false">IF(AI70&gt;0,AprCoef/SQRT(AI70),0)</f>
        <v>0</v>
      </c>
      <c r="AK70" s="24" t="n">
        <f aca="false">AI70*AJ70/365</f>
        <v>0</v>
      </c>
      <c r="AL70" s="24" t="n">
        <f aca="false">AD70</f>
        <v>0</v>
      </c>
      <c r="AM70" s="24" t="n">
        <f aca="false">AK70-AL70</f>
        <v>0</v>
      </c>
      <c r="AN70" s="28" t="str">
        <f aca="false">IF(A70&gt;=Hip3LaunchDate,"YES","")</f>
        <v/>
      </c>
      <c r="AO70" s="28" t="str">
        <f aca="false">IF(A70&lt;Hip4LaunchDate,"pre-launch","live (zero-fee)")</f>
        <v>pre-launch</v>
      </c>
      <c r="AP70" s="20"/>
      <c r="AQ70" s="20"/>
      <c r="AR70" s="20"/>
    </row>
    <row r="71" customFormat="false" ht="15" hidden="false" customHeight="false" outlineLevel="0" collapsed="false">
      <c r="A71" s="18" t="n">
        <v>45132</v>
      </c>
      <c r="B71" s="19" t="n">
        <v>38941116.96</v>
      </c>
      <c r="C71" s="19" t="n">
        <v>0</v>
      </c>
      <c r="D71" s="20"/>
      <c r="E71" s="21" t="n">
        <f aca="false">B71+C71</f>
        <v>38941116.96</v>
      </c>
      <c r="F71" s="21" t="n">
        <f aca="false">E71+D71</f>
        <v>38941116.96</v>
      </c>
      <c r="G71" s="22" t="n">
        <f aca="false">IFERROR(C71/E71,0)</f>
        <v>0</v>
      </c>
      <c r="H71" s="20"/>
      <c r="I71" s="20"/>
      <c r="J71" s="20"/>
      <c r="K71" s="21" t="n">
        <f aca="false">H71+I71</f>
        <v>0</v>
      </c>
      <c r="L71" s="20"/>
      <c r="M71" s="21" t="n">
        <f aca="false">H71-L71</f>
        <v>0</v>
      </c>
      <c r="N71" s="23" t="n">
        <f aca="false">IFERROR(M71/B71*10000,0)</f>
        <v>0</v>
      </c>
      <c r="O71" s="20"/>
      <c r="P71" s="20"/>
      <c r="Q71" s="21" t="n">
        <f aca="false">O71+P71</f>
        <v>0</v>
      </c>
      <c r="R71" s="22" t="n">
        <f aca="false">IF(A71&lt;HlpChangeDate,HlpSharePre,HlpSharePost)</f>
        <v>0.03</v>
      </c>
      <c r="S71" s="21" t="n">
        <f aca="false">Q71*R71/(1-R71)</f>
        <v>0</v>
      </c>
      <c r="T71" s="20"/>
      <c r="U71" s="21" t="n">
        <f aca="false">S71-T71</f>
        <v>0</v>
      </c>
      <c r="V71" s="21" t="n">
        <f aca="false">Y71-O71*R71/(1-R71)</f>
        <v>0</v>
      </c>
      <c r="W71" s="21" t="n">
        <f aca="false">Z71-P71*R71/(1-R71)</f>
        <v>0</v>
      </c>
      <c r="X71" s="21" t="n">
        <f aca="false">S71+V71+W71</f>
        <v>0</v>
      </c>
      <c r="Y71" s="20"/>
      <c r="Z71" s="20"/>
      <c r="AA71" s="19" t="n">
        <v>0</v>
      </c>
      <c r="AB71" s="20"/>
      <c r="AC71" s="20"/>
      <c r="AD71" s="24" t="n">
        <f aca="false">IFERROR(AA71/AC71,0)</f>
        <v>0</v>
      </c>
      <c r="AE71" s="25" t="n">
        <f aca="false">K71-Q71-X71</f>
        <v>0</v>
      </c>
      <c r="AF71" s="25" t="n">
        <f aca="false">Q71-AA71</f>
        <v>0</v>
      </c>
      <c r="AG71" s="20"/>
      <c r="AH71" s="26" t="n">
        <f aca="false">IFERROR(AG71/Q71,0)</f>
        <v>0</v>
      </c>
      <c r="AI71" s="27" t="n">
        <v>0</v>
      </c>
      <c r="AJ71" s="26" t="n">
        <f aca="false">IF(AI71&gt;0,AprCoef/SQRT(AI71),0)</f>
        <v>0</v>
      </c>
      <c r="AK71" s="24" t="n">
        <f aca="false">AI71*AJ71/365</f>
        <v>0</v>
      </c>
      <c r="AL71" s="24" t="n">
        <f aca="false">AD71</f>
        <v>0</v>
      </c>
      <c r="AM71" s="24" t="n">
        <f aca="false">AK71-AL71</f>
        <v>0</v>
      </c>
      <c r="AN71" s="28" t="str">
        <f aca="false">IF(A71&gt;=Hip3LaunchDate,"YES","")</f>
        <v/>
      </c>
      <c r="AO71" s="28" t="str">
        <f aca="false">IF(A71&lt;Hip4LaunchDate,"pre-launch","live (zero-fee)")</f>
        <v>pre-launch</v>
      </c>
      <c r="AP71" s="20"/>
      <c r="AQ71" s="20"/>
      <c r="AR71" s="20"/>
    </row>
    <row r="72" customFormat="false" ht="15" hidden="false" customHeight="false" outlineLevel="0" collapsed="false">
      <c r="A72" s="18" t="n">
        <v>45133</v>
      </c>
      <c r="B72" s="19" t="n">
        <v>54402040.36</v>
      </c>
      <c r="C72" s="19" t="n">
        <v>0</v>
      </c>
      <c r="D72" s="20"/>
      <c r="E72" s="21" t="n">
        <f aca="false">B72+C72</f>
        <v>54402040.36</v>
      </c>
      <c r="F72" s="21" t="n">
        <f aca="false">E72+D72</f>
        <v>54402040.36</v>
      </c>
      <c r="G72" s="22" t="n">
        <f aca="false">IFERROR(C72/E72,0)</f>
        <v>0</v>
      </c>
      <c r="H72" s="20"/>
      <c r="I72" s="20"/>
      <c r="J72" s="20"/>
      <c r="K72" s="21" t="n">
        <f aca="false">H72+I72</f>
        <v>0</v>
      </c>
      <c r="L72" s="20"/>
      <c r="M72" s="21" t="n">
        <f aca="false">H72-L72</f>
        <v>0</v>
      </c>
      <c r="N72" s="23" t="n">
        <f aca="false">IFERROR(M72/B72*10000,0)</f>
        <v>0</v>
      </c>
      <c r="O72" s="20"/>
      <c r="P72" s="20"/>
      <c r="Q72" s="21" t="n">
        <f aca="false">O72+P72</f>
        <v>0</v>
      </c>
      <c r="R72" s="22" t="n">
        <f aca="false">IF(A72&lt;HlpChangeDate,HlpSharePre,HlpSharePost)</f>
        <v>0.03</v>
      </c>
      <c r="S72" s="21" t="n">
        <f aca="false">Q72*R72/(1-R72)</f>
        <v>0</v>
      </c>
      <c r="T72" s="20"/>
      <c r="U72" s="21" t="n">
        <f aca="false">S72-T72</f>
        <v>0</v>
      </c>
      <c r="V72" s="21" t="n">
        <f aca="false">Y72-O72*R72/(1-R72)</f>
        <v>0</v>
      </c>
      <c r="W72" s="21" t="n">
        <f aca="false">Z72-P72*R72/(1-R72)</f>
        <v>0</v>
      </c>
      <c r="X72" s="21" t="n">
        <f aca="false">S72+V72+W72</f>
        <v>0</v>
      </c>
      <c r="Y72" s="20"/>
      <c r="Z72" s="20"/>
      <c r="AA72" s="19" t="n">
        <v>0</v>
      </c>
      <c r="AB72" s="20"/>
      <c r="AC72" s="20"/>
      <c r="AD72" s="24" t="n">
        <f aca="false">IFERROR(AA72/AC72,0)</f>
        <v>0</v>
      </c>
      <c r="AE72" s="25" t="n">
        <f aca="false">K72-Q72-X72</f>
        <v>0</v>
      </c>
      <c r="AF72" s="25" t="n">
        <f aca="false">Q72-AA72</f>
        <v>0</v>
      </c>
      <c r="AG72" s="20"/>
      <c r="AH72" s="26" t="n">
        <f aca="false">IFERROR(AG72/Q72,0)</f>
        <v>0</v>
      </c>
      <c r="AI72" s="27" t="n">
        <v>0</v>
      </c>
      <c r="AJ72" s="26" t="n">
        <f aca="false">IF(AI72&gt;0,AprCoef/SQRT(AI72),0)</f>
        <v>0</v>
      </c>
      <c r="AK72" s="24" t="n">
        <f aca="false">AI72*AJ72/365</f>
        <v>0</v>
      </c>
      <c r="AL72" s="24" t="n">
        <f aca="false">AD72</f>
        <v>0</v>
      </c>
      <c r="AM72" s="24" t="n">
        <f aca="false">AK72-AL72</f>
        <v>0</v>
      </c>
      <c r="AN72" s="28" t="str">
        <f aca="false">IF(A72&gt;=Hip3LaunchDate,"YES","")</f>
        <v/>
      </c>
      <c r="AO72" s="28" t="str">
        <f aca="false">IF(A72&lt;Hip4LaunchDate,"pre-launch","live (zero-fee)")</f>
        <v>pre-launch</v>
      </c>
      <c r="AP72" s="20"/>
      <c r="AQ72" s="20"/>
      <c r="AR72" s="20"/>
    </row>
    <row r="73" customFormat="false" ht="15" hidden="false" customHeight="false" outlineLevel="0" collapsed="false">
      <c r="A73" s="18" t="n">
        <v>45134</v>
      </c>
      <c r="B73" s="19" t="n">
        <v>48029275.21</v>
      </c>
      <c r="C73" s="19" t="n">
        <v>0</v>
      </c>
      <c r="D73" s="20"/>
      <c r="E73" s="21" t="n">
        <f aca="false">B73+C73</f>
        <v>48029275.21</v>
      </c>
      <c r="F73" s="21" t="n">
        <f aca="false">E73+D73</f>
        <v>48029275.21</v>
      </c>
      <c r="G73" s="22" t="n">
        <f aca="false">IFERROR(C73/E73,0)</f>
        <v>0</v>
      </c>
      <c r="H73" s="20"/>
      <c r="I73" s="20"/>
      <c r="J73" s="20"/>
      <c r="K73" s="21" t="n">
        <f aca="false">H73+I73</f>
        <v>0</v>
      </c>
      <c r="L73" s="20"/>
      <c r="M73" s="21" t="n">
        <f aca="false">H73-L73</f>
        <v>0</v>
      </c>
      <c r="N73" s="23" t="n">
        <f aca="false">IFERROR(M73/B73*10000,0)</f>
        <v>0</v>
      </c>
      <c r="O73" s="20"/>
      <c r="P73" s="20"/>
      <c r="Q73" s="21" t="n">
        <f aca="false">O73+P73</f>
        <v>0</v>
      </c>
      <c r="R73" s="22" t="n">
        <f aca="false">IF(A73&lt;HlpChangeDate,HlpSharePre,HlpSharePost)</f>
        <v>0.03</v>
      </c>
      <c r="S73" s="21" t="n">
        <f aca="false">Q73*R73/(1-R73)</f>
        <v>0</v>
      </c>
      <c r="T73" s="20"/>
      <c r="U73" s="21" t="n">
        <f aca="false">S73-T73</f>
        <v>0</v>
      </c>
      <c r="V73" s="21" t="n">
        <f aca="false">Y73-O73*R73/(1-R73)</f>
        <v>0</v>
      </c>
      <c r="W73" s="21" t="n">
        <f aca="false">Z73-P73*R73/(1-R73)</f>
        <v>0</v>
      </c>
      <c r="X73" s="21" t="n">
        <f aca="false">S73+V73+W73</f>
        <v>0</v>
      </c>
      <c r="Y73" s="20"/>
      <c r="Z73" s="20"/>
      <c r="AA73" s="19" t="n">
        <v>0</v>
      </c>
      <c r="AB73" s="20"/>
      <c r="AC73" s="20"/>
      <c r="AD73" s="24" t="n">
        <f aca="false">IFERROR(AA73/AC73,0)</f>
        <v>0</v>
      </c>
      <c r="AE73" s="25" t="n">
        <f aca="false">K73-Q73-X73</f>
        <v>0</v>
      </c>
      <c r="AF73" s="25" t="n">
        <f aca="false">Q73-AA73</f>
        <v>0</v>
      </c>
      <c r="AG73" s="20"/>
      <c r="AH73" s="26" t="n">
        <f aca="false">IFERROR(AG73/Q73,0)</f>
        <v>0</v>
      </c>
      <c r="AI73" s="27" t="n">
        <v>0</v>
      </c>
      <c r="AJ73" s="26" t="n">
        <f aca="false">IF(AI73&gt;0,AprCoef/SQRT(AI73),0)</f>
        <v>0</v>
      </c>
      <c r="AK73" s="24" t="n">
        <f aca="false">AI73*AJ73/365</f>
        <v>0</v>
      </c>
      <c r="AL73" s="24" t="n">
        <f aca="false">AD73</f>
        <v>0</v>
      </c>
      <c r="AM73" s="24" t="n">
        <f aca="false">AK73-AL73</f>
        <v>0</v>
      </c>
      <c r="AN73" s="28" t="str">
        <f aca="false">IF(A73&gt;=Hip3LaunchDate,"YES","")</f>
        <v/>
      </c>
      <c r="AO73" s="28" t="str">
        <f aca="false">IF(A73&lt;Hip4LaunchDate,"pre-launch","live (zero-fee)")</f>
        <v>pre-launch</v>
      </c>
      <c r="AP73" s="20"/>
      <c r="AQ73" s="20"/>
      <c r="AR73" s="20"/>
    </row>
    <row r="74" customFormat="false" ht="15" hidden="false" customHeight="false" outlineLevel="0" collapsed="false">
      <c r="A74" s="18" t="n">
        <v>45135</v>
      </c>
      <c r="B74" s="19" t="n">
        <v>35982685.74</v>
      </c>
      <c r="C74" s="19" t="n">
        <v>0</v>
      </c>
      <c r="D74" s="20"/>
      <c r="E74" s="21" t="n">
        <f aca="false">B74+C74</f>
        <v>35982685.74</v>
      </c>
      <c r="F74" s="21" t="n">
        <f aca="false">E74+D74</f>
        <v>35982685.74</v>
      </c>
      <c r="G74" s="22" t="n">
        <f aca="false">IFERROR(C74/E74,0)</f>
        <v>0</v>
      </c>
      <c r="H74" s="20"/>
      <c r="I74" s="20"/>
      <c r="J74" s="20"/>
      <c r="K74" s="21" t="n">
        <f aca="false">H74+I74</f>
        <v>0</v>
      </c>
      <c r="L74" s="20"/>
      <c r="M74" s="21" t="n">
        <f aca="false">H74-L74</f>
        <v>0</v>
      </c>
      <c r="N74" s="23" t="n">
        <f aca="false">IFERROR(M74/B74*10000,0)</f>
        <v>0</v>
      </c>
      <c r="O74" s="20"/>
      <c r="P74" s="20"/>
      <c r="Q74" s="21" t="n">
        <f aca="false">O74+P74</f>
        <v>0</v>
      </c>
      <c r="R74" s="22" t="n">
        <f aca="false">IF(A74&lt;HlpChangeDate,HlpSharePre,HlpSharePost)</f>
        <v>0.03</v>
      </c>
      <c r="S74" s="21" t="n">
        <f aca="false">Q74*R74/(1-R74)</f>
        <v>0</v>
      </c>
      <c r="T74" s="20"/>
      <c r="U74" s="21" t="n">
        <f aca="false">S74-T74</f>
        <v>0</v>
      </c>
      <c r="V74" s="21" t="n">
        <f aca="false">Y74-O74*R74/(1-R74)</f>
        <v>0</v>
      </c>
      <c r="W74" s="21" t="n">
        <f aca="false">Z74-P74*R74/(1-R74)</f>
        <v>0</v>
      </c>
      <c r="X74" s="21" t="n">
        <f aca="false">S74+V74+W74</f>
        <v>0</v>
      </c>
      <c r="Y74" s="20"/>
      <c r="Z74" s="20"/>
      <c r="AA74" s="19" t="n">
        <v>0</v>
      </c>
      <c r="AB74" s="20"/>
      <c r="AC74" s="20"/>
      <c r="AD74" s="24" t="n">
        <f aca="false">IFERROR(AA74/AC74,0)</f>
        <v>0</v>
      </c>
      <c r="AE74" s="25" t="n">
        <f aca="false">K74-Q74-X74</f>
        <v>0</v>
      </c>
      <c r="AF74" s="25" t="n">
        <f aca="false">Q74-AA74</f>
        <v>0</v>
      </c>
      <c r="AG74" s="20"/>
      <c r="AH74" s="26" t="n">
        <f aca="false">IFERROR(AG74/Q74,0)</f>
        <v>0</v>
      </c>
      <c r="AI74" s="27" t="n">
        <v>0</v>
      </c>
      <c r="AJ74" s="26" t="n">
        <f aca="false">IF(AI74&gt;0,AprCoef/SQRT(AI74),0)</f>
        <v>0</v>
      </c>
      <c r="AK74" s="24" t="n">
        <f aca="false">AI74*AJ74/365</f>
        <v>0</v>
      </c>
      <c r="AL74" s="24" t="n">
        <f aca="false">AD74</f>
        <v>0</v>
      </c>
      <c r="AM74" s="24" t="n">
        <f aca="false">AK74-AL74</f>
        <v>0</v>
      </c>
      <c r="AN74" s="28" t="str">
        <f aca="false">IF(A74&gt;=Hip3LaunchDate,"YES","")</f>
        <v/>
      </c>
      <c r="AO74" s="28" t="str">
        <f aca="false">IF(A74&lt;Hip4LaunchDate,"pre-launch","live (zero-fee)")</f>
        <v>pre-launch</v>
      </c>
      <c r="AP74" s="20"/>
      <c r="AQ74" s="20"/>
      <c r="AR74" s="20"/>
    </row>
    <row r="75" customFormat="false" ht="15" hidden="false" customHeight="false" outlineLevel="0" collapsed="false">
      <c r="A75" s="18" t="n">
        <v>45136</v>
      </c>
      <c r="B75" s="19" t="n">
        <v>23141288.29</v>
      </c>
      <c r="C75" s="19" t="n">
        <v>0</v>
      </c>
      <c r="D75" s="20"/>
      <c r="E75" s="21" t="n">
        <f aca="false">B75+C75</f>
        <v>23141288.29</v>
      </c>
      <c r="F75" s="21" t="n">
        <f aca="false">E75+D75</f>
        <v>23141288.29</v>
      </c>
      <c r="G75" s="22" t="n">
        <f aca="false">IFERROR(C75/E75,0)</f>
        <v>0</v>
      </c>
      <c r="H75" s="20"/>
      <c r="I75" s="20"/>
      <c r="J75" s="20"/>
      <c r="K75" s="21" t="n">
        <f aca="false">H75+I75</f>
        <v>0</v>
      </c>
      <c r="L75" s="20"/>
      <c r="M75" s="21" t="n">
        <f aca="false">H75-L75</f>
        <v>0</v>
      </c>
      <c r="N75" s="23" t="n">
        <f aca="false">IFERROR(M75/B75*10000,0)</f>
        <v>0</v>
      </c>
      <c r="O75" s="20"/>
      <c r="P75" s="20"/>
      <c r="Q75" s="21" t="n">
        <f aca="false">O75+P75</f>
        <v>0</v>
      </c>
      <c r="R75" s="22" t="n">
        <f aca="false">IF(A75&lt;HlpChangeDate,HlpSharePre,HlpSharePost)</f>
        <v>0.03</v>
      </c>
      <c r="S75" s="21" t="n">
        <f aca="false">Q75*R75/(1-R75)</f>
        <v>0</v>
      </c>
      <c r="T75" s="20"/>
      <c r="U75" s="21" t="n">
        <f aca="false">S75-T75</f>
        <v>0</v>
      </c>
      <c r="V75" s="21" t="n">
        <f aca="false">Y75-O75*R75/(1-R75)</f>
        <v>0</v>
      </c>
      <c r="W75" s="21" t="n">
        <f aca="false">Z75-P75*R75/(1-R75)</f>
        <v>0</v>
      </c>
      <c r="X75" s="21" t="n">
        <f aca="false">S75+V75+W75</f>
        <v>0</v>
      </c>
      <c r="Y75" s="20"/>
      <c r="Z75" s="20"/>
      <c r="AA75" s="19" t="n">
        <v>0</v>
      </c>
      <c r="AB75" s="20"/>
      <c r="AC75" s="20"/>
      <c r="AD75" s="24" t="n">
        <f aca="false">IFERROR(AA75/AC75,0)</f>
        <v>0</v>
      </c>
      <c r="AE75" s="25" t="n">
        <f aca="false">K75-Q75-X75</f>
        <v>0</v>
      </c>
      <c r="AF75" s="25" t="n">
        <f aca="false">Q75-AA75</f>
        <v>0</v>
      </c>
      <c r="AG75" s="20"/>
      <c r="AH75" s="26" t="n">
        <f aca="false">IFERROR(AG75/Q75,0)</f>
        <v>0</v>
      </c>
      <c r="AI75" s="27" t="n">
        <v>0</v>
      </c>
      <c r="AJ75" s="26" t="n">
        <f aca="false">IF(AI75&gt;0,AprCoef/SQRT(AI75),0)</f>
        <v>0</v>
      </c>
      <c r="AK75" s="24" t="n">
        <f aca="false">AI75*AJ75/365</f>
        <v>0</v>
      </c>
      <c r="AL75" s="24" t="n">
        <f aca="false">AD75</f>
        <v>0</v>
      </c>
      <c r="AM75" s="24" t="n">
        <f aca="false">AK75-AL75</f>
        <v>0</v>
      </c>
      <c r="AN75" s="28" t="str">
        <f aca="false">IF(A75&gt;=Hip3LaunchDate,"YES","")</f>
        <v/>
      </c>
      <c r="AO75" s="28" t="str">
        <f aca="false">IF(A75&lt;Hip4LaunchDate,"pre-launch","live (zero-fee)")</f>
        <v>pre-launch</v>
      </c>
      <c r="AP75" s="20"/>
      <c r="AQ75" s="20"/>
      <c r="AR75" s="20"/>
    </row>
    <row r="76" customFormat="false" ht="15" hidden="false" customHeight="false" outlineLevel="0" collapsed="false">
      <c r="A76" s="18" t="n">
        <v>45137</v>
      </c>
      <c r="B76" s="19" t="n">
        <v>39932922.03</v>
      </c>
      <c r="C76" s="19" t="n">
        <v>0</v>
      </c>
      <c r="D76" s="20"/>
      <c r="E76" s="21" t="n">
        <f aca="false">B76+C76</f>
        <v>39932922.03</v>
      </c>
      <c r="F76" s="21" t="n">
        <f aca="false">E76+D76</f>
        <v>39932922.03</v>
      </c>
      <c r="G76" s="22" t="n">
        <f aca="false">IFERROR(C76/E76,0)</f>
        <v>0</v>
      </c>
      <c r="H76" s="20"/>
      <c r="I76" s="20"/>
      <c r="J76" s="20"/>
      <c r="K76" s="21" t="n">
        <f aca="false">H76+I76</f>
        <v>0</v>
      </c>
      <c r="L76" s="20"/>
      <c r="M76" s="21" t="n">
        <f aca="false">H76-L76</f>
        <v>0</v>
      </c>
      <c r="N76" s="23" t="n">
        <f aca="false">IFERROR(M76/B76*10000,0)</f>
        <v>0</v>
      </c>
      <c r="O76" s="20"/>
      <c r="P76" s="20"/>
      <c r="Q76" s="21" t="n">
        <f aca="false">O76+P76</f>
        <v>0</v>
      </c>
      <c r="R76" s="22" t="n">
        <f aca="false">IF(A76&lt;HlpChangeDate,HlpSharePre,HlpSharePost)</f>
        <v>0.03</v>
      </c>
      <c r="S76" s="21" t="n">
        <f aca="false">Q76*R76/(1-R76)</f>
        <v>0</v>
      </c>
      <c r="T76" s="20"/>
      <c r="U76" s="21" t="n">
        <f aca="false">S76-T76</f>
        <v>0</v>
      </c>
      <c r="V76" s="21" t="n">
        <f aca="false">Y76-O76*R76/(1-R76)</f>
        <v>0</v>
      </c>
      <c r="W76" s="21" t="n">
        <f aca="false">Z76-P76*R76/(1-R76)</f>
        <v>0</v>
      </c>
      <c r="X76" s="21" t="n">
        <f aca="false">S76+V76+W76</f>
        <v>0</v>
      </c>
      <c r="Y76" s="20"/>
      <c r="Z76" s="20"/>
      <c r="AA76" s="19" t="n">
        <v>0</v>
      </c>
      <c r="AB76" s="20"/>
      <c r="AC76" s="20"/>
      <c r="AD76" s="24" t="n">
        <f aca="false">IFERROR(AA76/AC76,0)</f>
        <v>0</v>
      </c>
      <c r="AE76" s="25" t="n">
        <f aca="false">K76-Q76-X76</f>
        <v>0</v>
      </c>
      <c r="AF76" s="25" t="n">
        <f aca="false">Q76-AA76</f>
        <v>0</v>
      </c>
      <c r="AG76" s="20"/>
      <c r="AH76" s="26" t="n">
        <f aca="false">IFERROR(AG76/Q76,0)</f>
        <v>0</v>
      </c>
      <c r="AI76" s="27" t="n">
        <v>0</v>
      </c>
      <c r="AJ76" s="26" t="n">
        <f aca="false">IF(AI76&gt;0,AprCoef/SQRT(AI76),0)</f>
        <v>0</v>
      </c>
      <c r="AK76" s="24" t="n">
        <f aca="false">AI76*AJ76/365</f>
        <v>0</v>
      </c>
      <c r="AL76" s="24" t="n">
        <f aca="false">AD76</f>
        <v>0</v>
      </c>
      <c r="AM76" s="24" t="n">
        <f aca="false">AK76-AL76</f>
        <v>0</v>
      </c>
      <c r="AN76" s="28" t="str">
        <f aca="false">IF(A76&gt;=Hip3LaunchDate,"YES","")</f>
        <v/>
      </c>
      <c r="AO76" s="28" t="str">
        <f aca="false">IF(A76&lt;Hip4LaunchDate,"pre-launch","live (zero-fee)")</f>
        <v>pre-launch</v>
      </c>
      <c r="AP76" s="20"/>
      <c r="AQ76" s="20"/>
      <c r="AR76" s="20"/>
    </row>
    <row r="77" customFormat="false" ht="15" hidden="false" customHeight="false" outlineLevel="0" collapsed="false">
      <c r="A77" s="18" t="n">
        <v>45138</v>
      </c>
      <c r="B77" s="19" t="n">
        <v>52459811.79</v>
      </c>
      <c r="C77" s="19" t="n">
        <v>0</v>
      </c>
      <c r="D77" s="20"/>
      <c r="E77" s="21" t="n">
        <f aca="false">B77+C77</f>
        <v>52459811.79</v>
      </c>
      <c r="F77" s="21" t="n">
        <f aca="false">E77+D77</f>
        <v>52459811.79</v>
      </c>
      <c r="G77" s="22" t="n">
        <f aca="false">IFERROR(C77/E77,0)</f>
        <v>0</v>
      </c>
      <c r="H77" s="20"/>
      <c r="I77" s="20"/>
      <c r="J77" s="20"/>
      <c r="K77" s="21" t="n">
        <f aca="false">H77+I77</f>
        <v>0</v>
      </c>
      <c r="L77" s="20"/>
      <c r="M77" s="21" t="n">
        <f aca="false">H77-L77</f>
        <v>0</v>
      </c>
      <c r="N77" s="23" t="n">
        <f aca="false">IFERROR(M77/B77*10000,0)</f>
        <v>0</v>
      </c>
      <c r="O77" s="20"/>
      <c r="P77" s="20"/>
      <c r="Q77" s="21" t="n">
        <f aca="false">O77+P77</f>
        <v>0</v>
      </c>
      <c r="R77" s="22" t="n">
        <f aca="false">IF(A77&lt;HlpChangeDate,HlpSharePre,HlpSharePost)</f>
        <v>0.03</v>
      </c>
      <c r="S77" s="21" t="n">
        <f aca="false">Q77*R77/(1-R77)</f>
        <v>0</v>
      </c>
      <c r="T77" s="20"/>
      <c r="U77" s="21" t="n">
        <f aca="false">S77-T77</f>
        <v>0</v>
      </c>
      <c r="V77" s="21" t="n">
        <f aca="false">Y77-O77*R77/(1-R77)</f>
        <v>0</v>
      </c>
      <c r="W77" s="21" t="n">
        <f aca="false">Z77-P77*R77/(1-R77)</f>
        <v>0</v>
      </c>
      <c r="X77" s="21" t="n">
        <f aca="false">S77+V77+W77</f>
        <v>0</v>
      </c>
      <c r="Y77" s="20"/>
      <c r="Z77" s="20"/>
      <c r="AA77" s="19" t="n">
        <v>0</v>
      </c>
      <c r="AB77" s="20"/>
      <c r="AC77" s="20"/>
      <c r="AD77" s="24" t="n">
        <f aca="false">IFERROR(AA77/AC77,0)</f>
        <v>0</v>
      </c>
      <c r="AE77" s="25" t="n">
        <f aca="false">K77-Q77-X77</f>
        <v>0</v>
      </c>
      <c r="AF77" s="25" t="n">
        <f aca="false">Q77-AA77</f>
        <v>0</v>
      </c>
      <c r="AG77" s="20"/>
      <c r="AH77" s="26" t="n">
        <f aca="false">IFERROR(AG77/Q77,0)</f>
        <v>0</v>
      </c>
      <c r="AI77" s="27" t="n">
        <v>0</v>
      </c>
      <c r="AJ77" s="26" t="n">
        <f aca="false">IF(AI77&gt;0,AprCoef/SQRT(AI77),0)</f>
        <v>0</v>
      </c>
      <c r="AK77" s="24" t="n">
        <f aca="false">AI77*AJ77/365</f>
        <v>0</v>
      </c>
      <c r="AL77" s="24" t="n">
        <f aca="false">AD77</f>
        <v>0</v>
      </c>
      <c r="AM77" s="24" t="n">
        <f aca="false">AK77-AL77</f>
        <v>0</v>
      </c>
      <c r="AN77" s="28" t="str">
        <f aca="false">IF(A77&gt;=Hip3LaunchDate,"YES","")</f>
        <v/>
      </c>
      <c r="AO77" s="28" t="str">
        <f aca="false">IF(A77&lt;Hip4LaunchDate,"pre-launch","live (zero-fee)")</f>
        <v>pre-launch</v>
      </c>
      <c r="AP77" s="20"/>
      <c r="AQ77" s="20"/>
      <c r="AR77" s="20"/>
    </row>
    <row r="78" customFormat="false" ht="15" hidden="false" customHeight="false" outlineLevel="0" collapsed="false">
      <c r="A78" s="18" t="n">
        <v>45139</v>
      </c>
      <c r="B78" s="19" t="n">
        <v>71930659.39</v>
      </c>
      <c r="C78" s="19" t="n">
        <v>0</v>
      </c>
      <c r="D78" s="20"/>
      <c r="E78" s="21" t="n">
        <f aca="false">B78+C78</f>
        <v>71930659.39</v>
      </c>
      <c r="F78" s="21" t="n">
        <f aca="false">E78+D78</f>
        <v>71930659.39</v>
      </c>
      <c r="G78" s="22" t="n">
        <f aca="false">IFERROR(C78/E78,0)</f>
        <v>0</v>
      </c>
      <c r="H78" s="20"/>
      <c r="I78" s="20"/>
      <c r="J78" s="20"/>
      <c r="K78" s="21" t="n">
        <f aca="false">H78+I78</f>
        <v>0</v>
      </c>
      <c r="L78" s="20"/>
      <c r="M78" s="21" t="n">
        <f aca="false">H78-L78</f>
        <v>0</v>
      </c>
      <c r="N78" s="23" t="n">
        <f aca="false">IFERROR(M78/B78*10000,0)</f>
        <v>0</v>
      </c>
      <c r="O78" s="20"/>
      <c r="P78" s="20"/>
      <c r="Q78" s="21" t="n">
        <f aca="false">O78+P78</f>
        <v>0</v>
      </c>
      <c r="R78" s="22" t="n">
        <f aca="false">IF(A78&lt;HlpChangeDate,HlpSharePre,HlpSharePost)</f>
        <v>0.03</v>
      </c>
      <c r="S78" s="21" t="n">
        <f aca="false">Q78*R78/(1-R78)</f>
        <v>0</v>
      </c>
      <c r="T78" s="20"/>
      <c r="U78" s="21" t="n">
        <f aca="false">S78-T78</f>
        <v>0</v>
      </c>
      <c r="V78" s="21" t="n">
        <f aca="false">Y78-O78*R78/(1-R78)</f>
        <v>0</v>
      </c>
      <c r="W78" s="21" t="n">
        <f aca="false">Z78-P78*R78/(1-R78)</f>
        <v>0</v>
      </c>
      <c r="X78" s="21" t="n">
        <f aca="false">S78+V78+W78</f>
        <v>0</v>
      </c>
      <c r="Y78" s="20"/>
      <c r="Z78" s="20"/>
      <c r="AA78" s="19" t="n">
        <v>0</v>
      </c>
      <c r="AB78" s="20"/>
      <c r="AC78" s="20"/>
      <c r="AD78" s="24" t="n">
        <f aca="false">IFERROR(AA78/AC78,0)</f>
        <v>0</v>
      </c>
      <c r="AE78" s="25" t="n">
        <f aca="false">K78-Q78-X78</f>
        <v>0</v>
      </c>
      <c r="AF78" s="25" t="n">
        <f aca="false">Q78-AA78</f>
        <v>0</v>
      </c>
      <c r="AG78" s="20"/>
      <c r="AH78" s="26" t="n">
        <f aca="false">IFERROR(AG78/Q78,0)</f>
        <v>0</v>
      </c>
      <c r="AI78" s="27" t="n">
        <v>0</v>
      </c>
      <c r="AJ78" s="26" t="n">
        <f aca="false">IF(AI78&gt;0,AprCoef/SQRT(AI78),0)</f>
        <v>0</v>
      </c>
      <c r="AK78" s="24" t="n">
        <f aca="false">AI78*AJ78/365</f>
        <v>0</v>
      </c>
      <c r="AL78" s="24" t="n">
        <f aca="false">AD78</f>
        <v>0</v>
      </c>
      <c r="AM78" s="24" t="n">
        <f aca="false">AK78-AL78</f>
        <v>0</v>
      </c>
      <c r="AN78" s="28" t="str">
        <f aca="false">IF(A78&gt;=Hip3LaunchDate,"YES","")</f>
        <v/>
      </c>
      <c r="AO78" s="28" t="str">
        <f aca="false">IF(A78&lt;Hip4LaunchDate,"pre-launch","live (zero-fee)")</f>
        <v>pre-launch</v>
      </c>
      <c r="AP78" s="20"/>
      <c r="AQ78" s="20"/>
      <c r="AR78" s="20"/>
    </row>
    <row r="79" customFormat="false" ht="15" hidden="false" customHeight="false" outlineLevel="0" collapsed="false">
      <c r="A79" s="18" t="n">
        <v>45140</v>
      </c>
      <c r="B79" s="19" t="n">
        <v>69247816.5</v>
      </c>
      <c r="C79" s="19" t="n">
        <v>0</v>
      </c>
      <c r="D79" s="20"/>
      <c r="E79" s="21" t="n">
        <f aca="false">B79+C79</f>
        <v>69247816.5</v>
      </c>
      <c r="F79" s="21" t="n">
        <f aca="false">E79+D79</f>
        <v>69247816.5</v>
      </c>
      <c r="G79" s="22" t="n">
        <f aca="false">IFERROR(C79/E79,0)</f>
        <v>0</v>
      </c>
      <c r="H79" s="20"/>
      <c r="I79" s="20"/>
      <c r="J79" s="20"/>
      <c r="K79" s="21" t="n">
        <f aca="false">H79+I79</f>
        <v>0</v>
      </c>
      <c r="L79" s="20"/>
      <c r="M79" s="21" t="n">
        <f aca="false">H79-L79</f>
        <v>0</v>
      </c>
      <c r="N79" s="23" t="n">
        <f aca="false">IFERROR(M79/B79*10000,0)</f>
        <v>0</v>
      </c>
      <c r="O79" s="20"/>
      <c r="P79" s="20"/>
      <c r="Q79" s="21" t="n">
        <f aca="false">O79+P79</f>
        <v>0</v>
      </c>
      <c r="R79" s="22" t="n">
        <f aca="false">IF(A79&lt;HlpChangeDate,HlpSharePre,HlpSharePost)</f>
        <v>0.03</v>
      </c>
      <c r="S79" s="21" t="n">
        <f aca="false">Q79*R79/(1-R79)</f>
        <v>0</v>
      </c>
      <c r="T79" s="20"/>
      <c r="U79" s="21" t="n">
        <f aca="false">S79-T79</f>
        <v>0</v>
      </c>
      <c r="V79" s="21" t="n">
        <f aca="false">Y79-O79*R79/(1-R79)</f>
        <v>0</v>
      </c>
      <c r="W79" s="21" t="n">
        <f aca="false">Z79-P79*R79/(1-R79)</f>
        <v>0</v>
      </c>
      <c r="X79" s="21" t="n">
        <f aca="false">S79+V79+W79</f>
        <v>0</v>
      </c>
      <c r="Y79" s="20"/>
      <c r="Z79" s="20"/>
      <c r="AA79" s="19" t="n">
        <v>0</v>
      </c>
      <c r="AB79" s="20"/>
      <c r="AC79" s="20"/>
      <c r="AD79" s="24" t="n">
        <f aca="false">IFERROR(AA79/AC79,0)</f>
        <v>0</v>
      </c>
      <c r="AE79" s="25" t="n">
        <f aca="false">K79-Q79-X79</f>
        <v>0</v>
      </c>
      <c r="AF79" s="25" t="n">
        <f aca="false">Q79-AA79</f>
        <v>0</v>
      </c>
      <c r="AG79" s="20"/>
      <c r="AH79" s="26" t="n">
        <f aca="false">IFERROR(AG79/Q79,0)</f>
        <v>0</v>
      </c>
      <c r="AI79" s="27" t="n">
        <v>0</v>
      </c>
      <c r="AJ79" s="26" t="n">
        <f aca="false">IF(AI79&gt;0,AprCoef/SQRT(AI79),0)</f>
        <v>0</v>
      </c>
      <c r="AK79" s="24" t="n">
        <f aca="false">AI79*AJ79/365</f>
        <v>0</v>
      </c>
      <c r="AL79" s="24" t="n">
        <f aca="false">AD79</f>
        <v>0</v>
      </c>
      <c r="AM79" s="24" t="n">
        <f aca="false">AK79-AL79</f>
        <v>0</v>
      </c>
      <c r="AN79" s="28" t="str">
        <f aca="false">IF(A79&gt;=Hip3LaunchDate,"YES","")</f>
        <v/>
      </c>
      <c r="AO79" s="28" t="str">
        <f aca="false">IF(A79&lt;Hip4LaunchDate,"pre-launch","live (zero-fee)")</f>
        <v>pre-launch</v>
      </c>
      <c r="AP79" s="20"/>
      <c r="AQ79" s="20"/>
      <c r="AR79" s="20"/>
    </row>
    <row r="80" customFormat="false" ht="15" hidden="false" customHeight="false" outlineLevel="0" collapsed="false">
      <c r="A80" s="18" t="n">
        <v>45141</v>
      </c>
      <c r="B80" s="19" t="n">
        <v>92423674.7</v>
      </c>
      <c r="C80" s="19" t="n">
        <v>0</v>
      </c>
      <c r="D80" s="20"/>
      <c r="E80" s="21" t="n">
        <f aca="false">B80+C80</f>
        <v>92423674.7</v>
      </c>
      <c r="F80" s="21" t="n">
        <f aca="false">E80+D80</f>
        <v>92423674.7</v>
      </c>
      <c r="G80" s="22" t="n">
        <f aca="false">IFERROR(C80/E80,0)</f>
        <v>0</v>
      </c>
      <c r="H80" s="20"/>
      <c r="I80" s="20"/>
      <c r="J80" s="20"/>
      <c r="K80" s="21" t="n">
        <f aca="false">H80+I80</f>
        <v>0</v>
      </c>
      <c r="L80" s="20"/>
      <c r="M80" s="21" t="n">
        <f aca="false">H80-L80</f>
        <v>0</v>
      </c>
      <c r="N80" s="23" t="n">
        <f aca="false">IFERROR(M80/B80*10000,0)</f>
        <v>0</v>
      </c>
      <c r="O80" s="20"/>
      <c r="P80" s="20"/>
      <c r="Q80" s="21" t="n">
        <f aca="false">O80+P80</f>
        <v>0</v>
      </c>
      <c r="R80" s="22" t="n">
        <f aca="false">IF(A80&lt;HlpChangeDate,HlpSharePre,HlpSharePost)</f>
        <v>0.03</v>
      </c>
      <c r="S80" s="21" t="n">
        <f aca="false">Q80*R80/(1-R80)</f>
        <v>0</v>
      </c>
      <c r="T80" s="20"/>
      <c r="U80" s="21" t="n">
        <f aca="false">S80-T80</f>
        <v>0</v>
      </c>
      <c r="V80" s="21" t="n">
        <f aca="false">Y80-O80*R80/(1-R80)</f>
        <v>0</v>
      </c>
      <c r="W80" s="21" t="n">
        <f aca="false">Z80-P80*R80/(1-R80)</f>
        <v>0</v>
      </c>
      <c r="X80" s="21" t="n">
        <f aca="false">S80+V80+W80</f>
        <v>0</v>
      </c>
      <c r="Y80" s="20"/>
      <c r="Z80" s="20"/>
      <c r="AA80" s="19" t="n">
        <v>0</v>
      </c>
      <c r="AB80" s="20"/>
      <c r="AC80" s="20"/>
      <c r="AD80" s="24" t="n">
        <f aca="false">IFERROR(AA80/AC80,0)</f>
        <v>0</v>
      </c>
      <c r="AE80" s="25" t="n">
        <f aca="false">K80-Q80-X80</f>
        <v>0</v>
      </c>
      <c r="AF80" s="25" t="n">
        <f aca="false">Q80-AA80</f>
        <v>0</v>
      </c>
      <c r="AG80" s="20"/>
      <c r="AH80" s="26" t="n">
        <f aca="false">IFERROR(AG80/Q80,0)</f>
        <v>0</v>
      </c>
      <c r="AI80" s="27" t="n">
        <v>0</v>
      </c>
      <c r="AJ80" s="26" t="n">
        <f aca="false">IF(AI80&gt;0,AprCoef/SQRT(AI80),0)</f>
        <v>0</v>
      </c>
      <c r="AK80" s="24" t="n">
        <f aca="false">AI80*AJ80/365</f>
        <v>0</v>
      </c>
      <c r="AL80" s="24" t="n">
        <f aca="false">AD80</f>
        <v>0</v>
      </c>
      <c r="AM80" s="24" t="n">
        <f aca="false">AK80-AL80</f>
        <v>0</v>
      </c>
      <c r="AN80" s="28" t="str">
        <f aca="false">IF(A80&gt;=Hip3LaunchDate,"YES","")</f>
        <v/>
      </c>
      <c r="AO80" s="28" t="str">
        <f aca="false">IF(A80&lt;Hip4LaunchDate,"pre-launch","live (zero-fee)")</f>
        <v>pre-launch</v>
      </c>
      <c r="AP80" s="20"/>
      <c r="AQ80" s="20"/>
      <c r="AR80" s="20"/>
    </row>
    <row r="81" customFormat="false" ht="15" hidden="false" customHeight="false" outlineLevel="0" collapsed="false">
      <c r="A81" s="18" t="n">
        <v>45142</v>
      </c>
      <c r="B81" s="19" t="n">
        <v>60172149.05</v>
      </c>
      <c r="C81" s="19" t="n">
        <v>0</v>
      </c>
      <c r="D81" s="20"/>
      <c r="E81" s="21" t="n">
        <f aca="false">B81+C81</f>
        <v>60172149.05</v>
      </c>
      <c r="F81" s="21" t="n">
        <f aca="false">E81+D81</f>
        <v>60172149.05</v>
      </c>
      <c r="G81" s="22" t="n">
        <f aca="false">IFERROR(C81/E81,0)</f>
        <v>0</v>
      </c>
      <c r="H81" s="20"/>
      <c r="I81" s="20"/>
      <c r="J81" s="20"/>
      <c r="K81" s="21" t="n">
        <f aca="false">H81+I81</f>
        <v>0</v>
      </c>
      <c r="L81" s="20"/>
      <c r="M81" s="21" t="n">
        <f aca="false">H81-L81</f>
        <v>0</v>
      </c>
      <c r="N81" s="23" t="n">
        <f aca="false">IFERROR(M81/B81*10000,0)</f>
        <v>0</v>
      </c>
      <c r="O81" s="20"/>
      <c r="P81" s="20"/>
      <c r="Q81" s="21" t="n">
        <f aca="false">O81+P81</f>
        <v>0</v>
      </c>
      <c r="R81" s="22" t="n">
        <f aca="false">IF(A81&lt;HlpChangeDate,HlpSharePre,HlpSharePost)</f>
        <v>0.03</v>
      </c>
      <c r="S81" s="21" t="n">
        <f aca="false">Q81*R81/(1-R81)</f>
        <v>0</v>
      </c>
      <c r="T81" s="20"/>
      <c r="U81" s="21" t="n">
        <f aca="false">S81-T81</f>
        <v>0</v>
      </c>
      <c r="V81" s="21" t="n">
        <f aca="false">Y81-O81*R81/(1-R81)</f>
        <v>0</v>
      </c>
      <c r="W81" s="21" t="n">
        <f aca="false">Z81-P81*R81/(1-R81)</f>
        <v>0</v>
      </c>
      <c r="X81" s="21" t="n">
        <f aca="false">S81+V81+W81</f>
        <v>0</v>
      </c>
      <c r="Y81" s="20"/>
      <c r="Z81" s="20"/>
      <c r="AA81" s="19" t="n">
        <v>0</v>
      </c>
      <c r="AB81" s="20"/>
      <c r="AC81" s="20"/>
      <c r="AD81" s="24" t="n">
        <f aca="false">IFERROR(AA81/AC81,0)</f>
        <v>0</v>
      </c>
      <c r="AE81" s="25" t="n">
        <f aca="false">K81-Q81-X81</f>
        <v>0</v>
      </c>
      <c r="AF81" s="25" t="n">
        <f aca="false">Q81-AA81</f>
        <v>0</v>
      </c>
      <c r="AG81" s="20"/>
      <c r="AH81" s="26" t="n">
        <f aca="false">IFERROR(AG81/Q81,0)</f>
        <v>0</v>
      </c>
      <c r="AI81" s="27" t="n">
        <v>0</v>
      </c>
      <c r="AJ81" s="26" t="n">
        <f aca="false">IF(AI81&gt;0,AprCoef/SQRT(AI81),0)</f>
        <v>0</v>
      </c>
      <c r="AK81" s="24" t="n">
        <f aca="false">AI81*AJ81/365</f>
        <v>0</v>
      </c>
      <c r="AL81" s="24" t="n">
        <f aca="false">AD81</f>
        <v>0</v>
      </c>
      <c r="AM81" s="24" t="n">
        <f aca="false">AK81-AL81</f>
        <v>0</v>
      </c>
      <c r="AN81" s="28" t="str">
        <f aca="false">IF(A81&gt;=Hip3LaunchDate,"YES","")</f>
        <v/>
      </c>
      <c r="AO81" s="28" t="str">
        <f aca="false">IF(A81&lt;Hip4LaunchDate,"pre-launch","live (zero-fee)")</f>
        <v>pre-launch</v>
      </c>
      <c r="AP81" s="20"/>
      <c r="AQ81" s="20"/>
      <c r="AR81" s="20"/>
    </row>
    <row r="82" customFormat="false" ht="15" hidden="false" customHeight="false" outlineLevel="0" collapsed="false">
      <c r="A82" s="18" t="n">
        <v>45143</v>
      </c>
      <c r="B82" s="19" t="n">
        <v>37531968.22</v>
      </c>
      <c r="C82" s="19" t="n">
        <v>0</v>
      </c>
      <c r="D82" s="20"/>
      <c r="E82" s="21" t="n">
        <f aca="false">B82+C82</f>
        <v>37531968.22</v>
      </c>
      <c r="F82" s="21" t="n">
        <f aca="false">E82+D82</f>
        <v>37531968.22</v>
      </c>
      <c r="G82" s="22" t="n">
        <f aca="false">IFERROR(C82/E82,0)</f>
        <v>0</v>
      </c>
      <c r="H82" s="20"/>
      <c r="I82" s="20"/>
      <c r="J82" s="20"/>
      <c r="K82" s="21" t="n">
        <f aca="false">H82+I82</f>
        <v>0</v>
      </c>
      <c r="L82" s="20"/>
      <c r="M82" s="21" t="n">
        <f aca="false">H82-L82</f>
        <v>0</v>
      </c>
      <c r="N82" s="23" t="n">
        <f aca="false">IFERROR(M82/B82*10000,0)</f>
        <v>0</v>
      </c>
      <c r="O82" s="20"/>
      <c r="P82" s="20"/>
      <c r="Q82" s="21" t="n">
        <f aca="false">O82+P82</f>
        <v>0</v>
      </c>
      <c r="R82" s="22" t="n">
        <f aca="false">IF(A82&lt;HlpChangeDate,HlpSharePre,HlpSharePost)</f>
        <v>0.03</v>
      </c>
      <c r="S82" s="21" t="n">
        <f aca="false">Q82*R82/(1-R82)</f>
        <v>0</v>
      </c>
      <c r="T82" s="20"/>
      <c r="U82" s="21" t="n">
        <f aca="false">S82-T82</f>
        <v>0</v>
      </c>
      <c r="V82" s="21" t="n">
        <f aca="false">Y82-O82*R82/(1-R82)</f>
        <v>0</v>
      </c>
      <c r="W82" s="21" t="n">
        <f aca="false">Z82-P82*R82/(1-R82)</f>
        <v>0</v>
      </c>
      <c r="X82" s="21" t="n">
        <f aca="false">S82+V82+W82</f>
        <v>0</v>
      </c>
      <c r="Y82" s="20"/>
      <c r="Z82" s="20"/>
      <c r="AA82" s="19" t="n">
        <v>0</v>
      </c>
      <c r="AB82" s="20"/>
      <c r="AC82" s="20"/>
      <c r="AD82" s="24" t="n">
        <f aca="false">IFERROR(AA82/AC82,0)</f>
        <v>0</v>
      </c>
      <c r="AE82" s="25" t="n">
        <f aca="false">K82-Q82-X82</f>
        <v>0</v>
      </c>
      <c r="AF82" s="25" t="n">
        <f aca="false">Q82-AA82</f>
        <v>0</v>
      </c>
      <c r="AG82" s="20"/>
      <c r="AH82" s="26" t="n">
        <f aca="false">IFERROR(AG82/Q82,0)</f>
        <v>0</v>
      </c>
      <c r="AI82" s="27" t="n">
        <v>0</v>
      </c>
      <c r="AJ82" s="26" t="n">
        <f aca="false">IF(AI82&gt;0,AprCoef/SQRT(AI82),0)</f>
        <v>0</v>
      </c>
      <c r="AK82" s="24" t="n">
        <f aca="false">AI82*AJ82/365</f>
        <v>0</v>
      </c>
      <c r="AL82" s="24" t="n">
        <f aca="false">AD82</f>
        <v>0</v>
      </c>
      <c r="AM82" s="24" t="n">
        <f aca="false">AK82-AL82</f>
        <v>0</v>
      </c>
      <c r="AN82" s="28" t="str">
        <f aca="false">IF(A82&gt;=Hip3LaunchDate,"YES","")</f>
        <v/>
      </c>
      <c r="AO82" s="28" t="str">
        <f aca="false">IF(A82&lt;Hip4LaunchDate,"pre-launch","live (zero-fee)")</f>
        <v>pre-launch</v>
      </c>
      <c r="AP82" s="20"/>
      <c r="AQ82" s="20"/>
      <c r="AR82" s="20"/>
    </row>
    <row r="83" customFormat="false" ht="15" hidden="false" customHeight="false" outlineLevel="0" collapsed="false">
      <c r="A83" s="18" t="n">
        <v>45144</v>
      </c>
      <c r="B83" s="19" t="n">
        <v>38116020.81</v>
      </c>
      <c r="C83" s="19" t="n">
        <v>0</v>
      </c>
      <c r="D83" s="20"/>
      <c r="E83" s="21" t="n">
        <f aca="false">B83+C83</f>
        <v>38116020.81</v>
      </c>
      <c r="F83" s="21" t="n">
        <f aca="false">E83+D83</f>
        <v>38116020.81</v>
      </c>
      <c r="G83" s="22" t="n">
        <f aca="false">IFERROR(C83/E83,0)</f>
        <v>0</v>
      </c>
      <c r="H83" s="20"/>
      <c r="I83" s="20"/>
      <c r="J83" s="20"/>
      <c r="K83" s="21" t="n">
        <f aca="false">H83+I83</f>
        <v>0</v>
      </c>
      <c r="L83" s="20"/>
      <c r="M83" s="21" t="n">
        <f aca="false">H83-L83</f>
        <v>0</v>
      </c>
      <c r="N83" s="23" t="n">
        <f aca="false">IFERROR(M83/B83*10000,0)</f>
        <v>0</v>
      </c>
      <c r="O83" s="20"/>
      <c r="P83" s="20"/>
      <c r="Q83" s="21" t="n">
        <f aca="false">O83+P83</f>
        <v>0</v>
      </c>
      <c r="R83" s="22" t="n">
        <f aca="false">IF(A83&lt;HlpChangeDate,HlpSharePre,HlpSharePost)</f>
        <v>0.03</v>
      </c>
      <c r="S83" s="21" t="n">
        <f aca="false">Q83*R83/(1-R83)</f>
        <v>0</v>
      </c>
      <c r="T83" s="20"/>
      <c r="U83" s="21" t="n">
        <f aca="false">S83-T83</f>
        <v>0</v>
      </c>
      <c r="V83" s="21" t="n">
        <f aca="false">Y83-O83*R83/(1-R83)</f>
        <v>0</v>
      </c>
      <c r="W83" s="21" t="n">
        <f aca="false">Z83-P83*R83/(1-R83)</f>
        <v>0</v>
      </c>
      <c r="X83" s="21" t="n">
        <f aca="false">S83+V83+W83</f>
        <v>0</v>
      </c>
      <c r="Y83" s="20"/>
      <c r="Z83" s="20"/>
      <c r="AA83" s="19" t="n">
        <v>0</v>
      </c>
      <c r="AB83" s="20"/>
      <c r="AC83" s="20"/>
      <c r="AD83" s="24" t="n">
        <f aca="false">IFERROR(AA83/AC83,0)</f>
        <v>0</v>
      </c>
      <c r="AE83" s="25" t="n">
        <f aca="false">K83-Q83-X83</f>
        <v>0</v>
      </c>
      <c r="AF83" s="25" t="n">
        <f aca="false">Q83-AA83</f>
        <v>0</v>
      </c>
      <c r="AG83" s="20"/>
      <c r="AH83" s="26" t="n">
        <f aca="false">IFERROR(AG83/Q83,0)</f>
        <v>0</v>
      </c>
      <c r="AI83" s="27" t="n">
        <v>0</v>
      </c>
      <c r="AJ83" s="26" t="n">
        <f aca="false">IF(AI83&gt;0,AprCoef/SQRT(AI83),0)</f>
        <v>0</v>
      </c>
      <c r="AK83" s="24" t="n">
        <f aca="false">AI83*AJ83/365</f>
        <v>0</v>
      </c>
      <c r="AL83" s="24" t="n">
        <f aca="false">AD83</f>
        <v>0</v>
      </c>
      <c r="AM83" s="24" t="n">
        <f aca="false">AK83-AL83</f>
        <v>0</v>
      </c>
      <c r="AN83" s="28" t="str">
        <f aca="false">IF(A83&gt;=Hip3LaunchDate,"YES","")</f>
        <v/>
      </c>
      <c r="AO83" s="28" t="str">
        <f aca="false">IF(A83&lt;Hip4LaunchDate,"pre-launch","live (zero-fee)")</f>
        <v>pre-launch</v>
      </c>
      <c r="AP83" s="20"/>
      <c r="AQ83" s="20"/>
      <c r="AR83" s="20"/>
    </row>
    <row r="84" customFormat="false" ht="15" hidden="false" customHeight="false" outlineLevel="0" collapsed="false">
      <c r="A84" s="18" t="n">
        <v>45145</v>
      </c>
      <c r="B84" s="19" t="n">
        <v>64554006.57</v>
      </c>
      <c r="C84" s="19" t="n">
        <v>0</v>
      </c>
      <c r="D84" s="20"/>
      <c r="E84" s="21" t="n">
        <f aca="false">B84+C84</f>
        <v>64554006.57</v>
      </c>
      <c r="F84" s="21" t="n">
        <f aca="false">E84+D84</f>
        <v>64554006.57</v>
      </c>
      <c r="G84" s="22" t="n">
        <f aca="false">IFERROR(C84/E84,0)</f>
        <v>0</v>
      </c>
      <c r="H84" s="20"/>
      <c r="I84" s="20"/>
      <c r="J84" s="20"/>
      <c r="K84" s="21" t="n">
        <f aca="false">H84+I84</f>
        <v>0</v>
      </c>
      <c r="L84" s="20"/>
      <c r="M84" s="21" t="n">
        <f aca="false">H84-L84</f>
        <v>0</v>
      </c>
      <c r="N84" s="23" t="n">
        <f aca="false">IFERROR(M84/B84*10000,0)</f>
        <v>0</v>
      </c>
      <c r="O84" s="20"/>
      <c r="P84" s="20"/>
      <c r="Q84" s="21" t="n">
        <f aca="false">O84+P84</f>
        <v>0</v>
      </c>
      <c r="R84" s="22" t="n">
        <f aca="false">IF(A84&lt;HlpChangeDate,HlpSharePre,HlpSharePost)</f>
        <v>0.03</v>
      </c>
      <c r="S84" s="21" t="n">
        <f aca="false">Q84*R84/(1-R84)</f>
        <v>0</v>
      </c>
      <c r="T84" s="20"/>
      <c r="U84" s="21" t="n">
        <f aca="false">S84-T84</f>
        <v>0</v>
      </c>
      <c r="V84" s="21" t="n">
        <f aca="false">Y84-O84*R84/(1-R84)</f>
        <v>0</v>
      </c>
      <c r="W84" s="21" t="n">
        <f aca="false">Z84-P84*R84/(1-R84)</f>
        <v>0</v>
      </c>
      <c r="X84" s="21" t="n">
        <f aca="false">S84+V84+W84</f>
        <v>0</v>
      </c>
      <c r="Y84" s="20"/>
      <c r="Z84" s="20"/>
      <c r="AA84" s="19" t="n">
        <v>0</v>
      </c>
      <c r="AB84" s="20"/>
      <c r="AC84" s="20"/>
      <c r="AD84" s="24" t="n">
        <f aca="false">IFERROR(AA84/AC84,0)</f>
        <v>0</v>
      </c>
      <c r="AE84" s="25" t="n">
        <f aca="false">K84-Q84-X84</f>
        <v>0</v>
      </c>
      <c r="AF84" s="25" t="n">
        <f aca="false">Q84-AA84</f>
        <v>0</v>
      </c>
      <c r="AG84" s="20"/>
      <c r="AH84" s="26" t="n">
        <f aca="false">IFERROR(AG84/Q84,0)</f>
        <v>0</v>
      </c>
      <c r="AI84" s="27" t="n">
        <v>0</v>
      </c>
      <c r="AJ84" s="26" t="n">
        <f aca="false">IF(AI84&gt;0,AprCoef/SQRT(AI84),0)</f>
        <v>0</v>
      </c>
      <c r="AK84" s="24" t="n">
        <f aca="false">AI84*AJ84/365</f>
        <v>0</v>
      </c>
      <c r="AL84" s="24" t="n">
        <f aca="false">AD84</f>
        <v>0</v>
      </c>
      <c r="AM84" s="24" t="n">
        <f aca="false">AK84-AL84</f>
        <v>0</v>
      </c>
      <c r="AN84" s="28" t="str">
        <f aca="false">IF(A84&gt;=Hip3LaunchDate,"YES","")</f>
        <v/>
      </c>
      <c r="AO84" s="28" t="str">
        <f aca="false">IF(A84&lt;Hip4LaunchDate,"pre-launch","live (zero-fee)")</f>
        <v>pre-launch</v>
      </c>
      <c r="AP84" s="20"/>
      <c r="AQ84" s="20"/>
      <c r="AR84" s="20"/>
    </row>
    <row r="85" customFormat="false" ht="15" hidden="false" customHeight="false" outlineLevel="0" collapsed="false">
      <c r="A85" s="18" t="n">
        <v>45146</v>
      </c>
      <c r="B85" s="19" t="n">
        <v>56200711.92</v>
      </c>
      <c r="C85" s="19" t="n">
        <v>0</v>
      </c>
      <c r="D85" s="20"/>
      <c r="E85" s="21" t="n">
        <f aca="false">B85+C85</f>
        <v>56200711.92</v>
      </c>
      <c r="F85" s="21" t="n">
        <f aca="false">E85+D85</f>
        <v>56200711.92</v>
      </c>
      <c r="G85" s="22" t="n">
        <f aca="false">IFERROR(C85/E85,0)</f>
        <v>0</v>
      </c>
      <c r="H85" s="20"/>
      <c r="I85" s="20"/>
      <c r="J85" s="20"/>
      <c r="K85" s="21" t="n">
        <f aca="false">H85+I85</f>
        <v>0</v>
      </c>
      <c r="L85" s="20"/>
      <c r="M85" s="21" t="n">
        <f aca="false">H85-L85</f>
        <v>0</v>
      </c>
      <c r="N85" s="23" t="n">
        <f aca="false">IFERROR(M85/B85*10000,0)</f>
        <v>0</v>
      </c>
      <c r="O85" s="20"/>
      <c r="P85" s="20"/>
      <c r="Q85" s="21" t="n">
        <f aca="false">O85+P85</f>
        <v>0</v>
      </c>
      <c r="R85" s="22" t="n">
        <f aca="false">IF(A85&lt;HlpChangeDate,HlpSharePre,HlpSharePost)</f>
        <v>0.03</v>
      </c>
      <c r="S85" s="21" t="n">
        <f aca="false">Q85*R85/(1-R85)</f>
        <v>0</v>
      </c>
      <c r="T85" s="20"/>
      <c r="U85" s="21" t="n">
        <f aca="false">S85-T85</f>
        <v>0</v>
      </c>
      <c r="V85" s="21" t="n">
        <f aca="false">Y85-O85*R85/(1-R85)</f>
        <v>0</v>
      </c>
      <c r="W85" s="21" t="n">
        <f aca="false">Z85-P85*R85/(1-R85)</f>
        <v>0</v>
      </c>
      <c r="X85" s="21" t="n">
        <f aca="false">S85+V85+W85</f>
        <v>0</v>
      </c>
      <c r="Y85" s="20"/>
      <c r="Z85" s="20"/>
      <c r="AA85" s="19" t="n">
        <v>0</v>
      </c>
      <c r="AB85" s="20"/>
      <c r="AC85" s="20"/>
      <c r="AD85" s="24" t="n">
        <f aca="false">IFERROR(AA85/AC85,0)</f>
        <v>0</v>
      </c>
      <c r="AE85" s="25" t="n">
        <f aca="false">K85-Q85-X85</f>
        <v>0</v>
      </c>
      <c r="AF85" s="25" t="n">
        <f aca="false">Q85-AA85</f>
        <v>0</v>
      </c>
      <c r="AG85" s="20"/>
      <c r="AH85" s="26" t="n">
        <f aca="false">IFERROR(AG85/Q85,0)</f>
        <v>0</v>
      </c>
      <c r="AI85" s="27" t="n">
        <v>0</v>
      </c>
      <c r="AJ85" s="26" t="n">
        <f aca="false">IF(AI85&gt;0,AprCoef/SQRT(AI85),0)</f>
        <v>0</v>
      </c>
      <c r="AK85" s="24" t="n">
        <f aca="false">AI85*AJ85/365</f>
        <v>0</v>
      </c>
      <c r="AL85" s="24" t="n">
        <f aca="false">AD85</f>
        <v>0</v>
      </c>
      <c r="AM85" s="24" t="n">
        <f aca="false">AK85-AL85</f>
        <v>0</v>
      </c>
      <c r="AN85" s="28" t="str">
        <f aca="false">IF(A85&gt;=Hip3LaunchDate,"YES","")</f>
        <v/>
      </c>
      <c r="AO85" s="28" t="str">
        <f aca="false">IF(A85&lt;Hip4LaunchDate,"pre-launch","live (zero-fee)")</f>
        <v>pre-launch</v>
      </c>
      <c r="AP85" s="20"/>
      <c r="AQ85" s="20"/>
      <c r="AR85" s="20"/>
    </row>
    <row r="86" customFormat="false" ht="15" hidden="false" customHeight="false" outlineLevel="0" collapsed="false">
      <c r="A86" s="18" t="n">
        <v>45147</v>
      </c>
      <c r="B86" s="19" t="n">
        <v>46968072.57</v>
      </c>
      <c r="C86" s="19" t="n">
        <v>0</v>
      </c>
      <c r="D86" s="20"/>
      <c r="E86" s="21" t="n">
        <f aca="false">B86+C86</f>
        <v>46968072.57</v>
      </c>
      <c r="F86" s="21" t="n">
        <f aca="false">E86+D86</f>
        <v>46968072.57</v>
      </c>
      <c r="G86" s="22" t="n">
        <f aca="false">IFERROR(C86/E86,0)</f>
        <v>0</v>
      </c>
      <c r="H86" s="20"/>
      <c r="I86" s="20"/>
      <c r="J86" s="20"/>
      <c r="K86" s="21" t="n">
        <f aca="false">H86+I86</f>
        <v>0</v>
      </c>
      <c r="L86" s="20"/>
      <c r="M86" s="21" t="n">
        <f aca="false">H86-L86</f>
        <v>0</v>
      </c>
      <c r="N86" s="23" t="n">
        <f aca="false">IFERROR(M86/B86*10000,0)</f>
        <v>0</v>
      </c>
      <c r="O86" s="20"/>
      <c r="P86" s="20"/>
      <c r="Q86" s="21" t="n">
        <f aca="false">O86+P86</f>
        <v>0</v>
      </c>
      <c r="R86" s="22" t="n">
        <f aca="false">IF(A86&lt;HlpChangeDate,HlpSharePre,HlpSharePost)</f>
        <v>0.03</v>
      </c>
      <c r="S86" s="21" t="n">
        <f aca="false">Q86*R86/(1-R86)</f>
        <v>0</v>
      </c>
      <c r="T86" s="20"/>
      <c r="U86" s="21" t="n">
        <f aca="false">S86-T86</f>
        <v>0</v>
      </c>
      <c r="V86" s="21" t="n">
        <f aca="false">Y86-O86*R86/(1-R86)</f>
        <v>0</v>
      </c>
      <c r="W86" s="21" t="n">
        <f aca="false">Z86-P86*R86/(1-R86)</f>
        <v>0</v>
      </c>
      <c r="X86" s="21" t="n">
        <f aca="false">S86+V86+W86</f>
        <v>0</v>
      </c>
      <c r="Y86" s="20"/>
      <c r="Z86" s="20"/>
      <c r="AA86" s="19" t="n">
        <v>0</v>
      </c>
      <c r="AB86" s="20"/>
      <c r="AC86" s="20"/>
      <c r="AD86" s="24" t="n">
        <f aca="false">IFERROR(AA86/AC86,0)</f>
        <v>0</v>
      </c>
      <c r="AE86" s="25" t="n">
        <f aca="false">K86-Q86-X86</f>
        <v>0</v>
      </c>
      <c r="AF86" s="25" t="n">
        <f aca="false">Q86-AA86</f>
        <v>0</v>
      </c>
      <c r="AG86" s="20"/>
      <c r="AH86" s="26" t="n">
        <f aca="false">IFERROR(AG86/Q86,0)</f>
        <v>0</v>
      </c>
      <c r="AI86" s="27" t="n">
        <v>0</v>
      </c>
      <c r="AJ86" s="26" t="n">
        <f aca="false">IF(AI86&gt;0,AprCoef/SQRT(AI86),0)</f>
        <v>0</v>
      </c>
      <c r="AK86" s="24" t="n">
        <f aca="false">AI86*AJ86/365</f>
        <v>0</v>
      </c>
      <c r="AL86" s="24" t="n">
        <f aca="false">AD86</f>
        <v>0</v>
      </c>
      <c r="AM86" s="24" t="n">
        <f aca="false">AK86-AL86</f>
        <v>0</v>
      </c>
      <c r="AN86" s="28" t="str">
        <f aca="false">IF(A86&gt;=Hip3LaunchDate,"YES","")</f>
        <v/>
      </c>
      <c r="AO86" s="28" t="str">
        <f aca="false">IF(A86&lt;Hip4LaunchDate,"pre-launch","live (zero-fee)")</f>
        <v>pre-launch</v>
      </c>
      <c r="AP86" s="20"/>
      <c r="AQ86" s="20"/>
      <c r="AR86" s="20"/>
    </row>
    <row r="87" customFormat="false" ht="15" hidden="false" customHeight="false" outlineLevel="0" collapsed="false">
      <c r="A87" s="18" t="n">
        <v>45148</v>
      </c>
      <c r="B87" s="19" t="n">
        <v>39915194.28</v>
      </c>
      <c r="C87" s="19" t="n">
        <v>0</v>
      </c>
      <c r="D87" s="20"/>
      <c r="E87" s="21" t="n">
        <f aca="false">B87+C87</f>
        <v>39915194.28</v>
      </c>
      <c r="F87" s="21" t="n">
        <f aca="false">E87+D87</f>
        <v>39915194.28</v>
      </c>
      <c r="G87" s="22" t="n">
        <f aca="false">IFERROR(C87/E87,0)</f>
        <v>0</v>
      </c>
      <c r="H87" s="20"/>
      <c r="I87" s="20"/>
      <c r="J87" s="20"/>
      <c r="K87" s="21" t="n">
        <f aca="false">H87+I87</f>
        <v>0</v>
      </c>
      <c r="L87" s="20"/>
      <c r="M87" s="21" t="n">
        <f aca="false">H87-L87</f>
        <v>0</v>
      </c>
      <c r="N87" s="23" t="n">
        <f aca="false">IFERROR(M87/B87*10000,0)</f>
        <v>0</v>
      </c>
      <c r="O87" s="20"/>
      <c r="P87" s="20"/>
      <c r="Q87" s="21" t="n">
        <f aca="false">O87+P87</f>
        <v>0</v>
      </c>
      <c r="R87" s="22" t="n">
        <f aca="false">IF(A87&lt;HlpChangeDate,HlpSharePre,HlpSharePost)</f>
        <v>0.03</v>
      </c>
      <c r="S87" s="21" t="n">
        <f aca="false">Q87*R87/(1-R87)</f>
        <v>0</v>
      </c>
      <c r="T87" s="20"/>
      <c r="U87" s="21" t="n">
        <f aca="false">S87-T87</f>
        <v>0</v>
      </c>
      <c r="V87" s="21" t="n">
        <f aca="false">Y87-O87*R87/(1-R87)</f>
        <v>0</v>
      </c>
      <c r="W87" s="21" t="n">
        <f aca="false">Z87-P87*R87/(1-R87)</f>
        <v>0</v>
      </c>
      <c r="X87" s="21" t="n">
        <f aca="false">S87+V87+W87</f>
        <v>0</v>
      </c>
      <c r="Y87" s="20"/>
      <c r="Z87" s="20"/>
      <c r="AA87" s="19" t="n">
        <v>0</v>
      </c>
      <c r="AB87" s="20"/>
      <c r="AC87" s="20"/>
      <c r="AD87" s="24" t="n">
        <f aca="false">IFERROR(AA87/AC87,0)</f>
        <v>0</v>
      </c>
      <c r="AE87" s="25" t="n">
        <f aca="false">K87-Q87-X87</f>
        <v>0</v>
      </c>
      <c r="AF87" s="25" t="n">
        <f aca="false">Q87-AA87</f>
        <v>0</v>
      </c>
      <c r="AG87" s="20"/>
      <c r="AH87" s="26" t="n">
        <f aca="false">IFERROR(AG87/Q87,0)</f>
        <v>0</v>
      </c>
      <c r="AI87" s="27" t="n">
        <v>0</v>
      </c>
      <c r="AJ87" s="26" t="n">
        <f aca="false">IF(AI87&gt;0,AprCoef/SQRT(AI87),0)</f>
        <v>0</v>
      </c>
      <c r="AK87" s="24" t="n">
        <f aca="false">AI87*AJ87/365</f>
        <v>0</v>
      </c>
      <c r="AL87" s="24" t="n">
        <f aca="false">AD87</f>
        <v>0</v>
      </c>
      <c r="AM87" s="24" t="n">
        <f aca="false">AK87-AL87</f>
        <v>0</v>
      </c>
      <c r="AN87" s="28" t="str">
        <f aca="false">IF(A87&gt;=Hip3LaunchDate,"YES","")</f>
        <v/>
      </c>
      <c r="AO87" s="28" t="str">
        <f aca="false">IF(A87&lt;Hip4LaunchDate,"pre-launch","live (zero-fee)")</f>
        <v>pre-launch</v>
      </c>
      <c r="AP87" s="20"/>
      <c r="AQ87" s="20"/>
      <c r="AR87" s="20"/>
    </row>
    <row r="88" customFormat="false" ht="15" hidden="false" customHeight="false" outlineLevel="0" collapsed="false">
      <c r="A88" s="18" t="n">
        <v>45149</v>
      </c>
      <c r="B88" s="19" t="n">
        <v>28511042.63</v>
      </c>
      <c r="C88" s="19" t="n">
        <v>0</v>
      </c>
      <c r="D88" s="20"/>
      <c r="E88" s="21" t="n">
        <f aca="false">B88+C88</f>
        <v>28511042.63</v>
      </c>
      <c r="F88" s="21" t="n">
        <f aca="false">E88+D88</f>
        <v>28511042.63</v>
      </c>
      <c r="G88" s="22" t="n">
        <f aca="false">IFERROR(C88/E88,0)</f>
        <v>0</v>
      </c>
      <c r="H88" s="20"/>
      <c r="I88" s="20"/>
      <c r="J88" s="20"/>
      <c r="K88" s="21" t="n">
        <f aca="false">H88+I88</f>
        <v>0</v>
      </c>
      <c r="L88" s="20"/>
      <c r="M88" s="21" t="n">
        <f aca="false">H88-L88</f>
        <v>0</v>
      </c>
      <c r="N88" s="23" t="n">
        <f aca="false">IFERROR(M88/B88*10000,0)</f>
        <v>0</v>
      </c>
      <c r="O88" s="20"/>
      <c r="P88" s="20"/>
      <c r="Q88" s="21" t="n">
        <f aca="false">O88+P88</f>
        <v>0</v>
      </c>
      <c r="R88" s="22" t="n">
        <f aca="false">IF(A88&lt;HlpChangeDate,HlpSharePre,HlpSharePost)</f>
        <v>0.03</v>
      </c>
      <c r="S88" s="21" t="n">
        <f aca="false">Q88*R88/(1-R88)</f>
        <v>0</v>
      </c>
      <c r="T88" s="20"/>
      <c r="U88" s="21" t="n">
        <f aca="false">S88-T88</f>
        <v>0</v>
      </c>
      <c r="V88" s="21" t="n">
        <f aca="false">Y88-O88*R88/(1-R88)</f>
        <v>0</v>
      </c>
      <c r="W88" s="21" t="n">
        <f aca="false">Z88-P88*R88/(1-R88)</f>
        <v>0</v>
      </c>
      <c r="X88" s="21" t="n">
        <f aca="false">S88+V88+W88</f>
        <v>0</v>
      </c>
      <c r="Y88" s="20"/>
      <c r="Z88" s="20"/>
      <c r="AA88" s="19" t="n">
        <v>0</v>
      </c>
      <c r="AB88" s="20"/>
      <c r="AC88" s="20"/>
      <c r="AD88" s="24" t="n">
        <f aca="false">IFERROR(AA88/AC88,0)</f>
        <v>0</v>
      </c>
      <c r="AE88" s="25" t="n">
        <f aca="false">K88-Q88-X88</f>
        <v>0</v>
      </c>
      <c r="AF88" s="25" t="n">
        <f aca="false">Q88-AA88</f>
        <v>0</v>
      </c>
      <c r="AG88" s="20"/>
      <c r="AH88" s="26" t="n">
        <f aca="false">IFERROR(AG88/Q88,0)</f>
        <v>0</v>
      </c>
      <c r="AI88" s="27" t="n">
        <v>0</v>
      </c>
      <c r="AJ88" s="26" t="n">
        <f aca="false">IF(AI88&gt;0,AprCoef/SQRT(AI88),0)</f>
        <v>0</v>
      </c>
      <c r="AK88" s="24" t="n">
        <f aca="false">AI88*AJ88/365</f>
        <v>0</v>
      </c>
      <c r="AL88" s="24" t="n">
        <f aca="false">AD88</f>
        <v>0</v>
      </c>
      <c r="AM88" s="24" t="n">
        <f aca="false">AK88-AL88</f>
        <v>0</v>
      </c>
      <c r="AN88" s="28" t="str">
        <f aca="false">IF(A88&gt;=Hip3LaunchDate,"YES","")</f>
        <v/>
      </c>
      <c r="AO88" s="28" t="str">
        <f aca="false">IF(A88&lt;Hip4LaunchDate,"pre-launch","live (zero-fee)")</f>
        <v>pre-launch</v>
      </c>
      <c r="AP88" s="20"/>
      <c r="AQ88" s="20"/>
      <c r="AR88" s="20"/>
    </row>
    <row r="89" customFormat="false" ht="15" hidden="false" customHeight="false" outlineLevel="0" collapsed="false">
      <c r="A89" s="18" t="n">
        <v>45150</v>
      </c>
      <c r="B89" s="19" t="n">
        <v>32194687.88</v>
      </c>
      <c r="C89" s="19" t="n">
        <v>0</v>
      </c>
      <c r="D89" s="20"/>
      <c r="E89" s="21" t="n">
        <f aca="false">B89+C89</f>
        <v>32194687.88</v>
      </c>
      <c r="F89" s="21" t="n">
        <f aca="false">E89+D89</f>
        <v>32194687.88</v>
      </c>
      <c r="G89" s="22" t="n">
        <f aca="false">IFERROR(C89/E89,0)</f>
        <v>0</v>
      </c>
      <c r="H89" s="20"/>
      <c r="I89" s="20"/>
      <c r="J89" s="20"/>
      <c r="K89" s="21" t="n">
        <f aca="false">H89+I89</f>
        <v>0</v>
      </c>
      <c r="L89" s="20"/>
      <c r="M89" s="21" t="n">
        <f aca="false">H89-L89</f>
        <v>0</v>
      </c>
      <c r="N89" s="23" t="n">
        <f aca="false">IFERROR(M89/B89*10000,0)</f>
        <v>0</v>
      </c>
      <c r="O89" s="20"/>
      <c r="P89" s="20"/>
      <c r="Q89" s="21" t="n">
        <f aca="false">O89+P89</f>
        <v>0</v>
      </c>
      <c r="R89" s="22" t="n">
        <f aca="false">IF(A89&lt;HlpChangeDate,HlpSharePre,HlpSharePost)</f>
        <v>0.03</v>
      </c>
      <c r="S89" s="21" t="n">
        <f aca="false">Q89*R89/(1-R89)</f>
        <v>0</v>
      </c>
      <c r="T89" s="20"/>
      <c r="U89" s="21" t="n">
        <f aca="false">S89-T89</f>
        <v>0</v>
      </c>
      <c r="V89" s="21" t="n">
        <f aca="false">Y89-O89*R89/(1-R89)</f>
        <v>0</v>
      </c>
      <c r="W89" s="21" t="n">
        <f aca="false">Z89-P89*R89/(1-R89)</f>
        <v>0</v>
      </c>
      <c r="X89" s="21" t="n">
        <f aca="false">S89+V89+W89</f>
        <v>0</v>
      </c>
      <c r="Y89" s="20"/>
      <c r="Z89" s="20"/>
      <c r="AA89" s="19" t="n">
        <v>0</v>
      </c>
      <c r="AB89" s="20"/>
      <c r="AC89" s="20"/>
      <c r="AD89" s="24" t="n">
        <f aca="false">IFERROR(AA89/AC89,0)</f>
        <v>0</v>
      </c>
      <c r="AE89" s="25" t="n">
        <f aca="false">K89-Q89-X89</f>
        <v>0</v>
      </c>
      <c r="AF89" s="25" t="n">
        <f aca="false">Q89-AA89</f>
        <v>0</v>
      </c>
      <c r="AG89" s="20"/>
      <c r="AH89" s="26" t="n">
        <f aca="false">IFERROR(AG89/Q89,0)</f>
        <v>0</v>
      </c>
      <c r="AI89" s="27" t="n">
        <v>0</v>
      </c>
      <c r="AJ89" s="26" t="n">
        <f aca="false">IF(AI89&gt;0,AprCoef/SQRT(AI89),0)</f>
        <v>0</v>
      </c>
      <c r="AK89" s="24" t="n">
        <f aca="false">AI89*AJ89/365</f>
        <v>0</v>
      </c>
      <c r="AL89" s="24" t="n">
        <f aca="false">AD89</f>
        <v>0</v>
      </c>
      <c r="AM89" s="24" t="n">
        <f aca="false">AK89-AL89</f>
        <v>0</v>
      </c>
      <c r="AN89" s="28" t="str">
        <f aca="false">IF(A89&gt;=Hip3LaunchDate,"YES","")</f>
        <v/>
      </c>
      <c r="AO89" s="28" t="str">
        <f aca="false">IF(A89&lt;Hip4LaunchDate,"pre-launch","live (zero-fee)")</f>
        <v>pre-launch</v>
      </c>
      <c r="AP89" s="20"/>
      <c r="AQ89" s="20"/>
      <c r="AR89" s="20"/>
    </row>
    <row r="90" customFormat="false" ht="15" hidden="false" customHeight="false" outlineLevel="0" collapsed="false">
      <c r="A90" s="18" t="n">
        <v>45151</v>
      </c>
      <c r="B90" s="19" t="n">
        <v>29034576.42</v>
      </c>
      <c r="C90" s="19" t="n">
        <v>0</v>
      </c>
      <c r="D90" s="20"/>
      <c r="E90" s="21" t="n">
        <f aca="false">B90+C90</f>
        <v>29034576.42</v>
      </c>
      <c r="F90" s="21" t="n">
        <f aca="false">E90+D90</f>
        <v>29034576.42</v>
      </c>
      <c r="G90" s="22" t="n">
        <f aca="false">IFERROR(C90/E90,0)</f>
        <v>0</v>
      </c>
      <c r="H90" s="20"/>
      <c r="I90" s="20"/>
      <c r="J90" s="20"/>
      <c r="K90" s="21" t="n">
        <f aca="false">H90+I90</f>
        <v>0</v>
      </c>
      <c r="L90" s="20"/>
      <c r="M90" s="21" t="n">
        <f aca="false">H90-L90</f>
        <v>0</v>
      </c>
      <c r="N90" s="23" t="n">
        <f aca="false">IFERROR(M90/B90*10000,0)</f>
        <v>0</v>
      </c>
      <c r="O90" s="20"/>
      <c r="P90" s="20"/>
      <c r="Q90" s="21" t="n">
        <f aca="false">O90+P90</f>
        <v>0</v>
      </c>
      <c r="R90" s="22" t="n">
        <f aca="false">IF(A90&lt;HlpChangeDate,HlpSharePre,HlpSharePost)</f>
        <v>0.03</v>
      </c>
      <c r="S90" s="21" t="n">
        <f aca="false">Q90*R90/(1-R90)</f>
        <v>0</v>
      </c>
      <c r="T90" s="20"/>
      <c r="U90" s="21" t="n">
        <f aca="false">S90-T90</f>
        <v>0</v>
      </c>
      <c r="V90" s="21" t="n">
        <f aca="false">Y90-O90*R90/(1-R90)</f>
        <v>0</v>
      </c>
      <c r="W90" s="21" t="n">
        <f aca="false">Z90-P90*R90/(1-R90)</f>
        <v>0</v>
      </c>
      <c r="X90" s="21" t="n">
        <f aca="false">S90+V90+W90</f>
        <v>0</v>
      </c>
      <c r="Y90" s="20"/>
      <c r="Z90" s="20"/>
      <c r="AA90" s="19" t="n">
        <v>0</v>
      </c>
      <c r="AB90" s="20"/>
      <c r="AC90" s="20"/>
      <c r="AD90" s="24" t="n">
        <f aca="false">IFERROR(AA90/AC90,0)</f>
        <v>0</v>
      </c>
      <c r="AE90" s="25" t="n">
        <f aca="false">K90-Q90-X90</f>
        <v>0</v>
      </c>
      <c r="AF90" s="25" t="n">
        <f aca="false">Q90-AA90</f>
        <v>0</v>
      </c>
      <c r="AG90" s="20"/>
      <c r="AH90" s="26" t="n">
        <f aca="false">IFERROR(AG90/Q90,0)</f>
        <v>0</v>
      </c>
      <c r="AI90" s="27" t="n">
        <v>0</v>
      </c>
      <c r="AJ90" s="26" t="n">
        <f aca="false">IF(AI90&gt;0,AprCoef/SQRT(AI90),0)</f>
        <v>0</v>
      </c>
      <c r="AK90" s="24" t="n">
        <f aca="false">AI90*AJ90/365</f>
        <v>0</v>
      </c>
      <c r="AL90" s="24" t="n">
        <f aca="false">AD90</f>
        <v>0</v>
      </c>
      <c r="AM90" s="24" t="n">
        <f aca="false">AK90-AL90</f>
        <v>0</v>
      </c>
      <c r="AN90" s="28" t="str">
        <f aca="false">IF(A90&gt;=Hip3LaunchDate,"YES","")</f>
        <v/>
      </c>
      <c r="AO90" s="28" t="str">
        <f aca="false">IF(A90&lt;Hip4LaunchDate,"pre-launch","live (zero-fee)")</f>
        <v>pre-launch</v>
      </c>
      <c r="AP90" s="20"/>
      <c r="AQ90" s="20"/>
      <c r="AR90" s="20"/>
    </row>
    <row r="91" customFormat="false" ht="15" hidden="false" customHeight="false" outlineLevel="0" collapsed="false">
      <c r="A91" s="18" t="n">
        <v>45152</v>
      </c>
      <c r="B91" s="19" t="n">
        <v>39468106.89</v>
      </c>
      <c r="C91" s="19" t="n">
        <v>0</v>
      </c>
      <c r="D91" s="20"/>
      <c r="E91" s="21" t="n">
        <f aca="false">B91+C91</f>
        <v>39468106.89</v>
      </c>
      <c r="F91" s="21" t="n">
        <f aca="false">E91+D91</f>
        <v>39468106.89</v>
      </c>
      <c r="G91" s="22" t="n">
        <f aca="false">IFERROR(C91/E91,0)</f>
        <v>0</v>
      </c>
      <c r="H91" s="20"/>
      <c r="I91" s="20"/>
      <c r="J91" s="20"/>
      <c r="K91" s="21" t="n">
        <f aca="false">H91+I91</f>
        <v>0</v>
      </c>
      <c r="L91" s="20"/>
      <c r="M91" s="21" t="n">
        <f aca="false">H91-L91</f>
        <v>0</v>
      </c>
      <c r="N91" s="23" t="n">
        <f aca="false">IFERROR(M91/B91*10000,0)</f>
        <v>0</v>
      </c>
      <c r="O91" s="20"/>
      <c r="P91" s="20"/>
      <c r="Q91" s="21" t="n">
        <f aca="false">O91+P91</f>
        <v>0</v>
      </c>
      <c r="R91" s="22" t="n">
        <f aca="false">IF(A91&lt;HlpChangeDate,HlpSharePre,HlpSharePost)</f>
        <v>0.03</v>
      </c>
      <c r="S91" s="21" t="n">
        <f aca="false">Q91*R91/(1-R91)</f>
        <v>0</v>
      </c>
      <c r="T91" s="20"/>
      <c r="U91" s="21" t="n">
        <f aca="false">S91-T91</f>
        <v>0</v>
      </c>
      <c r="V91" s="21" t="n">
        <f aca="false">Y91-O91*R91/(1-R91)</f>
        <v>0</v>
      </c>
      <c r="W91" s="21" t="n">
        <f aca="false">Z91-P91*R91/(1-R91)</f>
        <v>0</v>
      </c>
      <c r="X91" s="21" t="n">
        <f aca="false">S91+V91+W91</f>
        <v>0</v>
      </c>
      <c r="Y91" s="20"/>
      <c r="Z91" s="20"/>
      <c r="AA91" s="19" t="n">
        <v>0</v>
      </c>
      <c r="AB91" s="20"/>
      <c r="AC91" s="20"/>
      <c r="AD91" s="24" t="n">
        <f aca="false">IFERROR(AA91/AC91,0)</f>
        <v>0</v>
      </c>
      <c r="AE91" s="25" t="n">
        <f aca="false">K91-Q91-X91</f>
        <v>0</v>
      </c>
      <c r="AF91" s="25" t="n">
        <f aca="false">Q91-AA91</f>
        <v>0</v>
      </c>
      <c r="AG91" s="20"/>
      <c r="AH91" s="26" t="n">
        <f aca="false">IFERROR(AG91/Q91,0)</f>
        <v>0</v>
      </c>
      <c r="AI91" s="27" t="n">
        <v>0</v>
      </c>
      <c r="AJ91" s="26" t="n">
        <f aca="false">IF(AI91&gt;0,AprCoef/SQRT(AI91),0)</f>
        <v>0</v>
      </c>
      <c r="AK91" s="24" t="n">
        <f aca="false">AI91*AJ91/365</f>
        <v>0</v>
      </c>
      <c r="AL91" s="24" t="n">
        <f aca="false">AD91</f>
        <v>0</v>
      </c>
      <c r="AM91" s="24" t="n">
        <f aca="false">AK91-AL91</f>
        <v>0</v>
      </c>
      <c r="AN91" s="28" t="str">
        <f aca="false">IF(A91&gt;=Hip3LaunchDate,"YES","")</f>
        <v/>
      </c>
      <c r="AO91" s="28" t="str">
        <f aca="false">IF(A91&lt;Hip4LaunchDate,"pre-launch","live (zero-fee)")</f>
        <v>pre-launch</v>
      </c>
      <c r="AP91" s="20"/>
      <c r="AQ91" s="20"/>
      <c r="AR91" s="20"/>
    </row>
    <row r="92" customFormat="false" ht="15" hidden="false" customHeight="false" outlineLevel="0" collapsed="false">
      <c r="A92" s="18" t="n">
        <v>45153</v>
      </c>
      <c r="B92" s="19" t="n">
        <v>52924576.09</v>
      </c>
      <c r="C92" s="19" t="n">
        <v>0</v>
      </c>
      <c r="D92" s="20"/>
      <c r="E92" s="21" t="n">
        <f aca="false">B92+C92</f>
        <v>52924576.09</v>
      </c>
      <c r="F92" s="21" t="n">
        <f aca="false">E92+D92</f>
        <v>52924576.09</v>
      </c>
      <c r="G92" s="22" t="n">
        <f aca="false">IFERROR(C92/E92,0)</f>
        <v>0</v>
      </c>
      <c r="H92" s="20"/>
      <c r="I92" s="20"/>
      <c r="J92" s="20"/>
      <c r="K92" s="21" t="n">
        <f aca="false">H92+I92</f>
        <v>0</v>
      </c>
      <c r="L92" s="20"/>
      <c r="M92" s="21" t="n">
        <f aca="false">H92-L92</f>
        <v>0</v>
      </c>
      <c r="N92" s="23" t="n">
        <f aca="false">IFERROR(M92/B92*10000,0)</f>
        <v>0</v>
      </c>
      <c r="O92" s="20"/>
      <c r="P92" s="20"/>
      <c r="Q92" s="21" t="n">
        <f aca="false">O92+P92</f>
        <v>0</v>
      </c>
      <c r="R92" s="22" t="n">
        <f aca="false">IF(A92&lt;HlpChangeDate,HlpSharePre,HlpSharePost)</f>
        <v>0.03</v>
      </c>
      <c r="S92" s="21" t="n">
        <f aca="false">Q92*R92/(1-R92)</f>
        <v>0</v>
      </c>
      <c r="T92" s="20"/>
      <c r="U92" s="21" t="n">
        <f aca="false">S92-T92</f>
        <v>0</v>
      </c>
      <c r="V92" s="21" t="n">
        <f aca="false">Y92-O92*R92/(1-R92)</f>
        <v>0</v>
      </c>
      <c r="W92" s="21" t="n">
        <f aca="false">Z92-P92*R92/(1-R92)</f>
        <v>0</v>
      </c>
      <c r="X92" s="21" t="n">
        <f aca="false">S92+V92+W92</f>
        <v>0</v>
      </c>
      <c r="Y92" s="20"/>
      <c r="Z92" s="20"/>
      <c r="AA92" s="19" t="n">
        <v>0</v>
      </c>
      <c r="AB92" s="20"/>
      <c r="AC92" s="20"/>
      <c r="AD92" s="24" t="n">
        <f aca="false">IFERROR(AA92/AC92,0)</f>
        <v>0</v>
      </c>
      <c r="AE92" s="25" t="n">
        <f aca="false">K92-Q92-X92</f>
        <v>0</v>
      </c>
      <c r="AF92" s="25" t="n">
        <f aca="false">Q92-AA92</f>
        <v>0</v>
      </c>
      <c r="AG92" s="20"/>
      <c r="AH92" s="26" t="n">
        <f aca="false">IFERROR(AG92/Q92,0)</f>
        <v>0</v>
      </c>
      <c r="AI92" s="27" t="n">
        <v>0</v>
      </c>
      <c r="AJ92" s="26" t="n">
        <f aca="false">IF(AI92&gt;0,AprCoef/SQRT(AI92),0)</f>
        <v>0</v>
      </c>
      <c r="AK92" s="24" t="n">
        <f aca="false">AI92*AJ92/365</f>
        <v>0</v>
      </c>
      <c r="AL92" s="24" t="n">
        <f aca="false">AD92</f>
        <v>0</v>
      </c>
      <c r="AM92" s="24" t="n">
        <f aca="false">AK92-AL92</f>
        <v>0</v>
      </c>
      <c r="AN92" s="28" t="str">
        <f aca="false">IF(A92&gt;=Hip3LaunchDate,"YES","")</f>
        <v/>
      </c>
      <c r="AO92" s="28" t="str">
        <f aca="false">IF(A92&lt;Hip4LaunchDate,"pre-launch","live (zero-fee)")</f>
        <v>pre-launch</v>
      </c>
      <c r="AP92" s="20"/>
      <c r="AQ92" s="20"/>
      <c r="AR92" s="20"/>
    </row>
    <row r="93" customFormat="false" ht="15" hidden="false" customHeight="false" outlineLevel="0" collapsed="false">
      <c r="A93" s="18" t="n">
        <v>45154</v>
      </c>
      <c r="B93" s="19" t="n">
        <v>117476947.38</v>
      </c>
      <c r="C93" s="19" t="n">
        <v>0</v>
      </c>
      <c r="D93" s="20"/>
      <c r="E93" s="21" t="n">
        <f aca="false">B93+C93</f>
        <v>117476947.38</v>
      </c>
      <c r="F93" s="21" t="n">
        <f aca="false">E93+D93</f>
        <v>117476947.38</v>
      </c>
      <c r="G93" s="22" t="n">
        <f aca="false">IFERROR(C93/E93,0)</f>
        <v>0</v>
      </c>
      <c r="H93" s="20"/>
      <c r="I93" s="20"/>
      <c r="J93" s="20"/>
      <c r="K93" s="21" t="n">
        <f aca="false">H93+I93</f>
        <v>0</v>
      </c>
      <c r="L93" s="20"/>
      <c r="M93" s="21" t="n">
        <f aca="false">H93-L93</f>
        <v>0</v>
      </c>
      <c r="N93" s="23" t="n">
        <f aca="false">IFERROR(M93/B93*10000,0)</f>
        <v>0</v>
      </c>
      <c r="O93" s="20"/>
      <c r="P93" s="20"/>
      <c r="Q93" s="21" t="n">
        <f aca="false">O93+P93</f>
        <v>0</v>
      </c>
      <c r="R93" s="22" t="n">
        <f aca="false">IF(A93&lt;HlpChangeDate,HlpSharePre,HlpSharePost)</f>
        <v>0.03</v>
      </c>
      <c r="S93" s="21" t="n">
        <f aca="false">Q93*R93/(1-R93)</f>
        <v>0</v>
      </c>
      <c r="T93" s="20"/>
      <c r="U93" s="21" t="n">
        <f aca="false">S93-T93</f>
        <v>0</v>
      </c>
      <c r="V93" s="21" t="n">
        <f aca="false">Y93-O93*R93/(1-R93)</f>
        <v>0</v>
      </c>
      <c r="W93" s="21" t="n">
        <f aca="false">Z93-P93*R93/(1-R93)</f>
        <v>0</v>
      </c>
      <c r="X93" s="21" t="n">
        <f aca="false">S93+V93+W93</f>
        <v>0</v>
      </c>
      <c r="Y93" s="20"/>
      <c r="Z93" s="20"/>
      <c r="AA93" s="19" t="n">
        <v>0</v>
      </c>
      <c r="AB93" s="20"/>
      <c r="AC93" s="20"/>
      <c r="AD93" s="24" t="n">
        <f aca="false">IFERROR(AA93/AC93,0)</f>
        <v>0</v>
      </c>
      <c r="AE93" s="25" t="n">
        <f aca="false">K93-Q93-X93</f>
        <v>0</v>
      </c>
      <c r="AF93" s="25" t="n">
        <f aca="false">Q93-AA93</f>
        <v>0</v>
      </c>
      <c r="AG93" s="20"/>
      <c r="AH93" s="26" t="n">
        <f aca="false">IFERROR(AG93/Q93,0)</f>
        <v>0</v>
      </c>
      <c r="AI93" s="27" t="n">
        <v>0</v>
      </c>
      <c r="AJ93" s="26" t="n">
        <f aca="false">IF(AI93&gt;0,AprCoef/SQRT(AI93),0)</f>
        <v>0</v>
      </c>
      <c r="AK93" s="24" t="n">
        <f aca="false">AI93*AJ93/365</f>
        <v>0</v>
      </c>
      <c r="AL93" s="24" t="n">
        <f aca="false">AD93</f>
        <v>0</v>
      </c>
      <c r="AM93" s="24" t="n">
        <f aca="false">AK93-AL93</f>
        <v>0</v>
      </c>
      <c r="AN93" s="28" t="str">
        <f aca="false">IF(A93&gt;=Hip3LaunchDate,"YES","")</f>
        <v/>
      </c>
      <c r="AO93" s="28" t="str">
        <f aca="false">IF(A93&lt;Hip4LaunchDate,"pre-launch","live (zero-fee)")</f>
        <v>pre-launch</v>
      </c>
      <c r="AP93" s="20"/>
      <c r="AQ93" s="20"/>
      <c r="AR93" s="20"/>
    </row>
    <row r="94" customFormat="false" ht="15" hidden="false" customHeight="false" outlineLevel="0" collapsed="false">
      <c r="A94" s="18" t="n">
        <v>45155</v>
      </c>
      <c r="B94" s="19" t="n">
        <v>171884792.43</v>
      </c>
      <c r="C94" s="19" t="n">
        <v>0</v>
      </c>
      <c r="D94" s="20"/>
      <c r="E94" s="21" t="n">
        <f aca="false">B94+C94</f>
        <v>171884792.43</v>
      </c>
      <c r="F94" s="21" t="n">
        <f aca="false">E94+D94</f>
        <v>171884792.43</v>
      </c>
      <c r="G94" s="22" t="n">
        <f aca="false">IFERROR(C94/E94,0)</f>
        <v>0</v>
      </c>
      <c r="H94" s="20"/>
      <c r="I94" s="20"/>
      <c r="J94" s="20"/>
      <c r="K94" s="21" t="n">
        <f aca="false">H94+I94</f>
        <v>0</v>
      </c>
      <c r="L94" s="20"/>
      <c r="M94" s="21" t="n">
        <f aca="false">H94-L94</f>
        <v>0</v>
      </c>
      <c r="N94" s="23" t="n">
        <f aca="false">IFERROR(M94/B94*10000,0)</f>
        <v>0</v>
      </c>
      <c r="O94" s="20"/>
      <c r="P94" s="20"/>
      <c r="Q94" s="21" t="n">
        <f aca="false">O94+P94</f>
        <v>0</v>
      </c>
      <c r="R94" s="22" t="n">
        <f aca="false">IF(A94&lt;HlpChangeDate,HlpSharePre,HlpSharePost)</f>
        <v>0.03</v>
      </c>
      <c r="S94" s="21" t="n">
        <f aca="false">Q94*R94/(1-R94)</f>
        <v>0</v>
      </c>
      <c r="T94" s="20"/>
      <c r="U94" s="21" t="n">
        <f aca="false">S94-T94</f>
        <v>0</v>
      </c>
      <c r="V94" s="21" t="n">
        <f aca="false">Y94-O94*R94/(1-R94)</f>
        <v>0</v>
      </c>
      <c r="W94" s="21" t="n">
        <f aca="false">Z94-P94*R94/(1-R94)</f>
        <v>0</v>
      </c>
      <c r="X94" s="21" t="n">
        <f aca="false">S94+V94+W94</f>
        <v>0</v>
      </c>
      <c r="Y94" s="20"/>
      <c r="Z94" s="20"/>
      <c r="AA94" s="19" t="n">
        <v>0</v>
      </c>
      <c r="AB94" s="20"/>
      <c r="AC94" s="20"/>
      <c r="AD94" s="24" t="n">
        <f aca="false">IFERROR(AA94/AC94,0)</f>
        <v>0</v>
      </c>
      <c r="AE94" s="25" t="n">
        <f aca="false">K94-Q94-X94</f>
        <v>0</v>
      </c>
      <c r="AF94" s="25" t="n">
        <f aca="false">Q94-AA94</f>
        <v>0</v>
      </c>
      <c r="AG94" s="20"/>
      <c r="AH94" s="26" t="n">
        <f aca="false">IFERROR(AG94/Q94,0)</f>
        <v>0</v>
      </c>
      <c r="AI94" s="27" t="n">
        <v>0</v>
      </c>
      <c r="AJ94" s="26" t="n">
        <f aca="false">IF(AI94&gt;0,AprCoef/SQRT(AI94),0)</f>
        <v>0</v>
      </c>
      <c r="AK94" s="24" t="n">
        <f aca="false">AI94*AJ94/365</f>
        <v>0</v>
      </c>
      <c r="AL94" s="24" t="n">
        <f aca="false">AD94</f>
        <v>0</v>
      </c>
      <c r="AM94" s="24" t="n">
        <f aca="false">AK94-AL94</f>
        <v>0</v>
      </c>
      <c r="AN94" s="28" t="str">
        <f aca="false">IF(A94&gt;=Hip3LaunchDate,"YES","")</f>
        <v/>
      </c>
      <c r="AO94" s="28" t="str">
        <f aca="false">IF(A94&lt;Hip4LaunchDate,"pre-launch","live (zero-fee)")</f>
        <v>pre-launch</v>
      </c>
      <c r="AP94" s="20"/>
      <c r="AQ94" s="20"/>
      <c r="AR94" s="20"/>
    </row>
    <row r="95" customFormat="false" ht="15" hidden="false" customHeight="false" outlineLevel="0" collapsed="false">
      <c r="A95" s="18" t="n">
        <v>45156</v>
      </c>
      <c r="B95" s="19" t="n">
        <v>223653015.56</v>
      </c>
      <c r="C95" s="19" t="n">
        <v>0</v>
      </c>
      <c r="D95" s="20"/>
      <c r="E95" s="21" t="n">
        <f aca="false">B95+C95</f>
        <v>223653015.56</v>
      </c>
      <c r="F95" s="21" t="n">
        <f aca="false">E95+D95</f>
        <v>223653015.56</v>
      </c>
      <c r="G95" s="22" t="n">
        <f aca="false">IFERROR(C95/E95,0)</f>
        <v>0</v>
      </c>
      <c r="H95" s="20"/>
      <c r="I95" s="20"/>
      <c r="J95" s="20"/>
      <c r="K95" s="21" t="n">
        <f aca="false">H95+I95</f>
        <v>0</v>
      </c>
      <c r="L95" s="20"/>
      <c r="M95" s="21" t="n">
        <f aca="false">H95-L95</f>
        <v>0</v>
      </c>
      <c r="N95" s="23" t="n">
        <f aca="false">IFERROR(M95/B95*10000,0)</f>
        <v>0</v>
      </c>
      <c r="O95" s="20"/>
      <c r="P95" s="20"/>
      <c r="Q95" s="21" t="n">
        <f aca="false">O95+P95</f>
        <v>0</v>
      </c>
      <c r="R95" s="22" t="n">
        <f aca="false">IF(A95&lt;HlpChangeDate,HlpSharePre,HlpSharePost)</f>
        <v>0.03</v>
      </c>
      <c r="S95" s="21" t="n">
        <f aca="false">Q95*R95/(1-R95)</f>
        <v>0</v>
      </c>
      <c r="T95" s="20"/>
      <c r="U95" s="21" t="n">
        <f aca="false">S95-T95</f>
        <v>0</v>
      </c>
      <c r="V95" s="21" t="n">
        <f aca="false">Y95-O95*R95/(1-R95)</f>
        <v>0</v>
      </c>
      <c r="W95" s="21" t="n">
        <f aca="false">Z95-P95*R95/(1-R95)</f>
        <v>0</v>
      </c>
      <c r="X95" s="21" t="n">
        <f aca="false">S95+V95+W95</f>
        <v>0</v>
      </c>
      <c r="Y95" s="20"/>
      <c r="Z95" s="20"/>
      <c r="AA95" s="19" t="n">
        <v>0</v>
      </c>
      <c r="AB95" s="20"/>
      <c r="AC95" s="20"/>
      <c r="AD95" s="24" t="n">
        <f aca="false">IFERROR(AA95/AC95,0)</f>
        <v>0</v>
      </c>
      <c r="AE95" s="25" t="n">
        <f aca="false">K95-Q95-X95</f>
        <v>0</v>
      </c>
      <c r="AF95" s="25" t="n">
        <f aca="false">Q95-AA95</f>
        <v>0</v>
      </c>
      <c r="AG95" s="20"/>
      <c r="AH95" s="26" t="n">
        <f aca="false">IFERROR(AG95/Q95,0)</f>
        <v>0</v>
      </c>
      <c r="AI95" s="27" t="n">
        <v>0</v>
      </c>
      <c r="AJ95" s="26" t="n">
        <f aca="false">IF(AI95&gt;0,AprCoef/SQRT(AI95),0)</f>
        <v>0</v>
      </c>
      <c r="AK95" s="24" t="n">
        <f aca="false">AI95*AJ95/365</f>
        <v>0</v>
      </c>
      <c r="AL95" s="24" t="n">
        <f aca="false">AD95</f>
        <v>0</v>
      </c>
      <c r="AM95" s="24" t="n">
        <f aca="false">AK95-AL95</f>
        <v>0</v>
      </c>
      <c r="AN95" s="28" t="str">
        <f aca="false">IF(A95&gt;=Hip3LaunchDate,"YES","")</f>
        <v/>
      </c>
      <c r="AO95" s="28" t="str">
        <f aca="false">IF(A95&lt;Hip4LaunchDate,"pre-launch","live (zero-fee)")</f>
        <v>pre-launch</v>
      </c>
      <c r="AP95" s="20"/>
      <c r="AQ95" s="20"/>
      <c r="AR95" s="20"/>
    </row>
    <row r="96" customFormat="false" ht="15" hidden="false" customHeight="false" outlineLevel="0" collapsed="false">
      <c r="A96" s="18" t="n">
        <v>45157</v>
      </c>
      <c r="B96" s="19" t="n">
        <v>110356800.81</v>
      </c>
      <c r="C96" s="19" t="n">
        <v>0</v>
      </c>
      <c r="D96" s="20"/>
      <c r="E96" s="21" t="n">
        <f aca="false">B96+C96</f>
        <v>110356800.81</v>
      </c>
      <c r="F96" s="21" t="n">
        <f aca="false">E96+D96</f>
        <v>110356800.81</v>
      </c>
      <c r="G96" s="22" t="n">
        <f aca="false">IFERROR(C96/E96,0)</f>
        <v>0</v>
      </c>
      <c r="H96" s="20"/>
      <c r="I96" s="20"/>
      <c r="J96" s="20"/>
      <c r="K96" s="21" t="n">
        <f aca="false">H96+I96</f>
        <v>0</v>
      </c>
      <c r="L96" s="20"/>
      <c r="M96" s="21" t="n">
        <f aca="false">H96-L96</f>
        <v>0</v>
      </c>
      <c r="N96" s="23" t="n">
        <f aca="false">IFERROR(M96/B96*10000,0)</f>
        <v>0</v>
      </c>
      <c r="O96" s="20"/>
      <c r="P96" s="20"/>
      <c r="Q96" s="21" t="n">
        <f aca="false">O96+P96</f>
        <v>0</v>
      </c>
      <c r="R96" s="22" t="n">
        <f aca="false">IF(A96&lt;HlpChangeDate,HlpSharePre,HlpSharePost)</f>
        <v>0.03</v>
      </c>
      <c r="S96" s="21" t="n">
        <f aca="false">Q96*R96/(1-R96)</f>
        <v>0</v>
      </c>
      <c r="T96" s="20"/>
      <c r="U96" s="21" t="n">
        <f aca="false">S96-T96</f>
        <v>0</v>
      </c>
      <c r="V96" s="21" t="n">
        <f aca="false">Y96-O96*R96/(1-R96)</f>
        <v>0</v>
      </c>
      <c r="W96" s="21" t="n">
        <f aca="false">Z96-P96*R96/(1-R96)</f>
        <v>0</v>
      </c>
      <c r="X96" s="21" t="n">
        <f aca="false">S96+V96+W96</f>
        <v>0</v>
      </c>
      <c r="Y96" s="20"/>
      <c r="Z96" s="20"/>
      <c r="AA96" s="19" t="n">
        <v>0</v>
      </c>
      <c r="AB96" s="20"/>
      <c r="AC96" s="20"/>
      <c r="AD96" s="24" t="n">
        <f aca="false">IFERROR(AA96/AC96,0)</f>
        <v>0</v>
      </c>
      <c r="AE96" s="25" t="n">
        <f aca="false">K96-Q96-X96</f>
        <v>0</v>
      </c>
      <c r="AF96" s="25" t="n">
        <f aca="false">Q96-AA96</f>
        <v>0</v>
      </c>
      <c r="AG96" s="20"/>
      <c r="AH96" s="26" t="n">
        <f aca="false">IFERROR(AG96/Q96,0)</f>
        <v>0</v>
      </c>
      <c r="AI96" s="27" t="n">
        <v>0</v>
      </c>
      <c r="AJ96" s="26" t="n">
        <f aca="false">IF(AI96&gt;0,AprCoef/SQRT(AI96),0)</f>
        <v>0</v>
      </c>
      <c r="AK96" s="24" t="n">
        <f aca="false">AI96*AJ96/365</f>
        <v>0</v>
      </c>
      <c r="AL96" s="24" t="n">
        <f aca="false">AD96</f>
        <v>0</v>
      </c>
      <c r="AM96" s="24" t="n">
        <f aca="false">AK96-AL96</f>
        <v>0</v>
      </c>
      <c r="AN96" s="28" t="str">
        <f aca="false">IF(A96&gt;=Hip3LaunchDate,"YES","")</f>
        <v/>
      </c>
      <c r="AO96" s="28" t="str">
        <f aca="false">IF(A96&lt;Hip4LaunchDate,"pre-launch","live (zero-fee)")</f>
        <v>pre-launch</v>
      </c>
      <c r="AP96" s="20"/>
      <c r="AQ96" s="20"/>
      <c r="AR96" s="20"/>
    </row>
    <row r="97" customFormat="false" ht="15" hidden="false" customHeight="false" outlineLevel="0" collapsed="false">
      <c r="A97" s="18" t="n">
        <v>45158</v>
      </c>
      <c r="B97" s="19" t="n">
        <v>71677565.33</v>
      </c>
      <c r="C97" s="19" t="n">
        <v>0</v>
      </c>
      <c r="D97" s="20"/>
      <c r="E97" s="21" t="n">
        <f aca="false">B97+C97</f>
        <v>71677565.33</v>
      </c>
      <c r="F97" s="21" t="n">
        <f aca="false">E97+D97</f>
        <v>71677565.33</v>
      </c>
      <c r="G97" s="22" t="n">
        <f aca="false">IFERROR(C97/E97,0)</f>
        <v>0</v>
      </c>
      <c r="H97" s="20"/>
      <c r="I97" s="20"/>
      <c r="J97" s="20"/>
      <c r="K97" s="21" t="n">
        <f aca="false">H97+I97</f>
        <v>0</v>
      </c>
      <c r="L97" s="20"/>
      <c r="M97" s="21" t="n">
        <f aca="false">H97-L97</f>
        <v>0</v>
      </c>
      <c r="N97" s="23" t="n">
        <f aca="false">IFERROR(M97/B97*10000,0)</f>
        <v>0</v>
      </c>
      <c r="O97" s="20"/>
      <c r="P97" s="20"/>
      <c r="Q97" s="21" t="n">
        <f aca="false">O97+P97</f>
        <v>0</v>
      </c>
      <c r="R97" s="22" t="n">
        <f aca="false">IF(A97&lt;HlpChangeDate,HlpSharePre,HlpSharePost)</f>
        <v>0.03</v>
      </c>
      <c r="S97" s="21" t="n">
        <f aca="false">Q97*R97/(1-R97)</f>
        <v>0</v>
      </c>
      <c r="T97" s="20"/>
      <c r="U97" s="21" t="n">
        <f aca="false">S97-T97</f>
        <v>0</v>
      </c>
      <c r="V97" s="21" t="n">
        <f aca="false">Y97-O97*R97/(1-R97)</f>
        <v>0</v>
      </c>
      <c r="W97" s="21" t="n">
        <f aca="false">Z97-P97*R97/(1-R97)</f>
        <v>0</v>
      </c>
      <c r="X97" s="21" t="n">
        <f aca="false">S97+V97+W97</f>
        <v>0</v>
      </c>
      <c r="Y97" s="20"/>
      <c r="Z97" s="20"/>
      <c r="AA97" s="19" t="n">
        <v>0</v>
      </c>
      <c r="AB97" s="20"/>
      <c r="AC97" s="20"/>
      <c r="AD97" s="24" t="n">
        <f aca="false">IFERROR(AA97/AC97,0)</f>
        <v>0</v>
      </c>
      <c r="AE97" s="25" t="n">
        <f aca="false">K97-Q97-X97</f>
        <v>0</v>
      </c>
      <c r="AF97" s="25" t="n">
        <f aca="false">Q97-AA97</f>
        <v>0</v>
      </c>
      <c r="AG97" s="20"/>
      <c r="AH97" s="26" t="n">
        <f aca="false">IFERROR(AG97/Q97,0)</f>
        <v>0</v>
      </c>
      <c r="AI97" s="27" t="n">
        <v>0</v>
      </c>
      <c r="AJ97" s="26" t="n">
        <f aca="false">IF(AI97&gt;0,AprCoef/SQRT(AI97),0)</f>
        <v>0</v>
      </c>
      <c r="AK97" s="24" t="n">
        <f aca="false">AI97*AJ97/365</f>
        <v>0</v>
      </c>
      <c r="AL97" s="24" t="n">
        <f aca="false">AD97</f>
        <v>0</v>
      </c>
      <c r="AM97" s="24" t="n">
        <f aca="false">AK97-AL97</f>
        <v>0</v>
      </c>
      <c r="AN97" s="28" t="str">
        <f aca="false">IF(A97&gt;=Hip3LaunchDate,"YES","")</f>
        <v/>
      </c>
      <c r="AO97" s="28" t="str">
        <f aca="false">IF(A97&lt;Hip4LaunchDate,"pre-launch","live (zero-fee)")</f>
        <v>pre-launch</v>
      </c>
      <c r="AP97" s="20"/>
      <c r="AQ97" s="20"/>
      <c r="AR97" s="20"/>
    </row>
    <row r="98" customFormat="false" ht="15" hidden="false" customHeight="false" outlineLevel="0" collapsed="false">
      <c r="A98" s="18" t="n">
        <v>45159</v>
      </c>
      <c r="B98" s="19" t="n">
        <v>55489186.66</v>
      </c>
      <c r="C98" s="19" t="n">
        <v>0</v>
      </c>
      <c r="D98" s="20"/>
      <c r="E98" s="21" t="n">
        <f aca="false">B98+C98</f>
        <v>55489186.66</v>
      </c>
      <c r="F98" s="21" t="n">
        <f aca="false">E98+D98</f>
        <v>55489186.66</v>
      </c>
      <c r="G98" s="22" t="n">
        <f aca="false">IFERROR(C98/E98,0)</f>
        <v>0</v>
      </c>
      <c r="H98" s="20"/>
      <c r="I98" s="20"/>
      <c r="J98" s="20"/>
      <c r="K98" s="21" t="n">
        <f aca="false">H98+I98</f>
        <v>0</v>
      </c>
      <c r="L98" s="20"/>
      <c r="M98" s="21" t="n">
        <f aca="false">H98-L98</f>
        <v>0</v>
      </c>
      <c r="N98" s="23" t="n">
        <f aca="false">IFERROR(M98/B98*10000,0)</f>
        <v>0</v>
      </c>
      <c r="O98" s="20"/>
      <c r="P98" s="20"/>
      <c r="Q98" s="21" t="n">
        <f aca="false">O98+P98</f>
        <v>0</v>
      </c>
      <c r="R98" s="22" t="n">
        <f aca="false">IF(A98&lt;HlpChangeDate,HlpSharePre,HlpSharePost)</f>
        <v>0.03</v>
      </c>
      <c r="S98" s="21" t="n">
        <f aca="false">Q98*R98/(1-R98)</f>
        <v>0</v>
      </c>
      <c r="T98" s="20"/>
      <c r="U98" s="21" t="n">
        <f aca="false">S98-T98</f>
        <v>0</v>
      </c>
      <c r="V98" s="21" t="n">
        <f aca="false">Y98-O98*R98/(1-R98)</f>
        <v>0</v>
      </c>
      <c r="W98" s="21" t="n">
        <f aca="false">Z98-P98*R98/(1-R98)</f>
        <v>0</v>
      </c>
      <c r="X98" s="21" t="n">
        <f aca="false">S98+V98+W98</f>
        <v>0</v>
      </c>
      <c r="Y98" s="20"/>
      <c r="Z98" s="20"/>
      <c r="AA98" s="19" t="n">
        <v>0</v>
      </c>
      <c r="AB98" s="20"/>
      <c r="AC98" s="20"/>
      <c r="AD98" s="24" t="n">
        <f aca="false">IFERROR(AA98/AC98,0)</f>
        <v>0</v>
      </c>
      <c r="AE98" s="25" t="n">
        <f aca="false">K98-Q98-X98</f>
        <v>0</v>
      </c>
      <c r="AF98" s="25" t="n">
        <f aca="false">Q98-AA98</f>
        <v>0</v>
      </c>
      <c r="AG98" s="20"/>
      <c r="AH98" s="26" t="n">
        <f aca="false">IFERROR(AG98/Q98,0)</f>
        <v>0</v>
      </c>
      <c r="AI98" s="27" t="n">
        <v>0</v>
      </c>
      <c r="AJ98" s="26" t="n">
        <f aca="false">IF(AI98&gt;0,AprCoef/SQRT(AI98),0)</f>
        <v>0</v>
      </c>
      <c r="AK98" s="24" t="n">
        <f aca="false">AI98*AJ98/365</f>
        <v>0</v>
      </c>
      <c r="AL98" s="24" t="n">
        <f aca="false">AD98</f>
        <v>0</v>
      </c>
      <c r="AM98" s="24" t="n">
        <f aca="false">AK98-AL98</f>
        <v>0</v>
      </c>
      <c r="AN98" s="28" t="str">
        <f aca="false">IF(A98&gt;=Hip3LaunchDate,"YES","")</f>
        <v/>
      </c>
      <c r="AO98" s="28" t="str">
        <f aca="false">IF(A98&lt;Hip4LaunchDate,"pre-launch","live (zero-fee)")</f>
        <v>pre-launch</v>
      </c>
      <c r="AP98" s="20"/>
      <c r="AQ98" s="20"/>
      <c r="AR98" s="20"/>
    </row>
    <row r="99" customFormat="false" ht="15" hidden="false" customHeight="false" outlineLevel="0" collapsed="false">
      <c r="A99" s="18" t="n">
        <v>45160</v>
      </c>
      <c r="B99" s="19" t="n">
        <v>49098518.21</v>
      </c>
      <c r="C99" s="19" t="n">
        <v>0</v>
      </c>
      <c r="D99" s="20"/>
      <c r="E99" s="21" t="n">
        <f aca="false">B99+C99</f>
        <v>49098518.21</v>
      </c>
      <c r="F99" s="21" t="n">
        <f aca="false">E99+D99</f>
        <v>49098518.21</v>
      </c>
      <c r="G99" s="22" t="n">
        <f aca="false">IFERROR(C99/E99,0)</f>
        <v>0</v>
      </c>
      <c r="H99" s="20"/>
      <c r="I99" s="20"/>
      <c r="J99" s="20"/>
      <c r="K99" s="21" t="n">
        <f aca="false">H99+I99</f>
        <v>0</v>
      </c>
      <c r="L99" s="20"/>
      <c r="M99" s="21" t="n">
        <f aca="false">H99-L99</f>
        <v>0</v>
      </c>
      <c r="N99" s="23" t="n">
        <f aca="false">IFERROR(M99/B99*10000,0)</f>
        <v>0</v>
      </c>
      <c r="O99" s="20"/>
      <c r="P99" s="20"/>
      <c r="Q99" s="21" t="n">
        <f aca="false">O99+P99</f>
        <v>0</v>
      </c>
      <c r="R99" s="22" t="n">
        <f aca="false">IF(A99&lt;HlpChangeDate,HlpSharePre,HlpSharePost)</f>
        <v>0.03</v>
      </c>
      <c r="S99" s="21" t="n">
        <f aca="false">Q99*R99/(1-R99)</f>
        <v>0</v>
      </c>
      <c r="T99" s="20"/>
      <c r="U99" s="21" t="n">
        <f aca="false">S99-T99</f>
        <v>0</v>
      </c>
      <c r="V99" s="21" t="n">
        <f aca="false">Y99-O99*R99/(1-R99)</f>
        <v>0</v>
      </c>
      <c r="W99" s="21" t="n">
        <f aca="false">Z99-P99*R99/(1-R99)</f>
        <v>0</v>
      </c>
      <c r="X99" s="21" t="n">
        <f aca="false">S99+V99+W99</f>
        <v>0</v>
      </c>
      <c r="Y99" s="20"/>
      <c r="Z99" s="20"/>
      <c r="AA99" s="19" t="n">
        <v>0</v>
      </c>
      <c r="AB99" s="20"/>
      <c r="AC99" s="20"/>
      <c r="AD99" s="24" t="n">
        <f aca="false">IFERROR(AA99/AC99,0)</f>
        <v>0</v>
      </c>
      <c r="AE99" s="25" t="n">
        <f aca="false">K99-Q99-X99</f>
        <v>0</v>
      </c>
      <c r="AF99" s="25" t="n">
        <f aca="false">Q99-AA99</f>
        <v>0</v>
      </c>
      <c r="AG99" s="20"/>
      <c r="AH99" s="26" t="n">
        <f aca="false">IFERROR(AG99/Q99,0)</f>
        <v>0</v>
      </c>
      <c r="AI99" s="27" t="n">
        <v>0</v>
      </c>
      <c r="AJ99" s="26" t="n">
        <f aca="false">IF(AI99&gt;0,AprCoef/SQRT(AI99),0)</f>
        <v>0</v>
      </c>
      <c r="AK99" s="24" t="n">
        <f aca="false">AI99*AJ99/365</f>
        <v>0</v>
      </c>
      <c r="AL99" s="24" t="n">
        <f aca="false">AD99</f>
        <v>0</v>
      </c>
      <c r="AM99" s="24" t="n">
        <f aca="false">AK99-AL99</f>
        <v>0</v>
      </c>
      <c r="AN99" s="28" t="str">
        <f aca="false">IF(A99&gt;=Hip3LaunchDate,"YES","")</f>
        <v/>
      </c>
      <c r="AO99" s="28" t="str">
        <f aca="false">IF(A99&lt;Hip4LaunchDate,"pre-launch","live (zero-fee)")</f>
        <v>pre-launch</v>
      </c>
      <c r="AP99" s="20"/>
      <c r="AQ99" s="20"/>
      <c r="AR99" s="20"/>
    </row>
    <row r="100" customFormat="false" ht="15" hidden="false" customHeight="false" outlineLevel="0" collapsed="false">
      <c r="A100" s="18" t="n">
        <v>45161</v>
      </c>
      <c r="B100" s="19" t="n">
        <v>41485315.16</v>
      </c>
      <c r="C100" s="19" t="n">
        <v>0</v>
      </c>
      <c r="D100" s="20"/>
      <c r="E100" s="21" t="n">
        <f aca="false">B100+C100</f>
        <v>41485315.16</v>
      </c>
      <c r="F100" s="21" t="n">
        <f aca="false">E100+D100</f>
        <v>41485315.16</v>
      </c>
      <c r="G100" s="22" t="n">
        <f aca="false">IFERROR(C100/E100,0)</f>
        <v>0</v>
      </c>
      <c r="H100" s="20"/>
      <c r="I100" s="20"/>
      <c r="J100" s="20"/>
      <c r="K100" s="21" t="n">
        <f aca="false">H100+I100</f>
        <v>0</v>
      </c>
      <c r="L100" s="20"/>
      <c r="M100" s="21" t="n">
        <f aca="false">H100-L100</f>
        <v>0</v>
      </c>
      <c r="N100" s="23" t="n">
        <f aca="false">IFERROR(M100/B100*10000,0)</f>
        <v>0</v>
      </c>
      <c r="O100" s="20"/>
      <c r="P100" s="20"/>
      <c r="Q100" s="21" t="n">
        <f aca="false">O100+P100</f>
        <v>0</v>
      </c>
      <c r="R100" s="22" t="n">
        <f aca="false">IF(A100&lt;HlpChangeDate,HlpSharePre,HlpSharePost)</f>
        <v>0.03</v>
      </c>
      <c r="S100" s="21" t="n">
        <f aca="false">Q100*R100/(1-R100)</f>
        <v>0</v>
      </c>
      <c r="T100" s="20"/>
      <c r="U100" s="21" t="n">
        <f aca="false">S100-T100</f>
        <v>0</v>
      </c>
      <c r="V100" s="21" t="n">
        <f aca="false">Y100-O100*R100/(1-R100)</f>
        <v>0</v>
      </c>
      <c r="W100" s="21" t="n">
        <f aca="false">Z100-P100*R100/(1-R100)</f>
        <v>0</v>
      </c>
      <c r="X100" s="21" t="n">
        <f aca="false">S100+V100+W100</f>
        <v>0</v>
      </c>
      <c r="Y100" s="20"/>
      <c r="Z100" s="20"/>
      <c r="AA100" s="19" t="n">
        <v>0</v>
      </c>
      <c r="AB100" s="20"/>
      <c r="AC100" s="20"/>
      <c r="AD100" s="24" t="n">
        <f aca="false">IFERROR(AA100/AC100,0)</f>
        <v>0</v>
      </c>
      <c r="AE100" s="25" t="n">
        <f aca="false">K100-Q100-X100</f>
        <v>0</v>
      </c>
      <c r="AF100" s="25" t="n">
        <f aca="false">Q100-AA100</f>
        <v>0</v>
      </c>
      <c r="AG100" s="20"/>
      <c r="AH100" s="26" t="n">
        <f aca="false">IFERROR(AG100/Q100,0)</f>
        <v>0</v>
      </c>
      <c r="AI100" s="27" t="n">
        <v>0</v>
      </c>
      <c r="AJ100" s="26" t="n">
        <f aca="false">IF(AI100&gt;0,AprCoef/SQRT(AI100),0)</f>
        <v>0</v>
      </c>
      <c r="AK100" s="24" t="n">
        <f aca="false">AI100*AJ100/365</f>
        <v>0</v>
      </c>
      <c r="AL100" s="24" t="n">
        <f aca="false">AD100</f>
        <v>0</v>
      </c>
      <c r="AM100" s="24" t="n">
        <f aca="false">AK100-AL100</f>
        <v>0</v>
      </c>
      <c r="AN100" s="28" t="str">
        <f aca="false">IF(A100&gt;=Hip3LaunchDate,"YES","")</f>
        <v/>
      </c>
      <c r="AO100" s="28" t="str">
        <f aca="false">IF(A100&lt;Hip4LaunchDate,"pre-launch","live (zero-fee)")</f>
        <v>pre-launch</v>
      </c>
      <c r="AP100" s="20"/>
      <c r="AQ100" s="20"/>
      <c r="AR100" s="20"/>
    </row>
    <row r="101" customFormat="false" ht="15" hidden="false" customHeight="false" outlineLevel="0" collapsed="false">
      <c r="A101" s="18" t="n">
        <v>45162</v>
      </c>
      <c r="B101" s="19" t="n">
        <v>37893525.79</v>
      </c>
      <c r="C101" s="19" t="n">
        <v>0</v>
      </c>
      <c r="D101" s="20"/>
      <c r="E101" s="21" t="n">
        <f aca="false">B101+C101</f>
        <v>37893525.79</v>
      </c>
      <c r="F101" s="21" t="n">
        <f aca="false">E101+D101</f>
        <v>37893525.79</v>
      </c>
      <c r="G101" s="22" t="n">
        <f aca="false">IFERROR(C101/E101,0)</f>
        <v>0</v>
      </c>
      <c r="H101" s="20"/>
      <c r="I101" s="20"/>
      <c r="J101" s="20"/>
      <c r="K101" s="21" t="n">
        <f aca="false">H101+I101</f>
        <v>0</v>
      </c>
      <c r="L101" s="20"/>
      <c r="M101" s="21" t="n">
        <f aca="false">H101-L101</f>
        <v>0</v>
      </c>
      <c r="N101" s="23" t="n">
        <f aca="false">IFERROR(M101/B101*10000,0)</f>
        <v>0</v>
      </c>
      <c r="O101" s="20"/>
      <c r="P101" s="20"/>
      <c r="Q101" s="21" t="n">
        <f aca="false">O101+P101</f>
        <v>0</v>
      </c>
      <c r="R101" s="22" t="n">
        <f aca="false">IF(A101&lt;HlpChangeDate,HlpSharePre,HlpSharePost)</f>
        <v>0.03</v>
      </c>
      <c r="S101" s="21" t="n">
        <f aca="false">Q101*R101/(1-R101)</f>
        <v>0</v>
      </c>
      <c r="T101" s="20"/>
      <c r="U101" s="21" t="n">
        <f aca="false">S101-T101</f>
        <v>0</v>
      </c>
      <c r="V101" s="21" t="n">
        <f aca="false">Y101-O101*R101/(1-R101)</f>
        <v>0</v>
      </c>
      <c r="W101" s="21" t="n">
        <f aca="false">Z101-P101*R101/(1-R101)</f>
        <v>0</v>
      </c>
      <c r="X101" s="21" t="n">
        <f aca="false">S101+V101+W101</f>
        <v>0</v>
      </c>
      <c r="Y101" s="20"/>
      <c r="Z101" s="20"/>
      <c r="AA101" s="19" t="n">
        <v>0</v>
      </c>
      <c r="AB101" s="20"/>
      <c r="AC101" s="20"/>
      <c r="AD101" s="24" t="n">
        <f aca="false">IFERROR(AA101/AC101,0)</f>
        <v>0</v>
      </c>
      <c r="AE101" s="25" t="n">
        <f aca="false">K101-Q101-X101</f>
        <v>0</v>
      </c>
      <c r="AF101" s="25" t="n">
        <f aca="false">Q101-AA101</f>
        <v>0</v>
      </c>
      <c r="AG101" s="20"/>
      <c r="AH101" s="26" t="n">
        <f aca="false">IFERROR(AG101/Q101,0)</f>
        <v>0</v>
      </c>
      <c r="AI101" s="27" t="n">
        <v>0</v>
      </c>
      <c r="AJ101" s="26" t="n">
        <f aca="false">IF(AI101&gt;0,AprCoef/SQRT(AI101),0)</f>
        <v>0</v>
      </c>
      <c r="AK101" s="24" t="n">
        <f aca="false">AI101*AJ101/365</f>
        <v>0</v>
      </c>
      <c r="AL101" s="24" t="n">
        <f aca="false">AD101</f>
        <v>0</v>
      </c>
      <c r="AM101" s="24" t="n">
        <f aca="false">AK101-AL101</f>
        <v>0</v>
      </c>
      <c r="AN101" s="28" t="str">
        <f aca="false">IF(A101&gt;=Hip3LaunchDate,"YES","")</f>
        <v/>
      </c>
      <c r="AO101" s="28" t="str">
        <f aca="false">IF(A101&lt;Hip4LaunchDate,"pre-launch","live (zero-fee)")</f>
        <v>pre-launch</v>
      </c>
      <c r="AP101" s="20"/>
      <c r="AQ101" s="20"/>
      <c r="AR101" s="20"/>
    </row>
    <row r="102" customFormat="false" ht="15" hidden="false" customHeight="false" outlineLevel="0" collapsed="false">
      <c r="A102" s="18" t="n">
        <v>45163</v>
      </c>
      <c r="B102" s="19" t="n">
        <v>43338369.84</v>
      </c>
      <c r="C102" s="19" t="n">
        <v>0</v>
      </c>
      <c r="D102" s="20"/>
      <c r="E102" s="21" t="n">
        <f aca="false">B102+C102</f>
        <v>43338369.84</v>
      </c>
      <c r="F102" s="21" t="n">
        <f aca="false">E102+D102</f>
        <v>43338369.84</v>
      </c>
      <c r="G102" s="22" t="n">
        <f aca="false">IFERROR(C102/E102,0)</f>
        <v>0</v>
      </c>
      <c r="H102" s="20"/>
      <c r="I102" s="20"/>
      <c r="J102" s="20"/>
      <c r="K102" s="21" t="n">
        <f aca="false">H102+I102</f>
        <v>0</v>
      </c>
      <c r="L102" s="20"/>
      <c r="M102" s="21" t="n">
        <f aca="false">H102-L102</f>
        <v>0</v>
      </c>
      <c r="N102" s="23" t="n">
        <f aca="false">IFERROR(M102/B102*10000,0)</f>
        <v>0</v>
      </c>
      <c r="O102" s="20"/>
      <c r="P102" s="20"/>
      <c r="Q102" s="21" t="n">
        <f aca="false">O102+P102</f>
        <v>0</v>
      </c>
      <c r="R102" s="22" t="n">
        <f aca="false">IF(A102&lt;HlpChangeDate,HlpSharePre,HlpSharePost)</f>
        <v>0.03</v>
      </c>
      <c r="S102" s="21" t="n">
        <f aca="false">Q102*R102/(1-R102)</f>
        <v>0</v>
      </c>
      <c r="T102" s="20"/>
      <c r="U102" s="21" t="n">
        <f aca="false">S102-T102</f>
        <v>0</v>
      </c>
      <c r="V102" s="21" t="n">
        <f aca="false">Y102-O102*R102/(1-R102)</f>
        <v>0</v>
      </c>
      <c r="W102" s="21" t="n">
        <f aca="false">Z102-P102*R102/(1-R102)</f>
        <v>0</v>
      </c>
      <c r="X102" s="21" t="n">
        <f aca="false">S102+V102+W102</f>
        <v>0</v>
      </c>
      <c r="Y102" s="20"/>
      <c r="Z102" s="20"/>
      <c r="AA102" s="19" t="n">
        <v>0</v>
      </c>
      <c r="AB102" s="20"/>
      <c r="AC102" s="20"/>
      <c r="AD102" s="24" t="n">
        <f aca="false">IFERROR(AA102/AC102,0)</f>
        <v>0</v>
      </c>
      <c r="AE102" s="25" t="n">
        <f aca="false">K102-Q102-X102</f>
        <v>0</v>
      </c>
      <c r="AF102" s="25" t="n">
        <f aca="false">Q102-AA102</f>
        <v>0</v>
      </c>
      <c r="AG102" s="20"/>
      <c r="AH102" s="26" t="n">
        <f aca="false">IFERROR(AG102/Q102,0)</f>
        <v>0</v>
      </c>
      <c r="AI102" s="27" t="n">
        <v>0</v>
      </c>
      <c r="AJ102" s="26" t="n">
        <f aca="false">IF(AI102&gt;0,AprCoef/SQRT(AI102),0)</f>
        <v>0</v>
      </c>
      <c r="AK102" s="24" t="n">
        <f aca="false">AI102*AJ102/365</f>
        <v>0</v>
      </c>
      <c r="AL102" s="24" t="n">
        <f aca="false">AD102</f>
        <v>0</v>
      </c>
      <c r="AM102" s="24" t="n">
        <f aca="false">AK102-AL102</f>
        <v>0</v>
      </c>
      <c r="AN102" s="28" t="str">
        <f aca="false">IF(A102&gt;=Hip3LaunchDate,"YES","")</f>
        <v/>
      </c>
      <c r="AO102" s="28" t="str">
        <f aca="false">IF(A102&lt;Hip4LaunchDate,"pre-launch","live (zero-fee)")</f>
        <v>pre-launch</v>
      </c>
      <c r="AP102" s="20"/>
      <c r="AQ102" s="20"/>
      <c r="AR102" s="20"/>
    </row>
    <row r="103" customFormat="false" ht="15" hidden="false" customHeight="false" outlineLevel="0" collapsed="false">
      <c r="A103" s="18" t="n">
        <v>45164</v>
      </c>
      <c r="B103" s="19" t="n">
        <v>20062553.83</v>
      </c>
      <c r="C103" s="19" t="n">
        <v>0</v>
      </c>
      <c r="D103" s="20"/>
      <c r="E103" s="21" t="n">
        <f aca="false">B103+C103</f>
        <v>20062553.83</v>
      </c>
      <c r="F103" s="21" t="n">
        <f aca="false">E103+D103</f>
        <v>20062553.83</v>
      </c>
      <c r="G103" s="22" t="n">
        <f aca="false">IFERROR(C103/E103,0)</f>
        <v>0</v>
      </c>
      <c r="H103" s="20"/>
      <c r="I103" s="20"/>
      <c r="J103" s="20"/>
      <c r="K103" s="21" t="n">
        <f aca="false">H103+I103</f>
        <v>0</v>
      </c>
      <c r="L103" s="20"/>
      <c r="M103" s="21" t="n">
        <f aca="false">H103-L103</f>
        <v>0</v>
      </c>
      <c r="N103" s="23" t="n">
        <f aca="false">IFERROR(M103/B103*10000,0)</f>
        <v>0</v>
      </c>
      <c r="O103" s="20"/>
      <c r="P103" s="20"/>
      <c r="Q103" s="21" t="n">
        <f aca="false">O103+P103</f>
        <v>0</v>
      </c>
      <c r="R103" s="22" t="n">
        <f aca="false">IF(A103&lt;HlpChangeDate,HlpSharePre,HlpSharePost)</f>
        <v>0.03</v>
      </c>
      <c r="S103" s="21" t="n">
        <f aca="false">Q103*R103/(1-R103)</f>
        <v>0</v>
      </c>
      <c r="T103" s="20"/>
      <c r="U103" s="21" t="n">
        <f aca="false">S103-T103</f>
        <v>0</v>
      </c>
      <c r="V103" s="21" t="n">
        <f aca="false">Y103-O103*R103/(1-R103)</f>
        <v>0</v>
      </c>
      <c r="W103" s="21" t="n">
        <f aca="false">Z103-P103*R103/(1-R103)</f>
        <v>0</v>
      </c>
      <c r="X103" s="21" t="n">
        <f aca="false">S103+V103+W103</f>
        <v>0</v>
      </c>
      <c r="Y103" s="20"/>
      <c r="Z103" s="20"/>
      <c r="AA103" s="19" t="n">
        <v>0</v>
      </c>
      <c r="AB103" s="20"/>
      <c r="AC103" s="20"/>
      <c r="AD103" s="24" t="n">
        <f aca="false">IFERROR(AA103/AC103,0)</f>
        <v>0</v>
      </c>
      <c r="AE103" s="25" t="n">
        <f aca="false">K103-Q103-X103</f>
        <v>0</v>
      </c>
      <c r="AF103" s="25" t="n">
        <f aca="false">Q103-AA103</f>
        <v>0</v>
      </c>
      <c r="AG103" s="20"/>
      <c r="AH103" s="26" t="n">
        <f aca="false">IFERROR(AG103/Q103,0)</f>
        <v>0</v>
      </c>
      <c r="AI103" s="27" t="n">
        <v>0</v>
      </c>
      <c r="AJ103" s="26" t="n">
        <f aca="false">IF(AI103&gt;0,AprCoef/SQRT(AI103),0)</f>
        <v>0</v>
      </c>
      <c r="AK103" s="24" t="n">
        <f aca="false">AI103*AJ103/365</f>
        <v>0</v>
      </c>
      <c r="AL103" s="24" t="n">
        <f aca="false">AD103</f>
        <v>0</v>
      </c>
      <c r="AM103" s="24" t="n">
        <f aca="false">AK103-AL103</f>
        <v>0</v>
      </c>
      <c r="AN103" s="28" t="str">
        <f aca="false">IF(A103&gt;=Hip3LaunchDate,"YES","")</f>
        <v/>
      </c>
      <c r="AO103" s="28" t="str">
        <f aca="false">IF(A103&lt;Hip4LaunchDate,"pre-launch","live (zero-fee)")</f>
        <v>pre-launch</v>
      </c>
      <c r="AP103" s="20"/>
      <c r="AQ103" s="20"/>
      <c r="AR103" s="20"/>
    </row>
    <row r="104" customFormat="false" ht="15" hidden="false" customHeight="false" outlineLevel="0" collapsed="false">
      <c r="A104" s="18" t="n">
        <v>45165</v>
      </c>
      <c r="B104" s="19" t="n">
        <v>24796036.39</v>
      </c>
      <c r="C104" s="19" t="n">
        <v>0</v>
      </c>
      <c r="D104" s="20"/>
      <c r="E104" s="21" t="n">
        <f aca="false">B104+C104</f>
        <v>24796036.39</v>
      </c>
      <c r="F104" s="21" t="n">
        <f aca="false">E104+D104</f>
        <v>24796036.39</v>
      </c>
      <c r="G104" s="22" t="n">
        <f aca="false">IFERROR(C104/E104,0)</f>
        <v>0</v>
      </c>
      <c r="H104" s="20"/>
      <c r="I104" s="20"/>
      <c r="J104" s="20"/>
      <c r="K104" s="21" t="n">
        <f aca="false">H104+I104</f>
        <v>0</v>
      </c>
      <c r="L104" s="20"/>
      <c r="M104" s="21" t="n">
        <f aca="false">H104-L104</f>
        <v>0</v>
      </c>
      <c r="N104" s="23" t="n">
        <f aca="false">IFERROR(M104/B104*10000,0)</f>
        <v>0</v>
      </c>
      <c r="O104" s="20"/>
      <c r="P104" s="20"/>
      <c r="Q104" s="21" t="n">
        <f aca="false">O104+P104</f>
        <v>0</v>
      </c>
      <c r="R104" s="22" t="n">
        <f aca="false">IF(A104&lt;HlpChangeDate,HlpSharePre,HlpSharePost)</f>
        <v>0.03</v>
      </c>
      <c r="S104" s="21" t="n">
        <f aca="false">Q104*R104/(1-R104)</f>
        <v>0</v>
      </c>
      <c r="T104" s="20"/>
      <c r="U104" s="21" t="n">
        <f aca="false">S104-T104</f>
        <v>0</v>
      </c>
      <c r="V104" s="21" t="n">
        <f aca="false">Y104-O104*R104/(1-R104)</f>
        <v>0</v>
      </c>
      <c r="W104" s="21" t="n">
        <f aca="false">Z104-P104*R104/(1-R104)</f>
        <v>0</v>
      </c>
      <c r="X104" s="21" t="n">
        <f aca="false">S104+V104+W104</f>
        <v>0</v>
      </c>
      <c r="Y104" s="20"/>
      <c r="Z104" s="20"/>
      <c r="AA104" s="19" t="n">
        <v>0</v>
      </c>
      <c r="AB104" s="20"/>
      <c r="AC104" s="20"/>
      <c r="AD104" s="24" t="n">
        <f aca="false">IFERROR(AA104/AC104,0)</f>
        <v>0</v>
      </c>
      <c r="AE104" s="25" t="n">
        <f aca="false">K104-Q104-X104</f>
        <v>0</v>
      </c>
      <c r="AF104" s="25" t="n">
        <f aca="false">Q104-AA104</f>
        <v>0</v>
      </c>
      <c r="AG104" s="20"/>
      <c r="AH104" s="26" t="n">
        <f aca="false">IFERROR(AG104/Q104,0)</f>
        <v>0</v>
      </c>
      <c r="AI104" s="27" t="n">
        <v>0</v>
      </c>
      <c r="AJ104" s="26" t="n">
        <f aca="false">IF(AI104&gt;0,AprCoef/SQRT(AI104),0)</f>
        <v>0</v>
      </c>
      <c r="AK104" s="24" t="n">
        <f aca="false">AI104*AJ104/365</f>
        <v>0</v>
      </c>
      <c r="AL104" s="24" t="n">
        <f aca="false">AD104</f>
        <v>0</v>
      </c>
      <c r="AM104" s="24" t="n">
        <f aca="false">AK104-AL104</f>
        <v>0</v>
      </c>
      <c r="AN104" s="28" t="str">
        <f aca="false">IF(A104&gt;=Hip3LaunchDate,"YES","")</f>
        <v/>
      </c>
      <c r="AO104" s="28" t="str">
        <f aca="false">IF(A104&lt;Hip4LaunchDate,"pre-launch","live (zero-fee)")</f>
        <v>pre-launch</v>
      </c>
      <c r="AP104" s="20"/>
      <c r="AQ104" s="20"/>
      <c r="AR104" s="20"/>
    </row>
    <row r="105" customFormat="false" ht="15" hidden="false" customHeight="false" outlineLevel="0" collapsed="false">
      <c r="A105" s="18" t="n">
        <v>45166</v>
      </c>
      <c r="B105" s="19" t="n">
        <v>38579302.98</v>
      </c>
      <c r="C105" s="19" t="n">
        <v>0</v>
      </c>
      <c r="D105" s="20"/>
      <c r="E105" s="21" t="n">
        <f aca="false">B105+C105</f>
        <v>38579302.98</v>
      </c>
      <c r="F105" s="21" t="n">
        <f aca="false">E105+D105</f>
        <v>38579302.98</v>
      </c>
      <c r="G105" s="22" t="n">
        <f aca="false">IFERROR(C105/E105,0)</f>
        <v>0</v>
      </c>
      <c r="H105" s="20"/>
      <c r="I105" s="20"/>
      <c r="J105" s="20"/>
      <c r="K105" s="21" t="n">
        <f aca="false">H105+I105</f>
        <v>0</v>
      </c>
      <c r="L105" s="20"/>
      <c r="M105" s="21" t="n">
        <f aca="false">H105-L105</f>
        <v>0</v>
      </c>
      <c r="N105" s="23" t="n">
        <f aca="false">IFERROR(M105/B105*10000,0)</f>
        <v>0</v>
      </c>
      <c r="O105" s="20"/>
      <c r="P105" s="20"/>
      <c r="Q105" s="21" t="n">
        <f aca="false">O105+P105</f>
        <v>0</v>
      </c>
      <c r="R105" s="22" t="n">
        <f aca="false">IF(A105&lt;HlpChangeDate,HlpSharePre,HlpSharePost)</f>
        <v>0.03</v>
      </c>
      <c r="S105" s="21" t="n">
        <f aca="false">Q105*R105/(1-R105)</f>
        <v>0</v>
      </c>
      <c r="T105" s="20"/>
      <c r="U105" s="21" t="n">
        <f aca="false">S105-T105</f>
        <v>0</v>
      </c>
      <c r="V105" s="21" t="n">
        <f aca="false">Y105-O105*R105/(1-R105)</f>
        <v>0</v>
      </c>
      <c r="W105" s="21" t="n">
        <f aca="false">Z105-P105*R105/(1-R105)</f>
        <v>0</v>
      </c>
      <c r="X105" s="21" t="n">
        <f aca="false">S105+V105+W105</f>
        <v>0</v>
      </c>
      <c r="Y105" s="20"/>
      <c r="Z105" s="20"/>
      <c r="AA105" s="19" t="n">
        <v>0</v>
      </c>
      <c r="AB105" s="20"/>
      <c r="AC105" s="20"/>
      <c r="AD105" s="24" t="n">
        <f aca="false">IFERROR(AA105/AC105,0)</f>
        <v>0</v>
      </c>
      <c r="AE105" s="25" t="n">
        <f aca="false">K105-Q105-X105</f>
        <v>0</v>
      </c>
      <c r="AF105" s="25" t="n">
        <f aca="false">Q105-AA105</f>
        <v>0</v>
      </c>
      <c r="AG105" s="20"/>
      <c r="AH105" s="26" t="n">
        <f aca="false">IFERROR(AG105/Q105,0)</f>
        <v>0</v>
      </c>
      <c r="AI105" s="27" t="n">
        <v>0</v>
      </c>
      <c r="AJ105" s="26" t="n">
        <f aca="false">IF(AI105&gt;0,AprCoef/SQRT(AI105),0)</f>
        <v>0</v>
      </c>
      <c r="AK105" s="24" t="n">
        <f aca="false">AI105*AJ105/365</f>
        <v>0</v>
      </c>
      <c r="AL105" s="24" t="n">
        <f aca="false">AD105</f>
        <v>0</v>
      </c>
      <c r="AM105" s="24" t="n">
        <f aca="false">AK105-AL105</f>
        <v>0</v>
      </c>
      <c r="AN105" s="28" t="str">
        <f aca="false">IF(A105&gt;=Hip3LaunchDate,"YES","")</f>
        <v/>
      </c>
      <c r="AO105" s="28" t="str">
        <f aca="false">IF(A105&lt;Hip4LaunchDate,"pre-launch","live (zero-fee)")</f>
        <v>pre-launch</v>
      </c>
      <c r="AP105" s="20"/>
      <c r="AQ105" s="20"/>
      <c r="AR105" s="20"/>
    </row>
    <row r="106" customFormat="false" ht="15" hidden="false" customHeight="false" outlineLevel="0" collapsed="false">
      <c r="A106" s="18" t="n">
        <v>45167</v>
      </c>
      <c r="B106" s="19" t="n">
        <v>60277200.66</v>
      </c>
      <c r="C106" s="19" t="n">
        <v>0</v>
      </c>
      <c r="D106" s="20"/>
      <c r="E106" s="21" t="n">
        <f aca="false">B106+C106</f>
        <v>60277200.66</v>
      </c>
      <c r="F106" s="21" t="n">
        <f aca="false">E106+D106</f>
        <v>60277200.66</v>
      </c>
      <c r="G106" s="22" t="n">
        <f aca="false">IFERROR(C106/E106,0)</f>
        <v>0</v>
      </c>
      <c r="H106" s="20"/>
      <c r="I106" s="20"/>
      <c r="J106" s="20"/>
      <c r="K106" s="21" t="n">
        <f aca="false">H106+I106</f>
        <v>0</v>
      </c>
      <c r="L106" s="20"/>
      <c r="M106" s="21" t="n">
        <f aca="false">H106-L106</f>
        <v>0</v>
      </c>
      <c r="N106" s="23" t="n">
        <f aca="false">IFERROR(M106/B106*10000,0)</f>
        <v>0</v>
      </c>
      <c r="O106" s="20"/>
      <c r="P106" s="20"/>
      <c r="Q106" s="21" t="n">
        <f aca="false">O106+P106</f>
        <v>0</v>
      </c>
      <c r="R106" s="22" t="n">
        <f aca="false">IF(A106&lt;HlpChangeDate,HlpSharePre,HlpSharePost)</f>
        <v>0.03</v>
      </c>
      <c r="S106" s="21" t="n">
        <f aca="false">Q106*R106/(1-R106)</f>
        <v>0</v>
      </c>
      <c r="T106" s="20"/>
      <c r="U106" s="21" t="n">
        <f aca="false">S106-T106</f>
        <v>0</v>
      </c>
      <c r="V106" s="21" t="n">
        <f aca="false">Y106-O106*R106/(1-R106)</f>
        <v>0</v>
      </c>
      <c r="W106" s="21" t="n">
        <f aca="false">Z106-P106*R106/(1-R106)</f>
        <v>0</v>
      </c>
      <c r="X106" s="21" t="n">
        <f aca="false">S106+V106+W106</f>
        <v>0</v>
      </c>
      <c r="Y106" s="20"/>
      <c r="Z106" s="20"/>
      <c r="AA106" s="19" t="n">
        <v>0</v>
      </c>
      <c r="AB106" s="20"/>
      <c r="AC106" s="20"/>
      <c r="AD106" s="24" t="n">
        <f aca="false">IFERROR(AA106/AC106,0)</f>
        <v>0</v>
      </c>
      <c r="AE106" s="25" t="n">
        <f aca="false">K106-Q106-X106</f>
        <v>0</v>
      </c>
      <c r="AF106" s="25" t="n">
        <f aca="false">Q106-AA106</f>
        <v>0</v>
      </c>
      <c r="AG106" s="20"/>
      <c r="AH106" s="26" t="n">
        <f aca="false">IFERROR(AG106/Q106,0)</f>
        <v>0</v>
      </c>
      <c r="AI106" s="27" t="n">
        <v>0</v>
      </c>
      <c r="AJ106" s="26" t="n">
        <f aca="false">IF(AI106&gt;0,AprCoef/SQRT(AI106),0)</f>
        <v>0</v>
      </c>
      <c r="AK106" s="24" t="n">
        <f aca="false">AI106*AJ106/365</f>
        <v>0</v>
      </c>
      <c r="AL106" s="24" t="n">
        <f aca="false">AD106</f>
        <v>0</v>
      </c>
      <c r="AM106" s="24" t="n">
        <f aca="false">AK106-AL106</f>
        <v>0</v>
      </c>
      <c r="AN106" s="28" t="str">
        <f aca="false">IF(A106&gt;=Hip3LaunchDate,"YES","")</f>
        <v/>
      </c>
      <c r="AO106" s="28" t="str">
        <f aca="false">IF(A106&lt;Hip4LaunchDate,"pre-launch","live (zero-fee)")</f>
        <v>pre-launch</v>
      </c>
      <c r="AP106" s="20"/>
      <c r="AQ106" s="20"/>
      <c r="AR106" s="20"/>
    </row>
    <row r="107" customFormat="false" ht="15" hidden="false" customHeight="false" outlineLevel="0" collapsed="false">
      <c r="A107" s="18" t="n">
        <v>45168</v>
      </c>
      <c r="B107" s="19" t="n">
        <v>44674112.02</v>
      </c>
      <c r="C107" s="19" t="n">
        <v>0</v>
      </c>
      <c r="D107" s="20"/>
      <c r="E107" s="21" t="n">
        <f aca="false">B107+C107</f>
        <v>44674112.02</v>
      </c>
      <c r="F107" s="21" t="n">
        <f aca="false">E107+D107</f>
        <v>44674112.02</v>
      </c>
      <c r="G107" s="22" t="n">
        <f aca="false">IFERROR(C107/E107,0)</f>
        <v>0</v>
      </c>
      <c r="H107" s="20"/>
      <c r="I107" s="20"/>
      <c r="J107" s="20"/>
      <c r="K107" s="21" t="n">
        <f aca="false">H107+I107</f>
        <v>0</v>
      </c>
      <c r="L107" s="20"/>
      <c r="M107" s="21" t="n">
        <f aca="false">H107-L107</f>
        <v>0</v>
      </c>
      <c r="N107" s="23" t="n">
        <f aca="false">IFERROR(M107/B107*10000,0)</f>
        <v>0</v>
      </c>
      <c r="O107" s="20"/>
      <c r="P107" s="20"/>
      <c r="Q107" s="21" t="n">
        <f aca="false">O107+P107</f>
        <v>0</v>
      </c>
      <c r="R107" s="22" t="n">
        <f aca="false">IF(A107&lt;HlpChangeDate,HlpSharePre,HlpSharePost)</f>
        <v>0.03</v>
      </c>
      <c r="S107" s="21" t="n">
        <f aca="false">Q107*R107/(1-R107)</f>
        <v>0</v>
      </c>
      <c r="T107" s="20"/>
      <c r="U107" s="21" t="n">
        <f aca="false">S107-T107</f>
        <v>0</v>
      </c>
      <c r="V107" s="21" t="n">
        <f aca="false">Y107-O107*R107/(1-R107)</f>
        <v>0</v>
      </c>
      <c r="W107" s="21" t="n">
        <f aca="false">Z107-P107*R107/(1-R107)</f>
        <v>0</v>
      </c>
      <c r="X107" s="21" t="n">
        <f aca="false">S107+V107+W107</f>
        <v>0</v>
      </c>
      <c r="Y107" s="20"/>
      <c r="Z107" s="20"/>
      <c r="AA107" s="19" t="n">
        <v>0</v>
      </c>
      <c r="AB107" s="20"/>
      <c r="AC107" s="20"/>
      <c r="AD107" s="24" t="n">
        <f aca="false">IFERROR(AA107/AC107,0)</f>
        <v>0</v>
      </c>
      <c r="AE107" s="25" t="n">
        <f aca="false">K107-Q107-X107</f>
        <v>0</v>
      </c>
      <c r="AF107" s="25" t="n">
        <f aca="false">Q107-AA107</f>
        <v>0</v>
      </c>
      <c r="AG107" s="20"/>
      <c r="AH107" s="26" t="n">
        <f aca="false">IFERROR(AG107/Q107,0)</f>
        <v>0</v>
      </c>
      <c r="AI107" s="27" t="n">
        <v>0</v>
      </c>
      <c r="AJ107" s="26" t="n">
        <f aca="false">IF(AI107&gt;0,AprCoef/SQRT(AI107),0)</f>
        <v>0</v>
      </c>
      <c r="AK107" s="24" t="n">
        <f aca="false">AI107*AJ107/365</f>
        <v>0</v>
      </c>
      <c r="AL107" s="24" t="n">
        <f aca="false">AD107</f>
        <v>0</v>
      </c>
      <c r="AM107" s="24" t="n">
        <f aca="false">AK107-AL107</f>
        <v>0</v>
      </c>
      <c r="AN107" s="28" t="str">
        <f aca="false">IF(A107&gt;=Hip3LaunchDate,"YES","")</f>
        <v/>
      </c>
      <c r="AO107" s="28" t="str">
        <f aca="false">IF(A107&lt;Hip4LaunchDate,"pre-launch","live (zero-fee)")</f>
        <v>pre-launch</v>
      </c>
      <c r="AP107" s="20"/>
      <c r="AQ107" s="20"/>
      <c r="AR107" s="20"/>
    </row>
    <row r="108" customFormat="false" ht="15" hidden="false" customHeight="false" outlineLevel="0" collapsed="false">
      <c r="A108" s="18" t="n">
        <v>45169</v>
      </c>
      <c r="B108" s="19" t="n">
        <v>61708715.35</v>
      </c>
      <c r="C108" s="19" t="n">
        <v>0</v>
      </c>
      <c r="D108" s="20"/>
      <c r="E108" s="21" t="n">
        <f aca="false">B108+C108</f>
        <v>61708715.35</v>
      </c>
      <c r="F108" s="21" t="n">
        <f aca="false">E108+D108</f>
        <v>61708715.35</v>
      </c>
      <c r="G108" s="22" t="n">
        <f aca="false">IFERROR(C108/E108,0)</f>
        <v>0</v>
      </c>
      <c r="H108" s="20"/>
      <c r="I108" s="20"/>
      <c r="J108" s="20"/>
      <c r="K108" s="21" t="n">
        <f aca="false">H108+I108</f>
        <v>0</v>
      </c>
      <c r="L108" s="20"/>
      <c r="M108" s="21" t="n">
        <f aca="false">H108-L108</f>
        <v>0</v>
      </c>
      <c r="N108" s="23" t="n">
        <f aca="false">IFERROR(M108/B108*10000,0)</f>
        <v>0</v>
      </c>
      <c r="O108" s="20"/>
      <c r="P108" s="20"/>
      <c r="Q108" s="21" t="n">
        <f aca="false">O108+P108</f>
        <v>0</v>
      </c>
      <c r="R108" s="22" t="n">
        <f aca="false">IF(A108&lt;HlpChangeDate,HlpSharePre,HlpSharePost)</f>
        <v>0.03</v>
      </c>
      <c r="S108" s="21" t="n">
        <f aca="false">Q108*R108/(1-R108)</f>
        <v>0</v>
      </c>
      <c r="T108" s="20"/>
      <c r="U108" s="21" t="n">
        <f aca="false">S108-T108</f>
        <v>0</v>
      </c>
      <c r="V108" s="21" t="n">
        <f aca="false">Y108-O108*R108/(1-R108)</f>
        <v>0</v>
      </c>
      <c r="W108" s="21" t="n">
        <f aca="false">Z108-P108*R108/(1-R108)</f>
        <v>0</v>
      </c>
      <c r="X108" s="21" t="n">
        <f aca="false">S108+V108+W108</f>
        <v>0</v>
      </c>
      <c r="Y108" s="20"/>
      <c r="Z108" s="20"/>
      <c r="AA108" s="19" t="n">
        <v>0</v>
      </c>
      <c r="AB108" s="20"/>
      <c r="AC108" s="20"/>
      <c r="AD108" s="24" t="n">
        <f aca="false">IFERROR(AA108/AC108,0)</f>
        <v>0</v>
      </c>
      <c r="AE108" s="25" t="n">
        <f aca="false">K108-Q108-X108</f>
        <v>0</v>
      </c>
      <c r="AF108" s="25" t="n">
        <f aca="false">Q108-AA108</f>
        <v>0</v>
      </c>
      <c r="AG108" s="20"/>
      <c r="AH108" s="26" t="n">
        <f aca="false">IFERROR(AG108/Q108,0)</f>
        <v>0</v>
      </c>
      <c r="AI108" s="27" t="n">
        <v>0</v>
      </c>
      <c r="AJ108" s="26" t="n">
        <f aca="false">IF(AI108&gt;0,AprCoef/SQRT(AI108),0)</f>
        <v>0</v>
      </c>
      <c r="AK108" s="24" t="n">
        <f aca="false">AI108*AJ108/365</f>
        <v>0</v>
      </c>
      <c r="AL108" s="24" t="n">
        <f aca="false">AD108</f>
        <v>0</v>
      </c>
      <c r="AM108" s="24" t="n">
        <f aca="false">AK108-AL108</f>
        <v>0</v>
      </c>
      <c r="AN108" s="28" t="str">
        <f aca="false">IF(A108&gt;=Hip3LaunchDate,"YES","")</f>
        <v/>
      </c>
      <c r="AO108" s="28" t="str">
        <f aca="false">IF(A108&lt;Hip4LaunchDate,"pre-launch","live (zero-fee)")</f>
        <v>pre-launch</v>
      </c>
      <c r="AP108" s="20"/>
      <c r="AQ108" s="20"/>
      <c r="AR108" s="20"/>
    </row>
    <row r="109" customFormat="false" ht="15" hidden="false" customHeight="false" outlineLevel="0" collapsed="false">
      <c r="A109" s="18" t="n">
        <v>45170</v>
      </c>
      <c r="B109" s="19" t="n">
        <v>61375999.13</v>
      </c>
      <c r="C109" s="19" t="n">
        <v>0</v>
      </c>
      <c r="D109" s="20"/>
      <c r="E109" s="21" t="n">
        <f aca="false">B109+C109</f>
        <v>61375999.13</v>
      </c>
      <c r="F109" s="21" t="n">
        <f aca="false">E109+D109</f>
        <v>61375999.13</v>
      </c>
      <c r="G109" s="22" t="n">
        <f aca="false">IFERROR(C109/E109,0)</f>
        <v>0</v>
      </c>
      <c r="H109" s="20"/>
      <c r="I109" s="20"/>
      <c r="J109" s="20"/>
      <c r="K109" s="21" t="n">
        <f aca="false">H109+I109</f>
        <v>0</v>
      </c>
      <c r="L109" s="20"/>
      <c r="M109" s="21" t="n">
        <f aca="false">H109-L109</f>
        <v>0</v>
      </c>
      <c r="N109" s="23" t="n">
        <f aca="false">IFERROR(M109/B109*10000,0)</f>
        <v>0</v>
      </c>
      <c r="O109" s="20"/>
      <c r="P109" s="20"/>
      <c r="Q109" s="21" t="n">
        <f aca="false">O109+P109</f>
        <v>0</v>
      </c>
      <c r="R109" s="22" t="n">
        <f aca="false">IF(A109&lt;HlpChangeDate,HlpSharePre,HlpSharePost)</f>
        <v>0.03</v>
      </c>
      <c r="S109" s="21" t="n">
        <f aca="false">Q109*R109/(1-R109)</f>
        <v>0</v>
      </c>
      <c r="T109" s="20"/>
      <c r="U109" s="21" t="n">
        <f aca="false">S109-T109</f>
        <v>0</v>
      </c>
      <c r="V109" s="21" t="n">
        <f aca="false">Y109-O109*R109/(1-R109)</f>
        <v>0</v>
      </c>
      <c r="W109" s="21" t="n">
        <f aca="false">Z109-P109*R109/(1-R109)</f>
        <v>0</v>
      </c>
      <c r="X109" s="21" t="n">
        <f aca="false">S109+V109+W109</f>
        <v>0</v>
      </c>
      <c r="Y109" s="20"/>
      <c r="Z109" s="20"/>
      <c r="AA109" s="19" t="n">
        <v>0</v>
      </c>
      <c r="AB109" s="20"/>
      <c r="AC109" s="20"/>
      <c r="AD109" s="24" t="n">
        <f aca="false">IFERROR(AA109/AC109,0)</f>
        <v>0</v>
      </c>
      <c r="AE109" s="25" t="n">
        <f aca="false">K109-Q109-X109</f>
        <v>0</v>
      </c>
      <c r="AF109" s="25" t="n">
        <f aca="false">Q109-AA109</f>
        <v>0</v>
      </c>
      <c r="AG109" s="20"/>
      <c r="AH109" s="26" t="n">
        <f aca="false">IFERROR(AG109/Q109,0)</f>
        <v>0</v>
      </c>
      <c r="AI109" s="27" t="n">
        <v>0</v>
      </c>
      <c r="AJ109" s="26" t="n">
        <f aca="false">IF(AI109&gt;0,AprCoef/SQRT(AI109),0)</f>
        <v>0</v>
      </c>
      <c r="AK109" s="24" t="n">
        <f aca="false">AI109*AJ109/365</f>
        <v>0</v>
      </c>
      <c r="AL109" s="24" t="n">
        <f aca="false">AD109</f>
        <v>0</v>
      </c>
      <c r="AM109" s="24" t="n">
        <f aca="false">AK109-AL109</f>
        <v>0</v>
      </c>
      <c r="AN109" s="28" t="str">
        <f aca="false">IF(A109&gt;=Hip3LaunchDate,"YES","")</f>
        <v/>
      </c>
      <c r="AO109" s="28" t="str">
        <f aca="false">IF(A109&lt;Hip4LaunchDate,"pre-launch","live (zero-fee)")</f>
        <v>pre-launch</v>
      </c>
      <c r="AP109" s="20"/>
      <c r="AQ109" s="20"/>
      <c r="AR109" s="20"/>
    </row>
    <row r="110" customFormat="false" ht="15" hidden="false" customHeight="false" outlineLevel="0" collapsed="false">
      <c r="A110" s="18" t="n">
        <v>45171</v>
      </c>
      <c r="B110" s="19" t="n">
        <v>73777072.44</v>
      </c>
      <c r="C110" s="19" t="n">
        <v>0</v>
      </c>
      <c r="D110" s="20"/>
      <c r="E110" s="21" t="n">
        <f aca="false">B110+C110</f>
        <v>73777072.44</v>
      </c>
      <c r="F110" s="21" t="n">
        <f aca="false">E110+D110</f>
        <v>73777072.44</v>
      </c>
      <c r="G110" s="22" t="n">
        <f aca="false">IFERROR(C110/E110,0)</f>
        <v>0</v>
      </c>
      <c r="H110" s="20"/>
      <c r="I110" s="20"/>
      <c r="J110" s="20"/>
      <c r="K110" s="21" t="n">
        <f aca="false">H110+I110</f>
        <v>0</v>
      </c>
      <c r="L110" s="20"/>
      <c r="M110" s="21" t="n">
        <f aca="false">H110-L110</f>
        <v>0</v>
      </c>
      <c r="N110" s="23" t="n">
        <f aca="false">IFERROR(M110/B110*10000,0)</f>
        <v>0</v>
      </c>
      <c r="O110" s="20"/>
      <c r="P110" s="20"/>
      <c r="Q110" s="21" t="n">
        <f aca="false">O110+P110</f>
        <v>0</v>
      </c>
      <c r="R110" s="22" t="n">
        <f aca="false">IF(A110&lt;HlpChangeDate,HlpSharePre,HlpSharePost)</f>
        <v>0.03</v>
      </c>
      <c r="S110" s="21" t="n">
        <f aca="false">Q110*R110/(1-R110)</f>
        <v>0</v>
      </c>
      <c r="T110" s="20"/>
      <c r="U110" s="21" t="n">
        <f aca="false">S110-T110</f>
        <v>0</v>
      </c>
      <c r="V110" s="21" t="n">
        <f aca="false">Y110-O110*R110/(1-R110)</f>
        <v>0</v>
      </c>
      <c r="W110" s="21" t="n">
        <f aca="false">Z110-P110*R110/(1-R110)</f>
        <v>0</v>
      </c>
      <c r="X110" s="21" t="n">
        <f aca="false">S110+V110+W110</f>
        <v>0</v>
      </c>
      <c r="Y110" s="20"/>
      <c r="Z110" s="20"/>
      <c r="AA110" s="19" t="n">
        <v>0</v>
      </c>
      <c r="AB110" s="20"/>
      <c r="AC110" s="20"/>
      <c r="AD110" s="24" t="n">
        <f aca="false">IFERROR(AA110/AC110,0)</f>
        <v>0</v>
      </c>
      <c r="AE110" s="25" t="n">
        <f aca="false">K110-Q110-X110</f>
        <v>0</v>
      </c>
      <c r="AF110" s="25" t="n">
        <f aca="false">Q110-AA110</f>
        <v>0</v>
      </c>
      <c r="AG110" s="20"/>
      <c r="AH110" s="26" t="n">
        <f aca="false">IFERROR(AG110/Q110,0)</f>
        <v>0</v>
      </c>
      <c r="AI110" s="27" t="n">
        <v>0</v>
      </c>
      <c r="AJ110" s="26" t="n">
        <f aca="false">IF(AI110&gt;0,AprCoef/SQRT(AI110),0)</f>
        <v>0</v>
      </c>
      <c r="AK110" s="24" t="n">
        <f aca="false">AI110*AJ110/365</f>
        <v>0</v>
      </c>
      <c r="AL110" s="24" t="n">
        <f aca="false">AD110</f>
        <v>0</v>
      </c>
      <c r="AM110" s="24" t="n">
        <f aca="false">AK110-AL110</f>
        <v>0</v>
      </c>
      <c r="AN110" s="28" t="str">
        <f aca="false">IF(A110&gt;=Hip3LaunchDate,"YES","")</f>
        <v/>
      </c>
      <c r="AO110" s="28" t="str">
        <f aca="false">IF(A110&lt;Hip4LaunchDate,"pre-launch","live (zero-fee)")</f>
        <v>pre-launch</v>
      </c>
      <c r="AP110" s="20"/>
      <c r="AQ110" s="20"/>
      <c r="AR110" s="20"/>
    </row>
    <row r="111" customFormat="false" ht="15" hidden="false" customHeight="false" outlineLevel="0" collapsed="false">
      <c r="A111" s="18" t="n">
        <v>45172</v>
      </c>
      <c r="B111" s="19" t="n">
        <v>38801975.2</v>
      </c>
      <c r="C111" s="19" t="n">
        <v>0</v>
      </c>
      <c r="D111" s="20"/>
      <c r="E111" s="21" t="n">
        <f aca="false">B111+C111</f>
        <v>38801975.2</v>
      </c>
      <c r="F111" s="21" t="n">
        <f aca="false">E111+D111</f>
        <v>38801975.2</v>
      </c>
      <c r="G111" s="22" t="n">
        <f aca="false">IFERROR(C111/E111,0)</f>
        <v>0</v>
      </c>
      <c r="H111" s="20"/>
      <c r="I111" s="20"/>
      <c r="J111" s="20"/>
      <c r="K111" s="21" t="n">
        <f aca="false">H111+I111</f>
        <v>0</v>
      </c>
      <c r="L111" s="20"/>
      <c r="M111" s="21" t="n">
        <f aca="false">H111-L111</f>
        <v>0</v>
      </c>
      <c r="N111" s="23" t="n">
        <f aca="false">IFERROR(M111/B111*10000,0)</f>
        <v>0</v>
      </c>
      <c r="O111" s="20"/>
      <c r="P111" s="20"/>
      <c r="Q111" s="21" t="n">
        <f aca="false">O111+P111</f>
        <v>0</v>
      </c>
      <c r="R111" s="22" t="n">
        <f aca="false">IF(A111&lt;HlpChangeDate,HlpSharePre,HlpSharePost)</f>
        <v>0.03</v>
      </c>
      <c r="S111" s="21" t="n">
        <f aca="false">Q111*R111/(1-R111)</f>
        <v>0</v>
      </c>
      <c r="T111" s="20"/>
      <c r="U111" s="21" t="n">
        <f aca="false">S111-T111</f>
        <v>0</v>
      </c>
      <c r="V111" s="21" t="n">
        <f aca="false">Y111-O111*R111/(1-R111)</f>
        <v>0</v>
      </c>
      <c r="W111" s="21" t="n">
        <f aca="false">Z111-P111*R111/(1-R111)</f>
        <v>0</v>
      </c>
      <c r="X111" s="21" t="n">
        <f aca="false">S111+V111+W111</f>
        <v>0</v>
      </c>
      <c r="Y111" s="20"/>
      <c r="Z111" s="20"/>
      <c r="AA111" s="19" t="n">
        <v>0</v>
      </c>
      <c r="AB111" s="20"/>
      <c r="AC111" s="20"/>
      <c r="AD111" s="24" t="n">
        <f aca="false">IFERROR(AA111/AC111,0)</f>
        <v>0</v>
      </c>
      <c r="AE111" s="25" t="n">
        <f aca="false">K111-Q111-X111</f>
        <v>0</v>
      </c>
      <c r="AF111" s="25" t="n">
        <f aca="false">Q111-AA111</f>
        <v>0</v>
      </c>
      <c r="AG111" s="20"/>
      <c r="AH111" s="26" t="n">
        <f aca="false">IFERROR(AG111/Q111,0)</f>
        <v>0</v>
      </c>
      <c r="AI111" s="27" t="n">
        <v>0</v>
      </c>
      <c r="AJ111" s="26" t="n">
        <f aca="false">IF(AI111&gt;0,AprCoef/SQRT(AI111),0)</f>
        <v>0</v>
      </c>
      <c r="AK111" s="24" t="n">
        <f aca="false">AI111*AJ111/365</f>
        <v>0</v>
      </c>
      <c r="AL111" s="24" t="n">
        <f aca="false">AD111</f>
        <v>0</v>
      </c>
      <c r="AM111" s="24" t="n">
        <f aca="false">AK111-AL111</f>
        <v>0</v>
      </c>
      <c r="AN111" s="28" t="str">
        <f aca="false">IF(A111&gt;=Hip3LaunchDate,"YES","")</f>
        <v/>
      </c>
      <c r="AO111" s="28" t="str">
        <f aca="false">IF(A111&lt;Hip4LaunchDate,"pre-launch","live (zero-fee)")</f>
        <v>pre-launch</v>
      </c>
      <c r="AP111" s="20"/>
      <c r="AQ111" s="20"/>
      <c r="AR111" s="20"/>
    </row>
    <row r="112" customFormat="false" ht="15" hidden="false" customHeight="false" outlineLevel="0" collapsed="false">
      <c r="A112" s="18" t="n">
        <v>45173</v>
      </c>
      <c r="B112" s="19" t="n">
        <v>60382613.3</v>
      </c>
      <c r="C112" s="19" t="n">
        <v>0</v>
      </c>
      <c r="D112" s="20"/>
      <c r="E112" s="21" t="n">
        <f aca="false">B112+C112</f>
        <v>60382613.3</v>
      </c>
      <c r="F112" s="21" t="n">
        <f aca="false">E112+D112</f>
        <v>60382613.3</v>
      </c>
      <c r="G112" s="22" t="n">
        <f aca="false">IFERROR(C112/E112,0)</f>
        <v>0</v>
      </c>
      <c r="H112" s="20"/>
      <c r="I112" s="20"/>
      <c r="J112" s="20"/>
      <c r="K112" s="21" t="n">
        <f aca="false">H112+I112</f>
        <v>0</v>
      </c>
      <c r="L112" s="20"/>
      <c r="M112" s="21" t="n">
        <f aca="false">H112-L112</f>
        <v>0</v>
      </c>
      <c r="N112" s="23" t="n">
        <f aca="false">IFERROR(M112/B112*10000,0)</f>
        <v>0</v>
      </c>
      <c r="O112" s="20"/>
      <c r="P112" s="20"/>
      <c r="Q112" s="21" t="n">
        <f aca="false">O112+P112</f>
        <v>0</v>
      </c>
      <c r="R112" s="22" t="n">
        <f aca="false">IF(A112&lt;HlpChangeDate,HlpSharePre,HlpSharePost)</f>
        <v>0.03</v>
      </c>
      <c r="S112" s="21" t="n">
        <f aca="false">Q112*R112/(1-R112)</f>
        <v>0</v>
      </c>
      <c r="T112" s="20"/>
      <c r="U112" s="21" t="n">
        <f aca="false">S112-T112</f>
        <v>0</v>
      </c>
      <c r="V112" s="21" t="n">
        <f aca="false">Y112-O112*R112/(1-R112)</f>
        <v>0</v>
      </c>
      <c r="W112" s="21" t="n">
        <f aca="false">Z112-P112*R112/(1-R112)</f>
        <v>0</v>
      </c>
      <c r="X112" s="21" t="n">
        <f aca="false">S112+V112+W112</f>
        <v>0</v>
      </c>
      <c r="Y112" s="20"/>
      <c r="Z112" s="20"/>
      <c r="AA112" s="19" t="n">
        <v>0</v>
      </c>
      <c r="AB112" s="20"/>
      <c r="AC112" s="20"/>
      <c r="AD112" s="24" t="n">
        <f aca="false">IFERROR(AA112/AC112,0)</f>
        <v>0</v>
      </c>
      <c r="AE112" s="25" t="n">
        <f aca="false">K112-Q112-X112</f>
        <v>0</v>
      </c>
      <c r="AF112" s="25" t="n">
        <f aca="false">Q112-AA112</f>
        <v>0</v>
      </c>
      <c r="AG112" s="20"/>
      <c r="AH112" s="26" t="n">
        <f aca="false">IFERROR(AG112/Q112,0)</f>
        <v>0</v>
      </c>
      <c r="AI112" s="27" t="n">
        <v>0</v>
      </c>
      <c r="AJ112" s="26" t="n">
        <f aca="false">IF(AI112&gt;0,AprCoef/SQRT(AI112),0)</f>
        <v>0</v>
      </c>
      <c r="AK112" s="24" t="n">
        <f aca="false">AI112*AJ112/365</f>
        <v>0</v>
      </c>
      <c r="AL112" s="24" t="n">
        <f aca="false">AD112</f>
        <v>0</v>
      </c>
      <c r="AM112" s="24" t="n">
        <f aca="false">AK112-AL112</f>
        <v>0</v>
      </c>
      <c r="AN112" s="28" t="str">
        <f aca="false">IF(A112&gt;=Hip3LaunchDate,"YES","")</f>
        <v/>
      </c>
      <c r="AO112" s="28" t="str">
        <f aca="false">IF(A112&lt;Hip4LaunchDate,"pre-launch","live (zero-fee)")</f>
        <v>pre-launch</v>
      </c>
      <c r="AP112" s="20"/>
      <c r="AQ112" s="20"/>
      <c r="AR112" s="20"/>
    </row>
    <row r="113" customFormat="false" ht="15" hidden="false" customHeight="false" outlineLevel="0" collapsed="false">
      <c r="A113" s="18" t="n">
        <v>45174</v>
      </c>
      <c r="B113" s="19" t="n">
        <v>62234103.71</v>
      </c>
      <c r="C113" s="19" t="n">
        <v>0</v>
      </c>
      <c r="D113" s="20"/>
      <c r="E113" s="21" t="n">
        <f aca="false">B113+C113</f>
        <v>62234103.71</v>
      </c>
      <c r="F113" s="21" t="n">
        <f aca="false">E113+D113</f>
        <v>62234103.71</v>
      </c>
      <c r="G113" s="22" t="n">
        <f aca="false">IFERROR(C113/E113,0)</f>
        <v>0</v>
      </c>
      <c r="H113" s="20"/>
      <c r="I113" s="20"/>
      <c r="J113" s="20"/>
      <c r="K113" s="21" t="n">
        <f aca="false">H113+I113</f>
        <v>0</v>
      </c>
      <c r="L113" s="20"/>
      <c r="M113" s="21" t="n">
        <f aca="false">H113-L113</f>
        <v>0</v>
      </c>
      <c r="N113" s="23" t="n">
        <f aca="false">IFERROR(M113/B113*10000,0)</f>
        <v>0</v>
      </c>
      <c r="O113" s="20"/>
      <c r="P113" s="20"/>
      <c r="Q113" s="21" t="n">
        <f aca="false">O113+P113</f>
        <v>0</v>
      </c>
      <c r="R113" s="22" t="n">
        <f aca="false">IF(A113&lt;HlpChangeDate,HlpSharePre,HlpSharePost)</f>
        <v>0.03</v>
      </c>
      <c r="S113" s="21" t="n">
        <f aca="false">Q113*R113/(1-R113)</f>
        <v>0</v>
      </c>
      <c r="T113" s="20"/>
      <c r="U113" s="21" t="n">
        <f aca="false">S113-T113</f>
        <v>0</v>
      </c>
      <c r="V113" s="21" t="n">
        <f aca="false">Y113-O113*R113/(1-R113)</f>
        <v>0</v>
      </c>
      <c r="W113" s="21" t="n">
        <f aca="false">Z113-P113*R113/(1-R113)</f>
        <v>0</v>
      </c>
      <c r="X113" s="21" t="n">
        <f aca="false">S113+V113+W113</f>
        <v>0</v>
      </c>
      <c r="Y113" s="20"/>
      <c r="Z113" s="20"/>
      <c r="AA113" s="19" t="n">
        <v>0</v>
      </c>
      <c r="AB113" s="20"/>
      <c r="AC113" s="20"/>
      <c r="AD113" s="24" t="n">
        <f aca="false">IFERROR(AA113/AC113,0)</f>
        <v>0</v>
      </c>
      <c r="AE113" s="25" t="n">
        <f aca="false">K113-Q113-X113</f>
        <v>0</v>
      </c>
      <c r="AF113" s="25" t="n">
        <f aca="false">Q113-AA113</f>
        <v>0</v>
      </c>
      <c r="AG113" s="20"/>
      <c r="AH113" s="26" t="n">
        <f aca="false">IFERROR(AG113/Q113,0)</f>
        <v>0</v>
      </c>
      <c r="AI113" s="27" t="n">
        <v>0</v>
      </c>
      <c r="AJ113" s="26" t="n">
        <f aca="false">IF(AI113&gt;0,AprCoef/SQRT(AI113),0)</f>
        <v>0</v>
      </c>
      <c r="AK113" s="24" t="n">
        <f aca="false">AI113*AJ113/365</f>
        <v>0</v>
      </c>
      <c r="AL113" s="24" t="n">
        <f aca="false">AD113</f>
        <v>0</v>
      </c>
      <c r="AM113" s="24" t="n">
        <f aca="false">AK113-AL113</f>
        <v>0</v>
      </c>
      <c r="AN113" s="28" t="str">
        <f aca="false">IF(A113&gt;=Hip3LaunchDate,"YES","")</f>
        <v/>
      </c>
      <c r="AO113" s="28" t="str">
        <f aca="false">IF(A113&lt;Hip4LaunchDate,"pre-launch","live (zero-fee)")</f>
        <v>pre-launch</v>
      </c>
      <c r="AP113" s="20"/>
      <c r="AQ113" s="20"/>
      <c r="AR113" s="20"/>
    </row>
    <row r="114" customFormat="false" ht="15" hidden="false" customHeight="false" outlineLevel="0" collapsed="false">
      <c r="A114" s="18" t="n">
        <v>45175</v>
      </c>
      <c r="B114" s="19" t="n">
        <v>56969709.28</v>
      </c>
      <c r="C114" s="19" t="n">
        <v>0</v>
      </c>
      <c r="D114" s="20"/>
      <c r="E114" s="21" t="n">
        <f aca="false">B114+C114</f>
        <v>56969709.28</v>
      </c>
      <c r="F114" s="21" t="n">
        <f aca="false">E114+D114</f>
        <v>56969709.28</v>
      </c>
      <c r="G114" s="22" t="n">
        <f aca="false">IFERROR(C114/E114,0)</f>
        <v>0</v>
      </c>
      <c r="H114" s="20"/>
      <c r="I114" s="20"/>
      <c r="J114" s="20"/>
      <c r="K114" s="21" t="n">
        <f aca="false">H114+I114</f>
        <v>0</v>
      </c>
      <c r="L114" s="20"/>
      <c r="M114" s="21" t="n">
        <f aca="false">H114-L114</f>
        <v>0</v>
      </c>
      <c r="N114" s="23" t="n">
        <f aca="false">IFERROR(M114/B114*10000,0)</f>
        <v>0</v>
      </c>
      <c r="O114" s="20"/>
      <c r="P114" s="20"/>
      <c r="Q114" s="21" t="n">
        <f aca="false">O114+P114</f>
        <v>0</v>
      </c>
      <c r="R114" s="22" t="n">
        <f aca="false">IF(A114&lt;HlpChangeDate,HlpSharePre,HlpSharePost)</f>
        <v>0.03</v>
      </c>
      <c r="S114" s="21" t="n">
        <f aca="false">Q114*R114/(1-R114)</f>
        <v>0</v>
      </c>
      <c r="T114" s="20"/>
      <c r="U114" s="21" t="n">
        <f aca="false">S114-T114</f>
        <v>0</v>
      </c>
      <c r="V114" s="21" t="n">
        <f aca="false">Y114-O114*R114/(1-R114)</f>
        <v>0</v>
      </c>
      <c r="W114" s="21" t="n">
        <f aca="false">Z114-P114*R114/(1-R114)</f>
        <v>0</v>
      </c>
      <c r="X114" s="21" t="n">
        <f aca="false">S114+V114+W114</f>
        <v>0</v>
      </c>
      <c r="Y114" s="20"/>
      <c r="Z114" s="20"/>
      <c r="AA114" s="19" t="n">
        <v>0</v>
      </c>
      <c r="AB114" s="20"/>
      <c r="AC114" s="20"/>
      <c r="AD114" s="24" t="n">
        <f aca="false">IFERROR(AA114/AC114,0)</f>
        <v>0</v>
      </c>
      <c r="AE114" s="25" t="n">
        <f aca="false">K114-Q114-X114</f>
        <v>0</v>
      </c>
      <c r="AF114" s="25" t="n">
        <f aca="false">Q114-AA114</f>
        <v>0</v>
      </c>
      <c r="AG114" s="20"/>
      <c r="AH114" s="26" t="n">
        <f aca="false">IFERROR(AG114/Q114,0)</f>
        <v>0</v>
      </c>
      <c r="AI114" s="27" t="n">
        <v>0</v>
      </c>
      <c r="AJ114" s="26" t="n">
        <f aca="false">IF(AI114&gt;0,AprCoef/SQRT(AI114),0)</f>
        <v>0</v>
      </c>
      <c r="AK114" s="24" t="n">
        <f aca="false">AI114*AJ114/365</f>
        <v>0</v>
      </c>
      <c r="AL114" s="24" t="n">
        <f aca="false">AD114</f>
        <v>0</v>
      </c>
      <c r="AM114" s="24" t="n">
        <f aca="false">AK114-AL114</f>
        <v>0</v>
      </c>
      <c r="AN114" s="28" t="str">
        <f aca="false">IF(A114&gt;=Hip3LaunchDate,"YES","")</f>
        <v/>
      </c>
      <c r="AO114" s="28" t="str">
        <f aca="false">IF(A114&lt;Hip4LaunchDate,"pre-launch","live (zero-fee)")</f>
        <v>pre-launch</v>
      </c>
      <c r="AP114" s="20"/>
      <c r="AQ114" s="20"/>
      <c r="AR114" s="20"/>
    </row>
    <row r="115" customFormat="false" ht="15" hidden="false" customHeight="false" outlineLevel="0" collapsed="false">
      <c r="A115" s="18" t="n">
        <v>45176</v>
      </c>
      <c r="B115" s="19" t="n">
        <v>61103497.63</v>
      </c>
      <c r="C115" s="19" t="n">
        <v>0</v>
      </c>
      <c r="D115" s="20"/>
      <c r="E115" s="21" t="n">
        <f aca="false">B115+C115</f>
        <v>61103497.63</v>
      </c>
      <c r="F115" s="21" t="n">
        <f aca="false">E115+D115</f>
        <v>61103497.63</v>
      </c>
      <c r="G115" s="22" t="n">
        <f aca="false">IFERROR(C115/E115,0)</f>
        <v>0</v>
      </c>
      <c r="H115" s="20"/>
      <c r="I115" s="20"/>
      <c r="J115" s="20"/>
      <c r="K115" s="21" t="n">
        <f aca="false">H115+I115</f>
        <v>0</v>
      </c>
      <c r="L115" s="20"/>
      <c r="M115" s="21" t="n">
        <f aca="false">H115-L115</f>
        <v>0</v>
      </c>
      <c r="N115" s="23" t="n">
        <f aca="false">IFERROR(M115/B115*10000,0)</f>
        <v>0</v>
      </c>
      <c r="O115" s="20"/>
      <c r="P115" s="20"/>
      <c r="Q115" s="21" t="n">
        <f aca="false">O115+P115</f>
        <v>0</v>
      </c>
      <c r="R115" s="22" t="n">
        <f aca="false">IF(A115&lt;HlpChangeDate,HlpSharePre,HlpSharePost)</f>
        <v>0.03</v>
      </c>
      <c r="S115" s="21" t="n">
        <f aca="false">Q115*R115/(1-R115)</f>
        <v>0</v>
      </c>
      <c r="T115" s="20"/>
      <c r="U115" s="21" t="n">
        <f aca="false">S115-T115</f>
        <v>0</v>
      </c>
      <c r="V115" s="21" t="n">
        <f aca="false">Y115-O115*R115/(1-R115)</f>
        <v>0</v>
      </c>
      <c r="W115" s="21" t="n">
        <f aca="false">Z115-P115*R115/(1-R115)</f>
        <v>0</v>
      </c>
      <c r="X115" s="21" t="n">
        <f aca="false">S115+V115+W115</f>
        <v>0</v>
      </c>
      <c r="Y115" s="20"/>
      <c r="Z115" s="20"/>
      <c r="AA115" s="19" t="n">
        <v>0</v>
      </c>
      <c r="AB115" s="20"/>
      <c r="AC115" s="20"/>
      <c r="AD115" s="24" t="n">
        <f aca="false">IFERROR(AA115/AC115,0)</f>
        <v>0</v>
      </c>
      <c r="AE115" s="25" t="n">
        <f aca="false">K115-Q115-X115</f>
        <v>0</v>
      </c>
      <c r="AF115" s="25" t="n">
        <f aca="false">Q115-AA115</f>
        <v>0</v>
      </c>
      <c r="AG115" s="20"/>
      <c r="AH115" s="26" t="n">
        <f aca="false">IFERROR(AG115/Q115,0)</f>
        <v>0</v>
      </c>
      <c r="AI115" s="27" t="n">
        <v>0</v>
      </c>
      <c r="AJ115" s="26" t="n">
        <f aca="false">IF(AI115&gt;0,AprCoef/SQRT(AI115),0)</f>
        <v>0</v>
      </c>
      <c r="AK115" s="24" t="n">
        <f aca="false">AI115*AJ115/365</f>
        <v>0</v>
      </c>
      <c r="AL115" s="24" t="n">
        <f aca="false">AD115</f>
        <v>0</v>
      </c>
      <c r="AM115" s="24" t="n">
        <f aca="false">AK115-AL115</f>
        <v>0</v>
      </c>
      <c r="AN115" s="28" t="str">
        <f aca="false">IF(A115&gt;=Hip3LaunchDate,"YES","")</f>
        <v/>
      </c>
      <c r="AO115" s="28" t="str">
        <f aca="false">IF(A115&lt;Hip4LaunchDate,"pre-launch","live (zero-fee)")</f>
        <v>pre-launch</v>
      </c>
      <c r="AP115" s="20"/>
      <c r="AQ115" s="20"/>
      <c r="AR115" s="20"/>
    </row>
    <row r="116" customFormat="false" ht="15" hidden="false" customHeight="false" outlineLevel="0" collapsed="false">
      <c r="A116" s="18" t="n">
        <v>45177</v>
      </c>
      <c r="B116" s="19" t="n">
        <v>34915571.56</v>
      </c>
      <c r="C116" s="19" t="n">
        <v>0</v>
      </c>
      <c r="D116" s="20"/>
      <c r="E116" s="21" t="n">
        <f aca="false">B116+C116</f>
        <v>34915571.56</v>
      </c>
      <c r="F116" s="21" t="n">
        <f aca="false">E116+D116</f>
        <v>34915571.56</v>
      </c>
      <c r="G116" s="22" t="n">
        <f aca="false">IFERROR(C116/E116,0)</f>
        <v>0</v>
      </c>
      <c r="H116" s="20"/>
      <c r="I116" s="20"/>
      <c r="J116" s="20"/>
      <c r="K116" s="21" t="n">
        <f aca="false">H116+I116</f>
        <v>0</v>
      </c>
      <c r="L116" s="20"/>
      <c r="M116" s="21" t="n">
        <f aca="false">H116-L116</f>
        <v>0</v>
      </c>
      <c r="N116" s="23" t="n">
        <f aca="false">IFERROR(M116/B116*10000,0)</f>
        <v>0</v>
      </c>
      <c r="O116" s="20"/>
      <c r="P116" s="20"/>
      <c r="Q116" s="21" t="n">
        <f aca="false">O116+P116</f>
        <v>0</v>
      </c>
      <c r="R116" s="22" t="n">
        <f aca="false">IF(A116&lt;HlpChangeDate,HlpSharePre,HlpSharePost)</f>
        <v>0.03</v>
      </c>
      <c r="S116" s="21" t="n">
        <f aca="false">Q116*R116/(1-R116)</f>
        <v>0</v>
      </c>
      <c r="T116" s="20"/>
      <c r="U116" s="21" t="n">
        <f aca="false">S116-T116</f>
        <v>0</v>
      </c>
      <c r="V116" s="21" t="n">
        <f aca="false">Y116-O116*R116/(1-R116)</f>
        <v>0</v>
      </c>
      <c r="W116" s="21" t="n">
        <f aca="false">Z116-P116*R116/(1-R116)</f>
        <v>0</v>
      </c>
      <c r="X116" s="21" t="n">
        <f aca="false">S116+V116+W116</f>
        <v>0</v>
      </c>
      <c r="Y116" s="20"/>
      <c r="Z116" s="20"/>
      <c r="AA116" s="19" t="n">
        <v>0</v>
      </c>
      <c r="AB116" s="20"/>
      <c r="AC116" s="20"/>
      <c r="AD116" s="24" t="n">
        <f aca="false">IFERROR(AA116/AC116,0)</f>
        <v>0</v>
      </c>
      <c r="AE116" s="25" t="n">
        <f aca="false">K116-Q116-X116</f>
        <v>0</v>
      </c>
      <c r="AF116" s="25" t="n">
        <f aca="false">Q116-AA116</f>
        <v>0</v>
      </c>
      <c r="AG116" s="20"/>
      <c r="AH116" s="26" t="n">
        <f aca="false">IFERROR(AG116/Q116,0)</f>
        <v>0</v>
      </c>
      <c r="AI116" s="27" t="n">
        <v>0</v>
      </c>
      <c r="AJ116" s="26" t="n">
        <f aca="false">IF(AI116&gt;0,AprCoef/SQRT(AI116),0)</f>
        <v>0</v>
      </c>
      <c r="AK116" s="24" t="n">
        <f aca="false">AI116*AJ116/365</f>
        <v>0</v>
      </c>
      <c r="AL116" s="24" t="n">
        <f aca="false">AD116</f>
        <v>0</v>
      </c>
      <c r="AM116" s="24" t="n">
        <f aca="false">AK116-AL116</f>
        <v>0</v>
      </c>
      <c r="AN116" s="28" t="str">
        <f aca="false">IF(A116&gt;=Hip3LaunchDate,"YES","")</f>
        <v/>
      </c>
      <c r="AO116" s="28" t="str">
        <f aca="false">IF(A116&lt;Hip4LaunchDate,"pre-launch","live (zero-fee)")</f>
        <v>pre-launch</v>
      </c>
      <c r="AP116" s="20"/>
      <c r="AQ116" s="20"/>
      <c r="AR116" s="20"/>
    </row>
    <row r="117" customFormat="false" ht="15" hidden="false" customHeight="false" outlineLevel="0" collapsed="false">
      <c r="A117" s="18" t="n">
        <v>45178</v>
      </c>
      <c r="B117" s="19" t="n">
        <v>20027355.62</v>
      </c>
      <c r="C117" s="19" t="n">
        <v>0</v>
      </c>
      <c r="D117" s="20"/>
      <c r="E117" s="21" t="n">
        <f aca="false">B117+C117</f>
        <v>20027355.62</v>
      </c>
      <c r="F117" s="21" t="n">
        <f aca="false">E117+D117</f>
        <v>20027355.62</v>
      </c>
      <c r="G117" s="22" t="n">
        <f aca="false">IFERROR(C117/E117,0)</f>
        <v>0</v>
      </c>
      <c r="H117" s="20"/>
      <c r="I117" s="20"/>
      <c r="J117" s="20"/>
      <c r="K117" s="21" t="n">
        <f aca="false">H117+I117</f>
        <v>0</v>
      </c>
      <c r="L117" s="20"/>
      <c r="M117" s="21" t="n">
        <f aca="false">H117-L117</f>
        <v>0</v>
      </c>
      <c r="N117" s="23" t="n">
        <f aca="false">IFERROR(M117/B117*10000,0)</f>
        <v>0</v>
      </c>
      <c r="O117" s="20"/>
      <c r="P117" s="20"/>
      <c r="Q117" s="21" t="n">
        <f aca="false">O117+P117</f>
        <v>0</v>
      </c>
      <c r="R117" s="22" t="n">
        <f aca="false">IF(A117&lt;HlpChangeDate,HlpSharePre,HlpSharePost)</f>
        <v>0.03</v>
      </c>
      <c r="S117" s="21" t="n">
        <f aca="false">Q117*R117/(1-R117)</f>
        <v>0</v>
      </c>
      <c r="T117" s="20"/>
      <c r="U117" s="21" t="n">
        <f aca="false">S117-T117</f>
        <v>0</v>
      </c>
      <c r="V117" s="21" t="n">
        <f aca="false">Y117-O117*R117/(1-R117)</f>
        <v>0</v>
      </c>
      <c r="W117" s="21" t="n">
        <f aca="false">Z117-P117*R117/(1-R117)</f>
        <v>0</v>
      </c>
      <c r="X117" s="21" t="n">
        <f aca="false">S117+V117+W117</f>
        <v>0</v>
      </c>
      <c r="Y117" s="20"/>
      <c r="Z117" s="20"/>
      <c r="AA117" s="19" t="n">
        <v>0</v>
      </c>
      <c r="AB117" s="20"/>
      <c r="AC117" s="20"/>
      <c r="AD117" s="24" t="n">
        <f aca="false">IFERROR(AA117/AC117,0)</f>
        <v>0</v>
      </c>
      <c r="AE117" s="25" t="n">
        <f aca="false">K117-Q117-X117</f>
        <v>0</v>
      </c>
      <c r="AF117" s="25" t="n">
        <f aca="false">Q117-AA117</f>
        <v>0</v>
      </c>
      <c r="AG117" s="20"/>
      <c r="AH117" s="26" t="n">
        <f aca="false">IFERROR(AG117/Q117,0)</f>
        <v>0</v>
      </c>
      <c r="AI117" s="27" t="n">
        <v>0</v>
      </c>
      <c r="AJ117" s="26" t="n">
        <f aca="false">IF(AI117&gt;0,AprCoef/SQRT(AI117),0)</f>
        <v>0</v>
      </c>
      <c r="AK117" s="24" t="n">
        <f aca="false">AI117*AJ117/365</f>
        <v>0</v>
      </c>
      <c r="AL117" s="24" t="n">
        <f aca="false">AD117</f>
        <v>0</v>
      </c>
      <c r="AM117" s="24" t="n">
        <f aca="false">AK117-AL117</f>
        <v>0</v>
      </c>
      <c r="AN117" s="28" t="str">
        <f aca="false">IF(A117&gt;=Hip3LaunchDate,"YES","")</f>
        <v/>
      </c>
      <c r="AO117" s="28" t="str">
        <f aca="false">IF(A117&lt;Hip4LaunchDate,"pre-launch","live (zero-fee)")</f>
        <v>pre-launch</v>
      </c>
      <c r="AP117" s="20"/>
      <c r="AQ117" s="20"/>
      <c r="AR117" s="20"/>
    </row>
    <row r="118" customFormat="false" ht="15" hidden="false" customHeight="false" outlineLevel="0" collapsed="false">
      <c r="A118" s="18" t="n">
        <v>45179</v>
      </c>
      <c r="B118" s="19" t="n">
        <v>40578461.29</v>
      </c>
      <c r="C118" s="19" t="n">
        <v>0</v>
      </c>
      <c r="D118" s="20"/>
      <c r="E118" s="21" t="n">
        <f aca="false">B118+C118</f>
        <v>40578461.29</v>
      </c>
      <c r="F118" s="21" t="n">
        <f aca="false">E118+D118</f>
        <v>40578461.29</v>
      </c>
      <c r="G118" s="22" t="n">
        <f aca="false">IFERROR(C118/E118,0)</f>
        <v>0</v>
      </c>
      <c r="H118" s="20"/>
      <c r="I118" s="20"/>
      <c r="J118" s="20"/>
      <c r="K118" s="21" t="n">
        <f aca="false">H118+I118</f>
        <v>0</v>
      </c>
      <c r="L118" s="20"/>
      <c r="M118" s="21" t="n">
        <f aca="false">H118-L118</f>
        <v>0</v>
      </c>
      <c r="N118" s="23" t="n">
        <f aca="false">IFERROR(M118/B118*10000,0)</f>
        <v>0</v>
      </c>
      <c r="O118" s="20"/>
      <c r="P118" s="20"/>
      <c r="Q118" s="21" t="n">
        <f aca="false">O118+P118</f>
        <v>0</v>
      </c>
      <c r="R118" s="22" t="n">
        <f aca="false">IF(A118&lt;HlpChangeDate,HlpSharePre,HlpSharePost)</f>
        <v>0.03</v>
      </c>
      <c r="S118" s="21" t="n">
        <f aca="false">Q118*R118/(1-R118)</f>
        <v>0</v>
      </c>
      <c r="T118" s="20"/>
      <c r="U118" s="21" t="n">
        <f aca="false">S118-T118</f>
        <v>0</v>
      </c>
      <c r="V118" s="21" t="n">
        <f aca="false">Y118-O118*R118/(1-R118)</f>
        <v>0</v>
      </c>
      <c r="W118" s="21" t="n">
        <f aca="false">Z118-P118*R118/(1-R118)</f>
        <v>0</v>
      </c>
      <c r="X118" s="21" t="n">
        <f aca="false">S118+V118+W118</f>
        <v>0</v>
      </c>
      <c r="Y118" s="20"/>
      <c r="Z118" s="20"/>
      <c r="AA118" s="19" t="n">
        <v>0</v>
      </c>
      <c r="AB118" s="20"/>
      <c r="AC118" s="20"/>
      <c r="AD118" s="24" t="n">
        <f aca="false">IFERROR(AA118/AC118,0)</f>
        <v>0</v>
      </c>
      <c r="AE118" s="25" t="n">
        <f aca="false">K118-Q118-X118</f>
        <v>0</v>
      </c>
      <c r="AF118" s="25" t="n">
        <f aca="false">Q118-AA118</f>
        <v>0</v>
      </c>
      <c r="AG118" s="20"/>
      <c r="AH118" s="26" t="n">
        <f aca="false">IFERROR(AG118/Q118,0)</f>
        <v>0</v>
      </c>
      <c r="AI118" s="27" t="n">
        <v>0</v>
      </c>
      <c r="AJ118" s="26" t="n">
        <f aca="false">IF(AI118&gt;0,AprCoef/SQRT(AI118),0)</f>
        <v>0</v>
      </c>
      <c r="AK118" s="24" t="n">
        <f aca="false">AI118*AJ118/365</f>
        <v>0</v>
      </c>
      <c r="AL118" s="24" t="n">
        <f aca="false">AD118</f>
        <v>0</v>
      </c>
      <c r="AM118" s="24" t="n">
        <f aca="false">AK118-AL118</f>
        <v>0</v>
      </c>
      <c r="AN118" s="28" t="str">
        <f aca="false">IF(A118&gt;=Hip3LaunchDate,"YES","")</f>
        <v/>
      </c>
      <c r="AO118" s="28" t="str">
        <f aca="false">IF(A118&lt;Hip4LaunchDate,"pre-launch","live (zero-fee)")</f>
        <v>pre-launch</v>
      </c>
      <c r="AP118" s="20"/>
      <c r="AQ118" s="20"/>
      <c r="AR118" s="20"/>
    </row>
    <row r="119" customFormat="false" ht="15" hidden="false" customHeight="false" outlineLevel="0" collapsed="false">
      <c r="A119" s="18" t="n">
        <v>45180</v>
      </c>
      <c r="B119" s="19" t="n">
        <v>84638825.98</v>
      </c>
      <c r="C119" s="19" t="n">
        <v>0</v>
      </c>
      <c r="D119" s="20"/>
      <c r="E119" s="21" t="n">
        <f aca="false">B119+C119</f>
        <v>84638825.98</v>
      </c>
      <c r="F119" s="21" t="n">
        <f aca="false">E119+D119</f>
        <v>84638825.98</v>
      </c>
      <c r="G119" s="22" t="n">
        <f aca="false">IFERROR(C119/E119,0)</f>
        <v>0</v>
      </c>
      <c r="H119" s="20"/>
      <c r="I119" s="20"/>
      <c r="J119" s="20"/>
      <c r="K119" s="21" t="n">
        <f aca="false">H119+I119</f>
        <v>0</v>
      </c>
      <c r="L119" s="20"/>
      <c r="M119" s="21" t="n">
        <f aca="false">H119-L119</f>
        <v>0</v>
      </c>
      <c r="N119" s="23" t="n">
        <f aca="false">IFERROR(M119/B119*10000,0)</f>
        <v>0</v>
      </c>
      <c r="O119" s="20"/>
      <c r="P119" s="20"/>
      <c r="Q119" s="21" t="n">
        <f aca="false">O119+P119</f>
        <v>0</v>
      </c>
      <c r="R119" s="22" t="n">
        <f aca="false">IF(A119&lt;HlpChangeDate,HlpSharePre,HlpSharePost)</f>
        <v>0.03</v>
      </c>
      <c r="S119" s="21" t="n">
        <f aca="false">Q119*R119/(1-R119)</f>
        <v>0</v>
      </c>
      <c r="T119" s="20"/>
      <c r="U119" s="21" t="n">
        <f aca="false">S119-T119</f>
        <v>0</v>
      </c>
      <c r="V119" s="21" t="n">
        <f aca="false">Y119-O119*R119/(1-R119)</f>
        <v>0</v>
      </c>
      <c r="W119" s="21" t="n">
        <f aca="false">Z119-P119*R119/(1-R119)</f>
        <v>0</v>
      </c>
      <c r="X119" s="21" t="n">
        <f aca="false">S119+V119+W119</f>
        <v>0</v>
      </c>
      <c r="Y119" s="20"/>
      <c r="Z119" s="20"/>
      <c r="AA119" s="19" t="n">
        <v>0</v>
      </c>
      <c r="AB119" s="20"/>
      <c r="AC119" s="20"/>
      <c r="AD119" s="24" t="n">
        <f aca="false">IFERROR(AA119/AC119,0)</f>
        <v>0</v>
      </c>
      <c r="AE119" s="25" t="n">
        <f aca="false">K119-Q119-X119</f>
        <v>0</v>
      </c>
      <c r="AF119" s="25" t="n">
        <f aca="false">Q119-AA119</f>
        <v>0</v>
      </c>
      <c r="AG119" s="20"/>
      <c r="AH119" s="26" t="n">
        <f aca="false">IFERROR(AG119/Q119,0)</f>
        <v>0</v>
      </c>
      <c r="AI119" s="27" t="n">
        <v>0</v>
      </c>
      <c r="AJ119" s="26" t="n">
        <f aca="false">IF(AI119&gt;0,AprCoef/SQRT(AI119),0)</f>
        <v>0</v>
      </c>
      <c r="AK119" s="24" t="n">
        <f aca="false">AI119*AJ119/365</f>
        <v>0</v>
      </c>
      <c r="AL119" s="24" t="n">
        <f aca="false">AD119</f>
        <v>0</v>
      </c>
      <c r="AM119" s="24" t="n">
        <f aca="false">AK119-AL119</f>
        <v>0</v>
      </c>
      <c r="AN119" s="28" t="str">
        <f aca="false">IF(A119&gt;=Hip3LaunchDate,"YES","")</f>
        <v/>
      </c>
      <c r="AO119" s="28" t="str">
        <f aca="false">IF(A119&lt;Hip4LaunchDate,"pre-launch","live (zero-fee)")</f>
        <v>pre-launch</v>
      </c>
      <c r="AP119" s="20"/>
      <c r="AQ119" s="20"/>
      <c r="AR119" s="20"/>
    </row>
    <row r="120" customFormat="false" ht="15" hidden="false" customHeight="false" outlineLevel="0" collapsed="false">
      <c r="A120" s="18" t="n">
        <v>45181</v>
      </c>
      <c r="B120" s="19" t="n">
        <v>77842549.11</v>
      </c>
      <c r="C120" s="19" t="n">
        <v>0</v>
      </c>
      <c r="D120" s="20"/>
      <c r="E120" s="21" t="n">
        <f aca="false">B120+C120</f>
        <v>77842549.11</v>
      </c>
      <c r="F120" s="21" t="n">
        <f aca="false">E120+D120</f>
        <v>77842549.11</v>
      </c>
      <c r="G120" s="22" t="n">
        <f aca="false">IFERROR(C120/E120,0)</f>
        <v>0</v>
      </c>
      <c r="H120" s="20"/>
      <c r="I120" s="20"/>
      <c r="J120" s="20"/>
      <c r="K120" s="21" t="n">
        <f aca="false">H120+I120</f>
        <v>0</v>
      </c>
      <c r="L120" s="20"/>
      <c r="M120" s="21" t="n">
        <f aca="false">H120-L120</f>
        <v>0</v>
      </c>
      <c r="N120" s="23" t="n">
        <f aca="false">IFERROR(M120/B120*10000,0)</f>
        <v>0</v>
      </c>
      <c r="O120" s="20"/>
      <c r="P120" s="20"/>
      <c r="Q120" s="21" t="n">
        <f aca="false">O120+P120</f>
        <v>0</v>
      </c>
      <c r="R120" s="22" t="n">
        <f aca="false">IF(A120&lt;HlpChangeDate,HlpSharePre,HlpSharePost)</f>
        <v>0.03</v>
      </c>
      <c r="S120" s="21" t="n">
        <f aca="false">Q120*R120/(1-R120)</f>
        <v>0</v>
      </c>
      <c r="T120" s="20"/>
      <c r="U120" s="21" t="n">
        <f aca="false">S120-T120</f>
        <v>0</v>
      </c>
      <c r="V120" s="21" t="n">
        <f aca="false">Y120-O120*R120/(1-R120)</f>
        <v>0</v>
      </c>
      <c r="W120" s="21" t="n">
        <f aca="false">Z120-P120*R120/(1-R120)</f>
        <v>0</v>
      </c>
      <c r="X120" s="21" t="n">
        <f aca="false">S120+V120+W120</f>
        <v>0</v>
      </c>
      <c r="Y120" s="20"/>
      <c r="Z120" s="20"/>
      <c r="AA120" s="19" t="n">
        <v>0</v>
      </c>
      <c r="AB120" s="20"/>
      <c r="AC120" s="20"/>
      <c r="AD120" s="24" t="n">
        <f aca="false">IFERROR(AA120/AC120,0)</f>
        <v>0</v>
      </c>
      <c r="AE120" s="25" t="n">
        <f aca="false">K120-Q120-X120</f>
        <v>0</v>
      </c>
      <c r="AF120" s="25" t="n">
        <f aca="false">Q120-AA120</f>
        <v>0</v>
      </c>
      <c r="AG120" s="20"/>
      <c r="AH120" s="26" t="n">
        <f aca="false">IFERROR(AG120/Q120,0)</f>
        <v>0</v>
      </c>
      <c r="AI120" s="27" t="n">
        <v>0</v>
      </c>
      <c r="AJ120" s="26" t="n">
        <f aca="false">IF(AI120&gt;0,AprCoef/SQRT(AI120),0)</f>
        <v>0</v>
      </c>
      <c r="AK120" s="24" t="n">
        <f aca="false">AI120*AJ120/365</f>
        <v>0</v>
      </c>
      <c r="AL120" s="24" t="n">
        <f aca="false">AD120</f>
        <v>0</v>
      </c>
      <c r="AM120" s="24" t="n">
        <f aca="false">AK120-AL120</f>
        <v>0</v>
      </c>
      <c r="AN120" s="28" t="str">
        <f aca="false">IF(A120&gt;=Hip3LaunchDate,"YES","")</f>
        <v/>
      </c>
      <c r="AO120" s="28" t="str">
        <f aca="false">IF(A120&lt;Hip4LaunchDate,"pre-launch","live (zero-fee)")</f>
        <v>pre-launch</v>
      </c>
      <c r="AP120" s="20"/>
      <c r="AQ120" s="20"/>
      <c r="AR120" s="20"/>
    </row>
    <row r="121" customFormat="false" ht="15" hidden="false" customHeight="false" outlineLevel="0" collapsed="false">
      <c r="A121" s="18" t="n">
        <v>45182</v>
      </c>
      <c r="B121" s="19" t="n">
        <v>56599669.78</v>
      </c>
      <c r="C121" s="19" t="n">
        <v>0</v>
      </c>
      <c r="D121" s="20"/>
      <c r="E121" s="21" t="n">
        <f aca="false">B121+C121</f>
        <v>56599669.78</v>
      </c>
      <c r="F121" s="21" t="n">
        <f aca="false">E121+D121</f>
        <v>56599669.78</v>
      </c>
      <c r="G121" s="22" t="n">
        <f aca="false">IFERROR(C121/E121,0)</f>
        <v>0</v>
      </c>
      <c r="H121" s="20"/>
      <c r="I121" s="20"/>
      <c r="J121" s="20"/>
      <c r="K121" s="21" t="n">
        <f aca="false">H121+I121</f>
        <v>0</v>
      </c>
      <c r="L121" s="20"/>
      <c r="M121" s="21" t="n">
        <f aca="false">H121-L121</f>
        <v>0</v>
      </c>
      <c r="N121" s="23" t="n">
        <f aca="false">IFERROR(M121/B121*10000,0)</f>
        <v>0</v>
      </c>
      <c r="O121" s="20"/>
      <c r="P121" s="20"/>
      <c r="Q121" s="21" t="n">
        <f aca="false">O121+P121</f>
        <v>0</v>
      </c>
      <c r="R121" s="22" t="n">
        <f aca="false">IF(A121&lt;HlpChangeDate,HlpSharePre,HlpSharePost)</f>
        <v>0.03</v>
      </c>
      <c r="S121" s="21" t="n">
        <f aca="false">Q121*R121/(1-R121)</f>
        <v>0</v>
      </c>
      <c r="T121" s="20"/>
      <c r="U121" s="21" t="n">
        <f aca="false">S121-T121</f>
        <v>0</v>
      </c>
      <c r="V121" s="21" t="n">
        <f aca="false">Y121-O121*R121/(1-R121)</f>
        <v>0</v>
      </c>
      <c r="W121" s="21" t="n">
        <f aca="false">Z121-P121*R121/(1-R121)</f>
        <v>0</v>
      </c>
      <c r="X121" s="21" t="n">
        <f aca="false">S121+V121+W121</f>
        <v>0</v>
      </c>
      <c r="Y121" s="20"/>
      <c r="Z121" s="20"/>
      <c r="AA121" s="19" t="n">
        <v>0</v>
      </c>
      <c r="AB121" s="20"/>
      <c r="AC121" s="20"/>
      <c r="AD121" s="24" t="n">
        <f aca="false">IFERROR(AA121/AC121,0)</f>
        <v>0</v>
      </c>
      <c r="AE121" s="25" t="n">
        <f aca="false">K121-Q121-X121</f>
        <v>0</v>
      </c>
      <c r="AF121" s="25" t="n">
        <f aca="false">Q121-AA121</f>
        <v>0</v>
      </c>
      <c r="AG121" s="20"/>
      <c r="AH121" s="26" t="n">
        <f aca="false">IFERROR(AG121/Q121,0)</f>
        <v>0</v>
      </c>
      <c r="AI121" s="27" t="n">
        <v>0</v>
      </c>
      <c r="AJ121" s="26" t="n">
        <f aca="false">IF(AI121&gt;0,AprCoef/SQRT(AI121),0)</f>
        <v>0</v>
      </c>
      <c r="AK121" s="24" t="n">
        <f aca="false">AI121*AJ121/365</f>
        <v>0</v>
      </c>
      <c r="AL121" s="24" t="n">
        <f aca="false">AD121</f>
        <v>0</v>
      </c>
      <c r="AM121" s="24" t="n">
        <f aca="false">AK121-AL121</f>
        <v>0</v>
      </c>
      <c r="AN121" s="28" t="str">
        <f aca="false">IF(A121&gt;=Hip3LaunchDate,"YES","")</f>
        <v/>
      </c>
      <c r="AO121" s="28" t="str">
        <f aca="false">IF(A121&lt;Hip4LaunchDate,"pre-launch","live (zero-fee)")</f>
        <v>pre-launch</v>
      </c>
      <c r="AP121" s="20"/>
      <c r="AQ121" s="20"/>
      <c r="AR121" s="20"/>
    </row>
    <row r="122" customFormat="false" ht="15" hidden="false" customHeight="false" outlineLevel="0" collapsed="false">
      <c r="A122" s="18" t="n">
        <v>45183</v>
      </c>
      <c r="B122" s="19" t="n">
        <v>48566779.79</v>
      </c>
      <c r="C122" s="19" t="n">
        <v>0</v>
      </c>
      <c r="D122" s="20"/>
      <c r="E122" s="21" t="n">
        <f aca="false">B122+C122</f>
        <v>48566779.79</v>
      </c>
      <c r="F122" s="21" t="n">
        <f aca="false">E122+D122</f>
        <v>48566779.79</v>
      </c>
      <c r="G122" s="22" t="n">
        <f aca="false">IFERROR(C122/E122,0)</f>
        <v>0</v>
      </c>
      <c r="H122" s="20"/>
      <c r="I122" s="20"/>
      <c r="J122" s="20"/>
      <c r="K122" s="21" t="n">
        <f aca="false">H122+I122</f>
        <v>0</v>
      </c>
      <c r="L122" s="20"/>
      <c r="M122" s="21" t="n">
        <f aca="false">H122-L122</f>
        <v>0</v>
      </c>
      <c r="N122" s="23" t="n">
        <f aca="false">IFERROR(M122/B122*10000,0)</f>
        <v>0</v>
      </c>
      <c r="O122" s="20"/>
      <c r="P122" s="20"/>
      <c r="Q122" s="21" t="n">
        <f aca="false">O122+P122</f>
        <v>0</v>
      </c>
      <c r="R122" s="22" t="n">
        <f aca="false">IF(A122&lt;HlpChangeDate,HlpSharePre,HlpSharePost)</f>
        <v>0.03</v>
      </c>
      <c r="S122" s="21" t="n">
        <f aca="false">Q122*R122/(1-R122)</f>
        <v>0</v>
      </c>
      <c r="T122" s="20"/>
      <c r="U122" s="21" t="n">
        <f aca="false">S122-T122</f>
        <v>0</v>
      </c>
      <c r="V122" s="21" t="n">
        <f aca="false">Y122-O122*R122/(1-R122)</f>
        <v>0</v>
      </c>
      <c r="W122" s="21" t="n">
        <f aca="false">Z122-P122*R122/(1-R122)</f>
        <v>0</v>
      </c>
      <c r="X122" s="21" t="n">
        <f aca="false">S122+V122+W122</f>
        <v>0</v>
      </c>
      <c r="Y122" s="20"/>
      <c r="Z122" s="20"/>
      <c r="AA122" s="19" t="n">
        <v>0</v>
      </c>
      <c r="AB122" s="20"/>
      <c r="AC122" s="20"/>
      <c r="AD122" s="24" t="n">
        <f aca="false">IFERROR(AA122/AC122,0)</f>
        <v>0</v>
      </c>
      <c r="AE122" s="25" t="n">
        <f aca="false">K122-Q122-X122</f>
        <v>0</v>
      </c>
      <c r="AF122" s="25" t="n">
        <f aca="false">Q122-AA122</f>
        <v>0</v>
      </c>
      <c r="AG122" s="20"/>
      <c r="AH122" s="26" t="n">
        <f aca="false">IFERROR(AG122/Q122,0)</f>
        <v>0</v>
      </c>
      <c r="AI122" s="27" t="n">
        <v>0</v>
      </c>
      <c r="AJ122" s="26" t="n">
        <f aca="false">IF(AI122&gt;0,AprCoef/SQRT(AI122),0)</f>
        <v>0</v>
      </c>
      <c r="AK122" s="24" t="n">
        <f aca="false">AI122*AJ122/365</f>
        <v>0</v>
      </c>
      <c r="AL122" s="24" t="n">
        <f aca="false">AD122</f>
        <v>0</v>
      </c>
      <c r="AM122" s="24" t="n">
        <f aca="false">AK122-AL122</f>
        <v>0</v>
      </c>
      <c r="AN122" s="28" t="str">
        <f aca="false">IF(A122&gt;=Hip3LaunchDate,"YES","")</f>
        <v/>
      </c>
      <c r="AO122" s="28" t="str">
        <f aca="false">IF(A122&lt;Hip4LaunchDate,"pre-launch","live (zero-fee)")</f>
        <v>pre-launch</v>
      </c>
      <c r="AP122" s="20"/>
      <c r="AQ122" s="20"/>
      <c r="AR122" s="20"/>
    </row>
    <row r="123" customFormat="false" ht="15" hidden="false" customHeight="false" outlineLevel="0" collapsed="false">
      <c r="A123" s="18" t="n">
        <v>45184</v>
      </c>
      <c r="B123" s="19" t="n">
        <v>44663801.13</v>
      </c>
      <c r="C123" s="19" t="n">
        <v>0</v>
      </c>
      <c r="D123" s="20"/>
      <c r="E123" s="21" t="n">
        <f aca="false">B123+C123</f>
        <v>44663801.13</v>
      </c>
      <c r="F123" s="21" t="n">
        <f aca="false">E123+D123</f>
        <v>44663801.13</v>
      </c>
      <c r="G123" s="22" t="n">
        <f aca="false">IFERROR(C123/E123,0)</f>
        <v>0</v>
      </c>
      <c r="H123" s="20"/>
      <c r="I123" s="20"/>
      <c r="J123" s="20"/>
      <c r="K123" s="21" t="n">
        <f aca="false">H123+I123</f>
        <v>0</v>
      </c>
      <c r="L123" s="20"/>
      <c r="M123" s="21" t="n">
        <f aca="false">H123-L123</f>
        <v>0</v>
      </c>
      <c r="N123" s="23" t="n">
        <f aca="false">IFERROR(M123/B123*10000,0)</f>
        <v>0</v>
      </c>
      <c r="O123" s="20"/>
      <c r="P123" s="20"/>
      <c r="Q123" s="21" t="n">
        <f aca="false">O123+P123</f>
        <v>0</v>
      </c>
      <c r="R123" s="22" t="n">
        <f aca="false">IF(A123&lt;HlpChangeDate,HlpSharePre,HlpSharePost)</f>
        <v>0.03</v>
      </c>
      <c r="S123" s="21" t="n">
        <f aca="false">Q123*R123/(1-R123)</f>
        <v>0</v>
      </c>
      <c r="T123" s="20"/>
      <c r="U123" s="21" t="n">
        <f aca="false">S123-T123</f>
        <v>0</v>
      </c>
      <c r="V123" s="21" t="n">
        <f aca="false">Y123-O123*R123/(1-R123)</f>
        <v>0</v>
      </c>
      <c r="W123" s="21" t="n">
        <f aca="false">Z123-P123*R123/(1-R123)</f>
        <v>0</v>
      </c>
      <c r="X123" s="21" t="n">
        <f aca="false">S123+V123+W123</f>
        <v>0</v>
      </c>
      <c r="Y123" s="20"/>
      <c r="Z123" s="20"/>
      <c r="AA123" s="19" t="n">
        <v>0</v>
      </c>
      <c r="AB123" s="20"/>
      <c r="AC123" s="20"/>
      <c r="AD123" s="24" t="n">
        <f aca="false">IFERROR(AA123/AC123,0)</f>
        <v>0</v>
      </c>
      <c r="AE123" s="25" t="n">
        <f aca="false">K123-Q123-X123</f>
        <v>0</v>
      </c>
      <c r="AF123" s="25" t="n">
        <f aca="false">Q123-AA123</f>
        <v>0</v>
      </c>
      <c r="AG123" s="20"/>
      <c r="AH123" s="26" t="n">
        <f aca="false">IFERROR(AG123/Q123,0)</f>
        <v>0</v>
      </c>
      <c r="AI123" s="27" t="n">
        <v>0</v>
      </c>
      <c r="AJ123" s="26" t="n">
        <f aca="false">IF(AI123&gt;0,AprCoef/SQRT(AI123),0)</f>
        <v>0</v>
      </c>
      <c r="AK123" s="24" t="n">
        <f aca="false">AI123*AJ123/365</f>
        <v>0</v>
      </c>
      <c r="AL123" s="24" t="n">
        <f aca="false">AD123</f>
        <v>0</v>
      </c>
      <c r="AM123" s="24" t="n">
        <f aca="false">AK123-AL123</f>
        <v>0</v>
      </c>
      <c r="AN123" s="28" t="str">
        <f aca="false">IF(A123&gt;=Hip3LaunchDate,"YES","")</f>
        <v/>
      </c>
      <c r="AO123" s="28" t="str">
        <f aca="false">IF(A123&lt;Hip4LaunchDate,"pre-launch","live (zero-fee)")</f>
        <v>pre-launch</v>
      </c>
      <c r="AP123" s="20"/>
      <c r="AQ123" s="20"/>
      <c r="AR123" s="20"/>
    </row>
    <row r="124" customFormat="false" ht="15" hidden="false" customHeight="false" outlineLevel="0" collapsed="false">
      <c r="A124" s="18" t="n">
        <v>45185</v>
      </c>
      <c r="B124" s="19" t="n">
        <v>38562452.24</v>
      </c>
      <c r="C124" s="19" t="n">
        <v>0</v>
      </c>
      <c r="D124" s="20"/>
      <c r="E124" s="21" t="n">
        <f aca="false">B124+C124</f>
        <v>38562452.24</v>
      </c>
      <c r="F124" s="21" t="n">
        <f aca="false">E124+D124</f>
        <v>38562452.24</v>
      </c>
      <c r="G124" s="22" t="n">
        <f aca="false">IFERROR(C124/E124,0)</f>
        <v>0</v>
      </c>
      <c r="H124" s="20"/>
      <c r="I124" s="20"/>
      <c r="J124" s="20"/>
      <c r="K124" s="21" t="n">
        <f aca="false">H124+I124</f>
        <v>0</v>
      </c>
      <c r="L124" s="20"/>
      <c r="M124" s="21" t="n">
        <f aca="false">H124-L124</f>
        <v>0</v>
      </c>
      <c r="N124" s="23" t="n">
        <f aca="false">IFERROR(M124/B124*10000,0)</f>
        <v>0</v>
      </c>
      <c r="O124" s="20"/>
      <c r="P124" s="20"/>
      <c r="Q124" s="21" t="n">
        <f aca="false">O124+P124</f>
        <v>0</v>
      </c>
      <c r="R124" s="22" t="n">
        <f aca="false">IF(A124&lt;HlpChangeDate,HlpSharePre,HlpSharePost)</f>
        <v>0.03</v>
      </c>
      <c r="S124" s="21" t="n">
        <f aca="false">Q124*R124/(1-R124)</f>
        <v>0</v>
      </c>
      <c r="T124" s="20"/>
      <c r="U124" s="21" t="n">
        <f aca="false">S124-T124</f>
        <v>0</v>
      </c>
      <c r="V124" s="21" t="n">
        <f aca="false">Y124-O124*R124/(1-R124)</f>
        <v>0</v>
      </c>
      <c r="W124" s="21" t="n">
        <f aca="false">Z124-P124*R124/(1-R124)</f>
        <v>0</v>
      </c>
      <c r="X124" s="21" t="n">
        <f aca="false">S124+V124+W124</f>
        <v>0</v>
      </c>
      <c r="Y124" s="20"/>
      <c r="Z124" s="20"/>
      <c r="AA124" s="19" t="n">
        <v>0</v>
      </c>
      <c r="AB124" s="20"/>
      <c r="AC124" s="20"/>
      <c r="AD124" s="24" t="n">
        <f aca="false">IFERROR(AA124/AC124,0)</f>
        <v>0</v>
      </c>
      <c r="AE124" s="25" t="n">
        <f aca="false">K124-Q124-X124</f>
        <v>0</v>
      </c>
      <c r="AF124" s="25" t="n">
        <f aca="false">Q124-AA124</f>
        <v>0</v>
      </c>
      <c r="AG124" s="20"/>
      <c r="AH124" s="26" t="n">
        <f aca="false">IFERROR(AG124/Q124,0)</f>
        <v>0</v>
      </c>
      <c r="AI124" s="27" t="n">
        <v>0</v>
      </c>
      <c r="AJ124" s="26" t="n">
        <f aca="false">IF(AI124&gt;0,AprCoef/SQRT(AI124),0)</f>
        <v>0</v>
      </c>
      <c r="AK124" s="24" t="n">
        <f aca="false">AI124*AJ124/365</f>
        <v>0</v>
      </c>
      <c r="AL124" s="24" t="n">
        <f aca="false">AD124</f>
        <v>0</v>
      </c>
      <c r="AM124" s="24" t="n">
        <f aca="false">AK124-AL124</f>
        <v>0</v>
      </c>
      <c r="AN124" s="28" t="str">
        <f aca="false">IF(A124&gt;=Hip3LaunchDate,"YES","")</f>
        <v/>
      </c>
      <c r="AO124" s="28" t="str">
        <f aca="false">IF(A124&lt;Hip4LaunchDate,"pre-launch","live (zero-fee)")</f>
        <v>pre-launch</v>
      </c>
      <c r="AP124" s="20"/>
      <c r="AQ124" s="20"/>
      <c r="AR124" s="20"/>
    </row>
    <row r="125" customFormat="false" ht="15" hidden="false" customHeight="false" outlineLevel="0" collapsed="false">
      <c r="A125" s="18" t="n">
        <v>45186</v>
      </c>
      <c r="B125" s="19" t="n">
        <v>47793256.02</v>
      </c>
      <c r="C125" s="19" t="n">
        <v>0</v>
      </c>
      <c r="D125" s="20"/>
      <c r="E125" s="21" t="n">
        <f aca="false">B125+C125</f>
        <v>47793256.02</v>
      </c>
      <c r="F125" s="21" t="n">
        <f aca="false">E125+D125</f>
        <v>47793256.02</v>
      </c>
      <c r="G125" s="22" t="n">
        <f aca="false">IFERROR(C125/E125,0)</f>
        <v>0</v>
      </c>
      <c r="H125" s="20"/>
      <c r="I125" s="20"/>
      <c r="J125" s="20"/>
      <c r="K125" s="21" t="n">
        <f aca="false">H125+I125</f>
        <v>0</v>
      </c>
      <c r="L125" s="20"/>
      <c r="M125" s="21" t="n">
        <f aca="false">H125-L125</f>
        <v>0</v>
      </c>
      <c r="N125" s="23" t="n">
        <f aca="false">IFERROR(M125/B125*10000,0)</f>
        <v>0</v>
      </c>
      <c r="O125" s="20"/>
      <c r="P125" s="20"/>
      <c r="Q125" s="21" t="n">
        <f aca="false">O125+P125</f>
        <v>0</v>
      </c>
      <c r="R125" s="22" t="n">
        <f aca="false">IF(A125&lt;HlpChangeDate,HlpSharePre,HlpSharePost)</f>
        <v>0.03</v>
      </c>
      <c r="S125" s="21" t="n">
        <f aca="false">Q125*R125/(1-R125)</f>
        <v>0</v>
      </c>
      <c r="T125" s="20"/>
      <c r="U125" s="21" t="n">
        <f aca="false">S125-T125</f>
        <v>0</v>
      </c>
      <c r="V125" s="21" t="n">
        <f aca="false">Y125-O125*R125/(1-R125)</f>
        <v>0</v>
      </c>
      <c r="W125" s="21" t="n">
        <f aca="false">Z125-P125*R125/(1-R125)</f>
        <v>0</v>
      </c>
      <c r="X125" s="21" t="n">
        <f aca="false">S125+V125+W125</f>
        <v>0</v>
      </c>
      <c r="Y125" s="20"/>
      <c r="Z125" s="20"/>
      <c r="AA125" s="19" t="n">
        <v>0</v>
      </c>
      <c r="AB125" s="20"/>
      <c r="AC125" s="20"/>
      <c r="AD125" s="24" t="n">
        <f aca="false">IFERROR(AA125/AC125,0)</f>
        <v>0</v>
      </c>
      <c r="AE125" s="25" t="n">
        <f aca="false">K125-Q125-X125</f>
        <v>0</v>
      </c>
      <c r="AF125" s="25" t="n">
        <f aca="false">Q125-AA125</f>
        <v>0</v>
      </c>
      <c r="AG125" s="20"/>
      <c r="AH125" s="26" t="n">
        <f aca="false">IFERROR(AG125/Q125,0)</f>
        <v>0</v>
      </c>
      <c r="AI125" s="27" t="n">
        <v>0</v>
      </c>
      <c r="AJ125" s="26" t="n">
        <f aca="false">IF(AI125&gt;0,AprCoef/SQRT(AI125),0)</f>
        <v>0</v>
      </c>
      <c r="AK125" s="24" t="n">
        <f aca="false">AI125*AJ125/365</f>
        <v>0</v>
      </c>
      <c r="AL125" s="24" t="n">
        <f aca="false">AD125</f>
        <v>0</v>
      </c>
      <c r="AM125" s="24" t="n">
        <f aca="false">AK125-AL125</f>
        <v>0</v>
      </c>
      <c r="AN125" s="28" t="str">
        <f aca="false">IF(A125&gt;=Hip3LaunchDate,"YES","")</f>
        <v/>
      </c>
      <c r="AO125" s="28" t="str">
        <f aca="false">IF(A125&lt;Hip4LaunchDate,"pre-launch","live (zero-fee)")</f>
        <v>pre-launch</v>
      </c>
      <c r="AP125" s="20"/>
      <c r="AQ125" s="20"/>
      <c r="AR125" s="20"/>
    </row>
    <row r="126" customFormat="false" ht="15" hidden="false" customHeight="false" outlineLevel="0" collapsed="false">
      <c r="A126" s="18" t="n">
        <v>45187</v>
      </c>
      <c r="B126" s="19" t="n">
        <v>71258142.62</v>
      </c>
      <c r="C126" s="19" t="n">
        <v>0</v>
      </c>
      <c r="D126" s="20"/>
      <c r="E126" s="21" t="n">
        <f aca="false">B126+C126</f>
        <v>71258142.62</v>
      </c>
      <c r="F126" s="21" t="n">
        <f aca="false">E126+D126</f>
        <v>71258142.62</v>
      </c>
      <c r="G126" s="22" t="n">
        <f aca="false">IFERROR(C126/E126,0)</f>
        <v>0</v>
      </c>
      <c r="H126" s="20"/>
      <c r="I126" s="20"/>
      <c r="J126" s="20"/>
      <c r="K126" s="21" t="n">
        <f aca="false">H126+I126</f>
        <v>0</v>
      </c>
      <c r="L126" s="20"/>
      <c r="M126" s="21" t="n">
        <f aca="false">H126-L126</f>
        <v>0</v>
      </c>
      <c r="N126" s="23" t="n">
        <f aca="false">IFERROR(M126/B126*10000,0)</f>
        <v>0</v>
      </c>
      <c r="O126" s="20"/>
      <c r="P126" s="20"/>
      <c r="Q126" s="21" t="n">
        <f aca="false">O126+P126</f>
        <v>0</v>
      </c>
      <c r="R126" s="22" t="n">
        <f aca="false">IF(A126&lt;HlpChangeDate,HlpSharePre,HlpSharePost)</f>
        <v>0.03</v>
      </c>
      <c r="S126" s="21" t="n">
        <f aca="false">Q126*R126/(1-R126)</f>
        <v>0</v>
      </c>
      <c r="T126" s="20"/>
      <c r="U126" s="21" t="n">
        <f aca="false">S126-T126</f>
        <v>0</v>
      </c>
      <c r="V126" s="21" t="n">
        <f aca="false">Y126-O126*R126/(1-R126)</f>
        <v>0</v>
      </c>
      <c r="W126" s="21" t="n">
        <f aca="false">Z126-P126*R126/(1-R126)</f>
        <v>0</v>
      </c>
      <c r="X126" s="21" t="n">
        <f aca="false">S126+V126+W126</f>
        <v>0</v>
      </c>
      <c r="Y126" s="20"/>
      <c r="Z126" s="20"/>
      <c r="AA126" s="19" t="n">
        <v>0</v>
      </c>
      <c r="AB126" s="20"/>
      <c r="AC126" s="20"/>
      <c r="AD126" s="24" t="n">
        <f aca="false">IFERROR(AA126/AC126,0)</f>
        <v>0</v>
      </c>
      <c r="AE126" s="25" t="n">
        <f aca="false">K126-Q126-X126</f>
        <v>0</v>
      </c>
      <c r="AF126" s="25" t="n">
        <f aca="false">Q126-AA126</f>
        <v>0</v>
      </c>
      <c r="AG126" s="20"/>
      <c r="AH126" s="26" t="n">
        <f aca="false">IFERROR(AG126/Q126,0)</f>
        <v>0</v>
      </c>
      <c r="AI126" s="27" t="n">
        <v>0</v>
      </c>
      <c r="AJ126" s="26" t="n">
        <f aca="false">IF(AI126&gt;0,AprCoef/SQRT(AI126),0)</f>
        <v>0</v>
      </c>
      <c r="AK126" s="24" t="n">
        <f aca="false">AI126*AJ126/365</f>
        <v>0</v>
      </c>
      <c r="AL126" s="24" t="n">
        <f aca="false">AD126</f>
        <v>0</v>
      </c>
      <c r="AM126" s="24" t="n">
        <f aca="false">AK126-AL126</f>
        <v>0</v>
      </c>
      <c r="AN126" s="28" t="str">
        <f aca="false">IF(A126&gt;=Hip3LaunchDate,"YES","")</f>
        <v/>
      </c>
      <c r="AO126" s="28" t="str">
        <f aca="false">IF(A126&lt;Hip4LaunchDate,"pre-launch","live (zero-fee)")</f>
        <v>pre-launch</v>
      </c>
      <c r="AP126" s="20"/>
      <c r="AQ126" s="20"/>
      <c r="AR126" s="20"/>
    </row>
    <row r="127" customFormat="false" ht="15" hidden="false" customHeight="false" outlineLevel="0" collapsed="false">
      <c r="A127" s="18" t="n">
        <v>45188</v>
      </c>
      <c r="B127" s="19" t="n">
        <v>31532210.87</v>
      </c>
      <c r="C127" s="19" t="n">
        <v>0</v>
      </c>
      <c r="D127" s="20"/>
      <c r="E127" s="21" t="n">
        <f aca="false">B127+C127</f>
        <v>31532210.87</v>
      </c>
      <c r="F127" s="21" t="n">
        <f aca="false">E127+D127</f>
        <v>31532210.87</v>
      </c>
      <c r="G127" s="22" t="n">
        <f aca="false">IFERROR(C127/E127,0)</f>
        <v>0</v>
      </c>
      <c r="H127" s="20"/>
      <c r="I127" s="20"/>
      <c r="J127" s="20"/>
      <c r="K127" s="21" t="n">
        <f aca="false">H127+I127</f>
        <v>0</v>
      </c>
      <c r="L127" s="20"/>
      <c r="M127" s="21" t="n">
        <f aca="false">H127-L127</f>
        <v>0</v>
      </c>
      <c r="N127" s="23" t="n">
        <f aca="false">IFERROR(M127/B127*10000,0)</f>
        <v>0</v>
      </c>
      <c r="O127" s="20"/>
      <c r="P127" s="20"/>
      <c r="Q127" s="21" t="n">
        <f aca="false">O127+P127</f>
        <v>0</v>
      </c>
      <c r="R127" s="22" t="n">
        <f aca="false">IF(A127&lt;HlpChangeDate,HlpSharePre,HlpSharePost)</f>
        <v>0.03</v>
      </c>
      <c r="S127" s="21" t="n">
        <f aca="false">Q127*R127/(1-R127)</f>
        <v>0</v>
      </c>
      <c r="T127" s="20"/>
      <c r="U127" s="21" t="n">
        <f aca="false">S127-T127</f>
        <v>0</v>
      </c>
      <c r="V127" s="21" t="n">
        <f aca="false">Y127-O127*R127/(1-R127)</f>
        <v>0</v>
      </c>
      <c r="W127" s="21" t="n">
        <f aca="false">Z127-P127*R127/(1-R127)</f>
        <v>0</v>
      </c>
      <c r="X127" s="21" t="n">
        <f aca="false">S127+V127+W127</f>
        <v>0</v>
      </c>
      <c r="Y127" s="20"/>
      <c r="Z127" s="20"/>
      <c r="AA127" s="19" t="n">
        <v>0</v>
      </c>
      <c r="AB127" s="20"/>
      <c r="AC127" s="20"/>
      <c r="AD127" s="24" t="n">
        <f aca="false">IFERROR(AA127/AC127,0)</f>
        <v>0</v>
      </c>
      <c r="AE127" s="25" t="n">
        <f aca="false">K127-Q127-X127</f>
        <v>0</v>
      </c>
      <c r="AF127" s="25" t="n">
        <f aca="false">Q127-AA127</f>
        <v>0</v>
      </c>
      <c r="AG127" s="20"/>
      <c r="AH127" s="26" t="n">
        <f aca="false">IFERROR(AG127/Q127,0)</f>
        <v>0</v>
      </c>
      <c r="AI127" s="27" t="n">
        <v>0</v>
      </c>
      <c r="AJ127" s="26" t="n">
        <f aca="false">IF(AI127&gt;0,AprCoef/SQRT(AI127),0)</f>
        <v>0</v>
      </c>
      <c r="AK127" s="24" t="n">
        <f aca="false">AI127*AJ127/365</f>
        <v>0</v>
      </c>
      <c r="AL127" s="24" t="n">
        <f aca="false">AD127</f>
        <v>0</v>
      </c>
      <c r="AM127" s="24" t="n">
        <f aca="false">AK127-AL127</f>
        <v>0</v>
      </c>
      <c r="AN127" s="28" t="str">
        <f aca="false">IF(A127&gt;=Hip3LaunchDate,"YES","")</f>
        <v/>
      </c>
      <c r="AO127" s="28" t="str">
        <f aca="false">IF(A127&lt;Hip4LaunchDate,"pre-launch","live (zero-fee)")</f>
        <v>pre-launch</v>
      </c>
      <c r="AP127" s="20"/>
      <c r="AQ127" s="20"/>
      <c r="AR127" s="20"/>
    </row>
    <row r="128" customFormat="false" ht="15" hidden="false" customHeight="false" outlineLevel="0" collapsed="false">
      <c r="A128" s="18" t="n">
        <v>45189</v>
      </c>
      <c r="B128" s="19" t="n">
        <v>38348153.12</v>
      </c>
      <c r="C128" s="19" t="n">
        <v>0</v>
      </c>
      <c r="D128" s="20"/>
      <c r="E128" s="21" t="n">
        <f aca="false">B128+C128</f>
        <v>38348153.12</v>
      </c>
      <c r="F128" s="21" t="n">
        <f aca="false">E128+D128</f>
        <v>38348153.12</v>
      </c>
      <c r="G128" s="22" t="n">
        <f aca="false">IFERROR(C128/E128,0)</f>
        <v>0</v>
      </c>
      <c r="H128" s="20"/>
      <c r="I128" s="20"/>
      <c r="J128" s="20"/>
      <c r="K128" s="21" t="n">
        <f aca="false">H128+I128</f>
        <v>0</v>
      </c>
      <c r="L128" s="20"/>
      <c r="M128" s="21" t="n">
        <f aca="false">H128-L128</f>
        <v>0</v>
      </c>
      <c r="N128" s="23" t="n">
        <f aca="false">IFERROR(M128/B128*10000,0)</f>
        <v>0</v>
      </c>
      <c r="O128" s="20"/>
      <c r="P128" s="20"/>
      <c r="Q128" s="21" t="n">
        <f aca="false">O128+P128</f>
        <v>0</v>
      </c>
      <c r="R128" s="22" t="n">
        <f aca="false">IF(A128&lt;HlpChangeDate,HlpSharePre,HlpSharePost)</f>
        <v>0.03</v>
      </c>
      <c r="S128" s="21" t="n">
        <f aca="false">Q128*R128/(1-R128)</f>
        <v>0</v>
      </c>
      <c r="T128" s="20"/>
      <c r="U128" s="21" t="n">
        <f aca="false">S128-T128</f>
        <v>0</v>
      </c>
      <c r="V128" s="21" t="n">
        <f aca="false">Y128-O128*R128/(1-R128)</f>
        <v>0</v>
      </c>
      <c r="W128" s="21" t="n">
        <f aca="false">Z128-P128*R128/(1-R128)</f>
        <v>0</v>
      </c>
      <c r="X128" s="21" t="n">
        <f aca="false">S128+V128+W128</f>
        <v>0</v>
      </c>
      <c r="Y128" s="20"/>
      <c r="Z128" s="20"/>
      <c r="AA128" s="19" t="n">
        <v>0</v>
      </c>
      <c r="AB128" s="20"/>
      <c r="AC128" s="20"/>
      <c r="AD128" s="24" t="n">
        <f aca="false">IFERROR(AA128/AC128,0)</f>
        <v>0</v>
      </c>
      <c r="AE128" s="25" t="n">
        <f aca="false">K128-Q128-X128</f>
        <v>0</v>
      </c>
      <c r="AF128" s="25" t="n">
        <f aca="false">Q128-AA128</f>
        <v>0</v>
      </c>
      <c r="AG128" s="20"/>
      <c r="AH128" s="26" t="n">
        <f aca="false">IFERROR(AG128/Q128,0)</f>
        <v>0</v>
      </c>
      <c r="AI128" s="27" t="n">
        <v>0</v>
      </c>
      <c r="AJ128" s="26" t="n">
        <f aca="false">IF(AI128&gt;0,AprCoef/SQRT(AI128),0)</f>
        <v>0</v>
      </c>
      <c r="AK128" s="24" t="n">
        <f aca="false">AI128*AJ128/365</f>
        <v>0</v>
      </c>
      <c r="AL128" s="24" t="n">
        <f aca="false">AD128</f>
        <v>0</v>
      </c>
      <c r="AM128" s="24" t="n">
        <f aca="false">AK128-AL128</f>
        <v>0</v>
      </c>
      <c r="AN128" s="28" t="str">
        <f aca="false">IF(A128&gt;=Hip3LaunchDate,"YES","")</f>
        <v/>
      </c>
      <c r="AO128" s="28" t="str">
        <f aca="false">IF(A128&lt;Hip4LaunchDate,"pre-launch","live (zero-fee)")</f>
        <v>pre-launch</v>
      </c>
      <c r="AP128" s="20"/>
      <c r="AQ128" s="20"/>
      <c r="AR128" s="20"/>
    </row>
    <row r="129" customFormat="false" ht="15" hidden="false" customHeight="false" outlineLevel="0" collapsed="false">
      <c r="A129" s="18" t="n">
        <v>45190</v>
      </c>
      <c r="B129" s="19" t="n">
        <v>63998600.02</v>
      </c>
      <c r="C129" s="19" t="n">
        <v>0</v>
      </c>
      <c r="D129" s="20"/>
      <c r="E129" s="21" t="n">
        <f aca="false">B129+C129</f>
        <v>63998600.02</v>
      </c>
      <c r="F129" s="21" t="n">
        <f aca="false">E129+D129</f>
        <v>63998600.02</v>
      </c>
      <c r="G129" s="22" t="n">
        <f aca="false">IFERROR(C129/E129,0)</f>
        <v>0</v>
      </c>
      <c r="H129" s="20"/>
      <c r="I129" s="20"/>
      <c r="J129" s="20"/>
      <c r="K129" s="21" t="n">
        <f aca="false">H129+I129</f>
        <v>0</v>
      </c>
      <c r="L129" s="20"/>
      <c r="M129" s="21" t="n">
        <f aca="false">H129-L129</f>
        <v>0</v>
      </c>
      <c r="N129" s="23" t="n">
        <f aca="false">IFERROR(M129/B129*10000,0)</f>
        <v>0</v>
      </c>
      <c r="O129" s="20"/>
      <c r="P129" s="20"/>
      <c r="Q129" s="21" t="n">
        <f aca="false">O129+P129</f>
        <v>0</v>
      </c>
      <c r="R129" s="22" t="n">
        <f aca="false">IF(A129&lt;HlpChangeDate,HlpSharePre,HlpSharePost)</f>
        <v>0.03</v>
      </c>
      <c r="S129" s="21" t="n">
        <f aca="false">Q129*R129/(1-R129)</f>
        <v>0</v>
      </c>
      <c r="T129" s="20"/>
      <c r="U129" s="21" t="n">
        <f aca="false">S129-T129</f>
        <v>0</v>
      </c>
      <c r="V129" s="21" t="n">
        <f aca="false">Y129-O129*R129/(1-R129)</f>
        <v>0</v>
      </c>
      <c r="W129" s="21" t="n">
        <f aca="false">Z129-P129*R129/(1-R129)</f>
        <v>0</v>
      </c>
      <c r="X129" s="21" t="n">
        <f aca="false">S129+V129+W129</f>
        <v>0</v>
      </c>
      <c r="Y129" s="20"/>
      <c r="Z129" s="20"/>
      <c r="AA129" s="19" t="n">
        <v>0</v>
      </c>
      <c r="AB129" s="20"/>
      <c r="AC129" s="20"/>
      <c r="AD129" s="24" t="n">
        <f aca="false">IFERROR(AA129/AC129,0)</f>
        <v>0</v>
      </c>
      <c r="AE129" s="25" t="n">
        <f aca="false">K129-Q129-X129</f>
        <v>0</v>
      </c>
      <c r="AF129" s="25" t="n">
        <f aca="false">Q129-AA129</f>
        <v>0</v>
      </c>
      <c r="AG129" s="20"/>
      <c r="AH129" s="26" t="n">
        <f aca="false">IFERROR(AG129/Q129,0)</f>
        <v>0</v>
      </c>
      <c r="AI129" s="27" t="n">
        <v>0</v>
      </c>
      <c r="AJ129" s="26" t="n">
        <f aca="false">IF(AI129&gt;0,AprCoef/SQRT(AI129),0)</f>
        <v>0</v>
      </c>
      <c r="AK129" s="24" t="n">
        <f aca="false">AI129*AJ129/365</f>
        <v>0</v>
      </c>
      <c r="AL129" s="24" t="n">
        <f aca="false">AD129</f>
        <v>0</v>
      </c>
      <c r="AM129" s="24" t="n">
        <f aca="false">AK129-AL129</f>
        <v>0</v>
      </c>
      <c r="AN129" s="28" t="str">
        <f aca="false">IF(A129&gt;=Hip3LaunchDate,"YES","")</f>
        <v/>
      </c>
      <c r="AO129" s="28" t="str">
        <f aca="false">IF(A129&lt;Hip4LaunchDate,"pre-launch","live (zero-fee)")</f>
        <v>pre-launch</v>
      </c>
      <c r="AP129" s="20"/>
      <c r="AQ129" s="20"/>
      <c r="AR129" s="20"/>
    </row>
    <row r="130" customFormat="false" ht="15" hidden="false" customHeight="false" outlineLevel="0" collapsed="false">
      <c r="A130" s="18" t="n">
        <v>45191</v>
      </c>
      <c r="B130" s="19" t="n">
        <v>31462561.21</v>
      </c>
      <c r="C130" s="19" t="n">
        <v>0</v>
      </c>
      <c r="D130" s="20"/>
      <c r="E130" s="21" t="n">
        <f aca="false">B130+C130</f>
        <v>31462561.21</v>
      </c>
      <c r="F130" s="21" t="n">
        <f aca="false">E130+D130</f>
        <v>31462561.21</v>
      </c>
      <c r="G130" s="22" t="n">
        <f aca="false">IFERROR(C130/E130,0)</f>
        <v>0</v>
      </c>
      <c r="H130" s="20"/>
      <c r="I130" s="20"/>
      <c r="J130" s="20"/>
      <c r="K130" s="21" t="n">
        <f aca="false">H130+I130</f>
        <v>0</v>
      </c>
      <c r="L130" s="20"/>
      <c r="M130" s="21" t="n">
        <f aca="false">H130-L130</f>
        <v>0</v>
      </c>
      <c r="N130" s="23" t="n">
        <f aca="false">IFERROR(M130/B130*10000,0)</f>
        <v>0</v>
      </c>
      <c r="O130" s="20"/>
      <c r="P130" s="20"/>
      <c r="Q130" s="21" t="n">
        <f aca="false">O130+P130</f>
        <v>0</v>
      </c>
      <c r="R130" s="22" t="n">
        <f aca="false">IF(A130&lt;HlpChangeDate,HlpSharePre,HlpSharePost)</f>
        <v>0.03</v>
      </c>
      <c r="S130" s="21" t="n">
        <f aca="false">Q130*R130/(1-R130)</f>
        <v>0</v>
      </c>
      <c r="T130" s="20"/>
      <c r="U130" s="21" t="n">
        <f aca="false">S130-T130</f>
        <v>0</v>
      </c>
      <c r="V130" s="21" t="n">
        <f aca="false">Y130-O130*R130/(1-R130)</f>
        <v>0</v>
      </c>
      <c r="W130" s="21" t="n">
        <f aca="false">Z130-P130*R130/(1-R130)</f>
        <v>0</v>
      </c>
      <c r="X130" s="21" t="n">
        <f aca="false">S130+V130+W130</f>
        <v>0</v>
      </c>
      <c r="Y130" s="20"/>
      <c r="Z130" s="20"/>
      <c r="AA130" s="19" t="n">
        <v>0</v>
      </c>
      <c r="AB130" s="20"/>
      <c r="AC130" s="20"/>
      <c r="AD130" s="24" t="n">
        <f aca="false">IFERROR(AA130/AC130,0)</f>
        <v>0</v>
      </c>
      <c r="AE130" s="25" t="n">
        <f aca="false">K130-Q130-X130</f>
        <v>0</v>
      </c>
      <c r="AF130" s="25" t="n">
        <f aca="false">Q130-AA130</f>
        <v>0</v>
      </c>
      <c r="AG130" s="20"/>
      <c r="AH130" s="26" t="n">
        <f aca="false">IFERROR(AG130/Q130,0)</f>
        <v>0</v>
      </c>
      <c r="AI130" s="27" t="n">
        <v>0</v>
      </c>
      <c r="AJ130" s="26" t="n">
        <f aca="false">IF(AI130&gt;0,AprCoef/SQRT(AI130),0)</f>
        <v>0</v>
      </c>
      <c r="AK130" s="24" t="n">
        <f aca="false">AI130*AJ130/365</f>
        <v>0</v>
      </c>
      <c r="AL130" s="24" t="n">
        <f aca="false">AD130</f>
        <v>0</v>
      </c>
      <c r="AM130" s="24" t="n">
        <f aca="false">AK130-AL130</f>
        <v>0</v>
      </c>
      <c r="AN130" s="28" t="str">
        <f aca="false">IF(A130&gt;=Hip3LaunchDate,"YES","")</f>
        <v/>
      </c>
      <c r="AO130" s="28" t="str">
        <f aca="false">IF(A130&lt;Hip4LaunchDate,"pre-launch","live (zero-fee)")</f>
        <v>pre-launch</v>
      </c>
      <c r="AP130" s="20"/>
      <c r="AQ130" s="20"/>
      <c r="AR130" s="20"/>
    </row>
    <row r="131" customFormat="false" ht="15" hidden="false" customHeight="false" outlineLevel="0" collapsed="false">
      <c r="A131" s="18" t="n">
        <v>45192</v>
      </c>
      <c r="B131" s="19" t="n">
        <v>27973790.49</v>
      </c>
      <c r="C131" s="19" t="n">
        <v>0</v>
      </c>
      <c r="D131" s="20"/>
      <c r="E131" s="21" t="n">
        <f aca="false">B131+C131</f>
        <v>27973790.49</v>
      </c>
      <c r="F131" s="21" t="n">
        <f aca="false">E131+D131</f>
        <v>27973790.49</v>
      </c>
      <c r="G131" s="22" t="n">
        <f aca="false">IFERROR(C131/E131,0)</f>
        <v>0</v>
      </c>
      <c r="H131" s="20"/>
      <c r="I131" s="20"/>
      <c r="J131" s="20"/>
      <c r="K131" s="21" t="n">
        <f aca="false">H131+I131</f>
        <v>0</v>
      </c>
      <c r="L131" s="20"/>
      <c r="M131" s="21" t="n">
        <f aca="false">H131-L131</f>
        <v>0</v>
      </c>
      <c r="N131" s="23" t="n">
        <f aca="false">IFERROR(M131/B131*10000,0)</f>
        <v>0</v>
      </c>
      <c r="O131" s="20"/>
      <c r="P131" s="20"/>
      <c r="Q131" s="21" t="n">
        <f aca="false">O131+P131</f>
        <v>0</v>
      </c>
      <c r="R131" s="22" t="n">
        <f aca="false">IF(A131&lt;HlpChangeDate,HlpSharePre,HlpSharePost)</f>
        <v>0.03</v>
      </c>
      <c r="S131" s="21" t="n">
        <f aca="false">Q131*R131/(1-R131)</f>
        <v>0</v>
      </c>
      <c r="T131" s="20"/>
      <c r="U131" s="21" t="n">
        <f aca="false">S131-T131</f>
        <v>0</v>
      </c>
      <c r="V131" s="21" t="n">
        <f aca="false">Y131-O131*R131/(1-R131)</f>
        <v>0</v>
      </c>
      <c r="W131" s="21" t="n">
        <f aca="false">Z131-P131*R131/(1-R131)</f>
        <v>0</v>
      </c>
      <c r="X131" s="21" t="n">
        <f aca="false">S131+V131+W131</f>
        <v>0</v>
      </c>
      <c r="Y131" s="20"/>
      <c r="Z131" s="20"/>
      <c r="AA131" s="19" t="n">
        <v>0</v>
      </c>
      <c r="AB131" s="20"/>
      <c r="AC131" s="20"/>
      <c r="AD131" s="24" t="n">
        <f aca="false">IFERROR(AA131/AC131,0)</f>
        <v>0</v>
      </c>
      <c r="AE131" s="25" t="n">
        <f aca="false">K131-Q131-X131</f>
        <v>0</v>
      </c>
      <c r="AF131" s="25" t="n">
        <f aca="false">Q131-AA131</f>
        <v>0</v>
      </c>
      <c r="AG131" s="20"/>
      <c r="AH131" s="26" t="n">
        <f aca="false">IFERROR(AG131/Q131,0)</f>
        <v>0</v>
      </c>
      <c r="AI131" s="27" t="n">
        <v>0</v>
      </c>
      <c r="AJ131" s="26" t="n">
        <f aca="false">IF(AI131&gt;0,AprCoef/SQRT(AI131),0)</f>
        <v>0</v>
      </c>
      <c r="AK131" s="24" t="n">
        <f aca="false">AI131*AJ131/365</f>
        <v>0</v>
      </c>
      <c r="AL131" s="24" t="n">
        <f aca="false">AD131</f>
        <v>0</v>
      </c>
      <c r="AM131" s="24" t="n">
        <f aca="false">AK131-AL131</f>
        <v>0</v>
      </c>
      <c r="AN131" s="28" t="str">
        <f aca="false">IF(A131&gt;=Hip3LaunchDate,"YES","")</f>
        <v/>
      </c>
      <c r="AO131" s="28" t="str">
        <f aca="false">IF(A131&lt;Hip4LaunchDate,"pre-launch","live (zero-fee)")</f>
        <v>pre-launch</v>
      </c>
      <c r="AP131" s="20"/>
      <c r="AQ131" s="20"/>
      <c r="AR131" s="20"/>
    </row>
    <row r="132" customFormat="false" ht="15" hidden="false" customHeight="false" outlineLevel="0" collapsed="false">
      <c r="A132" s="18" t="n">
        <v>45193</v>
      </c>
      <c r="B132" s="19" t="n">
        <v>20496216.66</v>
      </c>
      <c r="C132" s="19" t="n">
        <v>0</v>
      </c>
      <c r="D132" s="20"/>
      <c r="E132" s="21" t="n">
        <f aca="false">B132+C132</f>
        <v>20496216.66</v>
      </c>
      <c r="F132" s="21" t="n">
        <f aca="false">E132+D132</f>
        <v>20496216.66</v>
      </c>
      <c r="G132" s="22" t="n">
        <f aca="false">IFERROR(C132/E132,0)</f>
        <v>0</v>
      </c>
      <c r="H132" s="20"/>
      <c r="I132" s="20"/>
      <c r="J132" s="20"/>
      <c r="K132" s="21" t="n">
        <f aca="false">H132+I132</f>
        <v>0</v>
      </c>
      <c r="L132" s="20"/>
      <c r="M132" s="21" t="n">
        <f aca="false">H132-L132</f>
        <v>0</v>
      </c>
      <c r="N132" s="23" t="n">
        <f aca="false">IFERROR(M132/B132*10000,0)</f>
        <v>0</v>
      </c>
      <c r="O132" s="20"/>
      <c r="P132" s="20"/>
      <c r="Q132" s="21" t="n">
        <f aca="false">O132+P132</f>
        <v>0</v>
      </c>
      <c r="R132" s="22" t="n">
        <f aca="false">IF(A132&lt;HlpChangeDate,HlpSharePre,HlpSharePost)</f>
        <v>0.03</v>
      </c>
      <c r="S132" s="21" t="n">
        <f aca="false">Q132*R132/(1-R132)</f>
        <v>0</v>
      </c>
      <c r="T132" s="20"/>
      <c r="U132" s="21" t="n">
        <f aca="false">S132-T132</f>
        <v>0</v>
      </c>
      <c r="V132" s="21" t="n">
        <f aca="false">Y132-O132*R132/(1-R132)</f>
        <v>0</v>
      </c>
      <c r="W132" s="21" t="n">
        <f aca="false">Z132-P132*R132/(1-R132)</f>
        <v>0</v>
      </c>
      <c r="X132" s="21" t="n">
        <f aca="false">S132+V132+W132</f>
        <v>0</v>
      </c>
      <c r="Y132" s="20"/>
      <c r="Z132" s="20"/>
      <c r="AA132" s="19" t="n">
        <v>0</v>
      </c>
      <c r="AB132" s="20"/>
      <c r="AC132" s="20"/>
      <c r="AD132" s="24" t="n">
        <f aca="false">IFERROR(AA132/AC132,0)</f>
        <v>0</v>
      </c>
      <c r="AE132" s="25" t="n">
        <f aca="false">K132-Q132-X132</f>
        <v>0</v>
      </c>
      <c r="AF132" s="25" t="n">
        <f aca="false">Q132-AA132</f>
        <v>0</v>
      </c>
      <c r="AG132" s="20"/>
      <c r="AH132" s="26" t="n">
        <f aca="false">IFERROR(AG132/Q132,0)</f>
        <v>0</v>
      </c>
      <c r="AI132" s="27" t="n">
        <v>0</v>
      </c>
      <c r="AJ132" s="26" t="n">
        <f aca="false">IF(AI132&gt;0,AprCoef/SQRT(AI132),0)</f>
        <v>0</v>
      </c>
      <c r="AK132" s="24" t="n">
        <f aca="false">AI132*AJ132/365</f>
        <v>0</v>
      </c>
      <c r="AL132" s="24" t="n">
        <f aca="false">AD132</f>
        <v>0</v>
      </c>
      <c r="AM132" s="24" t="n">
        <f aca="false">AK132-AL132</f>
        <v>0</v>
      </c>
      <c r="AN132" s="28" t="str">
        <f aca="false">IF(A132&gt;=Hip3LaunchDate,"YES","")</f>
        <v/>
      </c>
      <c r="AO132" s="28" t="str">
        <f aca="false">IF(A132&lt;Hip4LaunchDate,"pre-launch","live (zero-fee)")</f>
        <v>pre-launch</v>
      </c>
      <c r="AP132" s="20"/>
      <c r="AQ132" s="20"/>
      <c r="AR132" s="20"/>
    </row>
    <row r="133" customFormat="false" ht="15" hidden="false" customHeight="false" outlineLevel="0" collapsed="false">
      <c r="A133" s="18" t="n">
        <v>45194</v>
      </c>
      <c r="B133" s="19" t="n">
        <v>34526168.77</v>
      </c>
      <c r="C133" s="19" t="n">
        <v>0</v>
      </c>
      <c r="D133" s="20"/>
      <c r="E133" s="21" t="n">
        <f aca="false">B133+C133</f>
        <v>34526168.77</v>
      </c>
      <c r="F133" s="21" t="n">
        <f aca="false">E133+D133</f>
        <v>34526168.77</v>
      </c>
      <c r="G133" s="22" t="n">
        <f aca="false">IFERROR(C133/E133,0)</f>
        <v>0</v>
      </c>
      <c r="H133" s="20"/>
      <c r="I133" s="20"/>
      <c r="J133" s="20"/>
      <c r="K133" s="21" t="n">
        <f aca="false">H133+I133</f>
        <v>0</v>
      </c>
      <c r="L133" s="20"/>
      <c r="M133" s="21" t="n">
        <f aca="false">H133-L133</f>
        <v>0</v>
      </c>
      <c r="N133" s="23" t="n">
        <f aca="false">IFERROR(M133/B133*10000,0)</f>
        <v>0</v>
      </c>
      <c r="O133" s="20"/>
      <c r="P133" s="20"/>
      <c r="Q133" s="21" t="n">
        <f aca="false">O133+P133</f>
        <v>0</v>
      </c>
      <c r="R133" s="22" t="n">
        <f aca="false">IF(A133&lt;HlpChangeDate,HlpSharePre,HlpSharePost)</f>
        <v>0.03</v>
      </c>
      <c r="S133" s="21" t="n">
        <f aca="false">Q133*R133/(1-R133)</f>
        <v>0</v>
      </c>
      <c r="T133" s="20"/>
      <c r="U133" s="21" t="n">
        <f aca="false">S133-T133</f>
        <v>0</v>
      </c>
      <c r="V133" s="21" t="n">
        <f aca="false">Y133-O133*R133/(1-R133)</f>
        <v>0</v>
      </c>
      <c r="W133" s="21" t="n">
        <f aca="false">Z133-P133*R133/(1-R133)</f>
        <v>0</v>
      </c>
      <c r="X133" s="21" t="n">
        <f aca="false">S133+V133+W133</f>
        <v>0</v>
      </c>
      <c r="Y133" s="20"/>
      <c r="Z133" s="20"/>
      <c r="AA133" s="19" t="n">
        <v>0</v>
      </c>
      <c r="AB133" s="20"/>
      <c r="AC133" s="20"/>
      <c r="AD133" s="24" t="n">
        <f aca="false">IFERROR(AA133/AC133,0)</f>
        <v>0</v>
      </c>
      <c r="AE133" s="25" t="n">
        <f aca="false">K133-Q133-X133</f>
        <v>0</v>
      </c>
      <c r="AF133" s="25" t="n">
        <f aca="false">Q133-AA133</f>
        <v>0</v>
      </c>
      <c r="AG133" s="20"/>
      <c r="AH133" s="26" t="n">
        <f aca="false">IFERROR(AG133/Q133,0)</f>
        <v>0</v>
      </c>
      <c r="AI133" s="27" t="n">
        <v>0</v>
      </c>
      <c r="AJ133" s="26" t="n">
        <f aca="false">IF(AI133&gt;0,AprCoef/SQRT(AI133),0)</f>
        <v>0</v>
      </c>
      <c r="AK133" s="24" t="n">
        <f aca="false">AI133*AJ133/365</f>
        <v>0</v>
      </c>
      <c r="AL133" s="24" t="n">
        <f aca="false">AD133</f>
        <v>0</v>
      </c>
      <c r="AM133" s="24" t="n">
        <f aca="false">AK133-AL133</f>
        <v>0</v>
      </c>
      <c r="AN133" s="28" t="str">
        <f aca="false">IF(A133&gt;=Hip3LaunchDate,"YES","")</f>
        <v/>
      </c>
      <c r="AO133" s="28" t="str">
        <f aca="false">IF(A133&lt;Hip4LaunchDate,"pre-launch","live (zero-fee)")</f>
        <v>pre-launch</v>
      </c>
      <c r="AP133" s="20"/>
      <c r="AQ133" s="20"/>
      <c r="AR133" s="20"/>
    </row>
    <row r="134" customFormat="false" ht="15" hidden="false" customHeight="false" outlineLevel="0" collapsed="false">
      <c r="A134" s="18" t="n">
        <v>45195</v>
      </c>
      <c r="B134" s="19" t="n">
        <v>27706774.09</v>
      </c>
      <c r="C134" s="19" t="n">
        <v>0</v>
      </c>
      <c r="D134" s="20"/>
      <c r="E134" s="21" t="n">
        <f aca="false">B134+C134</f>
        <v>27706774.09</v>
      </c>
      <c r="F134" s="21" t="n">
        <f aca="false">E134+D134</f>
        <v>27706774.09</v>
      </c>
      <c r="G134" s="22" t="n">
        <f aca="false">IFERROR(C134/E134,0)</f>
        <v>0</v>
      </c>
      <c r="H134" s="20"/>
      <c r="I134" s="20"/>
      <c r="J134" s="20"/>
      <c r="K134" s="21" t="n">
        <f aca="false">H134+I134</f>
        <v>0</v>
      </c>
      <c r="L134" s="20"/>
      <c r="M134" s="21" t="n">
        <f aca="false">H134-L134</f>
        <v>0</v>
      </c>
      <c r="N134" s="23" t="n">
        <f aca="false">IFERROR(M134/B134*10000,0)</f>
        <v>0</v>
      </c>
      <c r="O134" s="20"/>
      <c r="P134" s="20"/>
      <c r="Q134" s="21" t="n">
        <f aca="false">O134+P134</f>
        <v>0</v>
      </c>
      <c r="R134" s="22" t="n">
        <f aca="false">IF(A134&lt;HlpChangeDate,HlpSharePre,HlpSharePost)</f>
        <v>0.03</v>
      </c>
      <c r="S134" s="21" t="n">
        <f aca="false">Q134*R134/(1-R134)</f>
        <v>0</v>
      </c>
      <c r="T134" s="20"/>
      <c r="U134" s="21" t="n">
        <f aca="false">S134-T134</f>
        <v>0</v>
      </c>
      <c r="V134" s="21" t="n">
        <f aca="false">Y134-O134*R134/(1-R134)</f>
        <v>0</v>
      </c>
      <c r="W134" s="21" t="n">
        <f aca="false">Z134-P134*R134/(1-R134)</f>
        <v>0</v>
      </c>
      <c r="X134" s="21" t="n">
        <f aca="false">S134+V134+W134</f>
        <v>0</v>
      </c>
      <c r="Y134" s="20"/>
      <c r="Z134" s="20"/>
      <c r="AA134" s="19" t="n">
        <v>0</v>
      </c>
      <c r="AB134" s="20"/>
      <c r="AC134" s="20"/>
      <c r="AD134" s="24" t="n">
        <f aca="false">IFERROR(AA134/AC134,0)</f>
        <v>0</v>
      </c>
      <c r="AE134" s="25" t="n">
        <f aca="false">K134-Q134-X134</f>
        <v>0</v>
      </c>
      <c r="AF134" s="25" t="n">
        <f aca="false">Q134-AA134</f>
        <v>0</v>
      </c>
      <c r="AG134" s="20"/>
      <c r="AH134" s="26" t="n">
        <f aca="false">IFERROR(AG134/Q134,0)</f>
        <v>0</v>
      </c>
      <c r="AI134" s="27" t="n">
        <v>0</v>
      </c>
      <c r="AJ134" s="26" t="n">
        <f aca="false">IF(AI134&gt;0,AprCoef/SQRT(AI134),0)</f>
        <v>0</v>
      </c>
      <c r="AK134" s="24" t="n">
        <f aca="false">AI134*AJ134/365</f>
        <v>0</v>
      </c>
      <c r="AL134" s="24" t="n">
        <f aca="false">AD134</f>
        <v>0</v>
      </c>
      <c r="AM134" s="24" t="n">
        <f aca="false">AK134-AL134</f>
        <v>0</v>
      </c>
      <c r="AN134" s="28" t="str">
        <f aca="false">IF(A134&gt;=Hip3LaunchDate,"YES","")</f>
        <v/>
      </c>
      <c r="AO134" s="28" t="str">
        <f aca="false">IF(A134&lt;Hip4LaunchDate,"pre-launch","live (zero-fee)")</f>
        <v>pre-launch</v>
      </c>
      <c r="AP134" s="20"/>
      <c r="AQ134" s="20"/>
      <c r="AR134" s="20"/>
    </row>
    <row r="135" customFormat="false" ht="15" hidden="false" customHeight="false" outlineLevel="0" collapsed="false">
      <c r="A135" s="18" t="n">
        <v>45196</v>
      </c>
      <c r="B135" s="19" t="n">
        <v>36889392.14</v>
      </c>
      <c r="C135" s="19" t="n">
        <v>0</v>
      </c>
      <c r="D135" s="20"/>
      <c r="E135" s="21" t="n">
        <f aca="false">B135+C135</f>
        <v>36889392.14</v>
      </c>
      <c r="F135" s="21" t="n">
        <f aca="false">E135+D135</f>
        <v>36889392.14</v>
      </c>
      <c r="G135" s="22" t="n">
        <f aca="false">IFERROR(C135/E135,0)</f>
        <v>0</v>
      </c>
      <c r="H135" s="20"/>
      <c r="I135" s="20"/>
      <c r="J135" s="20"/>
      <c r="K135" s="21" t="n">
        <f aca="false">H135+I135</f>
        <v>0</v>
      </c>
      <c r="L135" s="20"/>
      <c r="M135" s="21" t="n">
        <f aca="false">H135-L135</f>
        <v>0</v>
      </c>
      <c r="N135" s="23" t="n">
        <f aca="false">IFERROR(M135/B135*10000,0)</f>
        <v>0</v>
      </c>
      <c r="O135" s="20"/>
      <c r="P135" s="20"/>
      <c r="Q135" s="21" t="n">
        <f aca="false">O135+P135</f>
        <v>0</v>
      </c>
      <c r="R135" s="22" t="n">
        <f aca="false">IF(A135&lt;HlpChangeDate,HlpSharePre,HlpSharePost)</f>
        <v>0.03</v>
      </c>
      <c r="S135" s="21" t="n">
        <f aca="false">Q135*R135/(1-R135)</f>
        <v>0</v>
      </c>
      <c r="T135" s="20"/>
      <c r="U135" s="21" t="n">
        <f aca="false">S135-T135</f>
        <v>0</v>
      </c>
      <c r="V135" s="21" t="n">
        <f aca="false">Y135-O135*R135/(1-R135)</f>
        <v>0</v>
      </c>
      <c r="W135" s="21" t="n">
        <f aca="false">Z135-P135*R135/(1-R135)</f>
        <v>0</v>
      </c>
      <c r="X135" s="21" t="n">
        <f aca="false">S135+V135+W135</f>
        <v>0</v>
      </c>
      <c r="Y135" s="20"/>
      <c r="Z135" s="20"/>
      <c r="AA135" s="19" t="n">
        <v>0</v>
      </c>
      <c r="AB135" s="20"/>
      <c r="AC135" s="20"/>
      <c r="AD135" s="24" t="n">
        <f aca="false">IFERROR(AA135/AC135,0)</f>
        <v>0</v>
      </c>
      <c r="AE135" s="25" t="n">
        <f aca="false">K135-Q135-X135</f>
        <v>0</v>
      </c>
      <c r="AF135" s="25" t="n">
        <f aca="false">Q135-AA135</f>
        <v>0</v>
      </c>
      <c r="AG135" s="20"/>
      <c r="AH135" s="26" t="n">
        <f aca="false">IFERROR(AG135/Q135,0)</f>
        <v>0</v>
      </c>
      <c r="AI135" s="27" t="n">
        <v>0</v>
      </c>
      <c r="AJ135" s="26" t="n">
        <f aca="false">IF(AI135&gt;0,AprCoef/SQRT(AI135),0)</f>
        <v>0</v>
      </c>
      <c r="AK135" s="24" t="n">
        <f aca="false">AI135*AJ135/365</f>
        <v>0</v>
      </c>
      <c r="AL135" s="24" t="n">
        <f aca="false">AD135</f>
        <v>0</v>
      </c>
      <c r="AM135" s="24" t="n">
        <f aca="false">AK135-AL135</f>
        <v>0</v>
      </c>
      <c r="AN135" s="28" t="str">
        <f aca="false">IF(A135&gt;=Hip3LaunchDate,"YES","")</f>
        <v/>
      </c>
      <c r="AO135" s="28" t="str">
        <f aca="false">IF(A135&lt;Hip4LaunchDate,"pre-launch","live (zero-fee)")</f>
        <v>pre-launch</v>
      </c>
      <c r="AP135" s="20"/>
      <c r="AQ135" s="20"/>
      <c r="AR135" s="20"/>
    </row>
    <row r="136" customFormat="false" ht="15" hidden="false" customHeight="false" outlineLevel="0" collapsed="false">
      <c r="A136" s="18" t="n">
        <v>45197</v>
      </c>
      <c r="B136" s="19" t="n">
        <v>32475861.72</v>
      </c>
      <c r="C136" s="19" t="n">
        <v>0</v>
      </c>
      <c r="D136" s="20"/>
      <c r="E136" s="21" t="n">
        <f aca="false">B136+C136</f>
        <v>32475861.72</v>
      </c>
      <c r="F136" s="21" t="n">
        <f aca="false">E136+D136</f>
        <v>32475861.72</v>
      </c>
      <c r="G136" s="22" t="n">
        <f aca="false">IFERROR(C136/E136,0)</f>
        <v>0</v>
      </c>
      <c r="H136" s="20"/>
      <c r="I136" s="20"/>
      <c r="J136" s="20"/>
      <c r="K136" s="21" t="n">
        <f aca="false">H136+I136</f>
        <v>0</v>
      </c>
      <c r="L136" s="20"/>
      <c r="M136" s="21" t="n">
        <f aca="false">H136-L136</f>
        <v>0</v>
      </c>
      <c r="N136" s="23" t="n">
        <f aca="false">IFERROR(M136/B136*10000,0)</f>
        <v>0</v>
      </c>
      <c r="O136" s="20"/>
      <c r="P136" s="20"/>
      <c r="Q136" s="21" t="n">
        <f aca="false">O136+P136</f>
        <v>0</v>
      </c>
      <c r="R136" s="22" t="n">
        <f aca="false">IF(A136&lt;HlpChangeDate,HlpSharePre,HlpSharePost)</f>
        <v>0.03</v>
      </c>
      <c r="S136" s="21" t="n">
        <f aca="false">Q136*R136/(1-R136)</f>
        <v>0</v>
      </c>
      <c r="T136" s="20"/>
      <c r="U136" s="21" t="n">
        <f aca="false">S136-T136</f>
        <v>0</v>
      </c>
      <c r="V136" s="21" t="n">
        <f aca="false">Y136-O136*R136/(1-R136)</f>
        <v>0</v>
      </c>
      <c r="W136" s="21" t="n">
        <f aca="false">Z136-P136*R136/(1-R136)</f>
        <v>0</v>
      </c>
      <c r="X136" s="21" t="n">
        <f aca="false">S136+V136+W136</f>
        <v>0</v>
      </c>
      <c r="Y136" s="20"/>
      <c r="Z136" s="20"/>
      <c r="AA136" s="19" t="n">
        <v>0</v>
      </c>
      <c r="AB136" s="20"/>
      <c r="AC136" s="20"/>
      <c r="AD136" s="24" t="n">
        <f aca="false">IFERROR(AA136/AC136,0)</f>
        <v>0</v>
      </c>
      <c r="AE136" s="25" t="n">
        <f aca="false">K136-Q136-X136</f>
        <v>0</v>
      </c>
      <c r="AF136" s="25" t="n">
        <f aca="false">Q136-AA136</f>
        <v>0</v>
      </c>
      <c r="AG136" s="20"/>
      <c r="AH136" s="26" t="n">
        <f aca="false">IFERROR(AG136/Q136,0)</f>
        <v>0</v>
      </c>
      <c r="AI136" s="27" t="n">
        <v>0</v>
      </c>
      <c r="AJ136" s="26" t="n">
        <f aca="false">IF(AI136&gt;0,AprCoef/SQRT(AI136),0)</f>
        <v>0</v>
      </c>
      <c r="AK136" s="24" t="n">
        <f aca="false">AI136*AJ136/365</f>
        <v>0</v>
      </c>
      <c r="AL136" s="24" t="n">
        <f aca="false">AD136</f>
        <v>0</v>
      </c>
      <c r="AM136" s="24" t="n">
        <f aca="false">AK136-AL136</f>
        <v>0</v>
      </c>
      <c r="AN136" s="28" t="str">
        <f aca="false">IF(A136&gt;=Hip3LaunchDate,"YES","")</f>
        <v/>
      </c>
      <c r="AO136" s="28" t="str">
        <f aca="false">IF(A136&lt;Hip4LaunchDate,"pre-launch","live (zero-fee)")</f>
        <v>pre-launch</v>
      </c>
      <c r="AP136" s="20"/>
      <c r="AQ136" s="20"/>
      <c r="AR136" s="20"/>
    </row>
    <row r="137" customFormat="false" ht="15" hidden="false" customHeight="false" outlineLevel="0" collapsed="false">
      <c r="A137" s="18" t="n">
        <v>45198</v>
      </c>
      <c r="B137" s="19" t="n">
        <v>25885134.4</v>
      </c>
      <c r="C137" s="19" t="n">
        <v>0</v>
      </c>
      <c r="D137" s="20"/>
      <c r="E137" s="21" t="n">
        <f aca="false">B137+C137</f>
        <v>25885134.4</v>
      </c>
      <c r="F137" s="21" t="n">
        <f aca="false">E137+D137</f>
        <v>25885134.4</v>
      </c>
      <c r="G137" s="22" t="n">
        <f aca="false">IFERROR(C137/E137,0)</f>
        <v>0</v>
      </c>
      <c r="H137" s="20"/>
      <c r="I137" s="20"/>
      <c r="J137" s="20"/>
      <c r="K137" s="21" t="n">
        <f aca="false">H137+I137</f>
        <v>0</v>
      </c>
      <c r="L137" s="20"/>
      <c r="M137" s="21" t="n">
        <f aca="false">H137-L137</f>
        <v>0</v>
      </c>
      <c r="N137" s="23" t="n">
        <f aca="false">IFERROR(M137/B137*10000,0)</f>
        <v>0</v>
      </c>
      <c r="O137" s="20"/>
      <c r="P137" s="20"/>
      <c r="Q137" s="21" t="n">
        <f aca="false">O137+P137</f>
        <v>0</v>
      </c>
      <c r="R137" s="22" t="n">
        <f aca="false">IF(A137&lt;HlpChangeDate,HlpSharePre,HlpSharePost)</f>
        <v>0.03</v>
      </c>
      <c r="S137" s="21" t="n">
        <f aca="false">Q137*R137/(1-R137)</f>
        <v>0</v>
      </c>
      <c r="T137" s="20"/>
      <c r="U137" s="21" t="n">
        <f aca="false">S137-T137</f>
        <v>0</v>
      </c>
      <c r="V137" s="21" t="n">
        <f aca="false">Y137-O137*R137/(1-R137)</f>
        <v>0</v>
      </c>
      <c r="W137" s="21" t="n">
        <f aca="false">Z137-P137*R137/(1-R137)</f>
        <v>0</v>
      </c>
      <c r="X137" s="21" t="n">
        <f aca="false">S137+V137+W137</f>
        <v>0</v>
      </c>
      <c r="Y137" s="20"/>
      <c r="Z137" s="20"/>
      <c r="AA137" s="19" t="n">
        <v>0</v>
      </c>
      <c r="AB137" s="20"/>
      <c r="AC137" s="20"/>
      <c r="AD137" s="24" t="n">
        <f aca="false">IFERROR(AA137/AC137,0)</f>
        <v>0</v>
      </c>
      <c r="AE137" s="25" t="n">
        <f aca="false">K137-Q137-X137</f>
        <v>0</v>
      </c>
      <c r="AF137" s="25" t="n">
        <f aca="false">Q137-AA137</f>
        <v>0</v>
      </c>
      <c r="AG137" s="20"/>
      <c r="AH137" s="26" t="n">
        <f aca="false">IFERROR(AG137/Q137,0)</f>
        <v>0</v>
      </c>
      <c r="AI137" s="27" t="n">
        <v>0</v>
      </c>
      <c r="AJ137" s="26" t="n">
        <f aca="false">IF(AI137&gt;0,AprCoef/SQRT(AI137),0)</f>
        <v>0</v>
      </c>
      <c r="AK137" s="24" t="n">
        <f aca="false">AI137*AJ137/365</f>
        <v>0</v>
      </c>
      <c r="AL137" s="24" t="n">
        <f aca="false">AD137</f>
        <v>0</v>
      </c>
      <c r="AM137" s="24" t="n">
        <f aca="false">AK137-AL137</f>
        <v>0</v>
      </c>
      <c r="AN137" s="28" t="str">
        <f aca="false">IF(A137&gt;=Hip3LaunchDate,"YES","")</f>
        <v/>
      </c>
      <c r="AO137" s="28" t="str">
        <f aca="false">IF(A137&lt;Hip4LaunchDate,"pre-launch","live (zero-fee)")</f>
        <v>pre-launch</v>
      </c>
      <c r="AP137" s="20"/>
      <c r="AQ137" s="20"/>
      <c r="AR137" s="20"/>
    </row>
    <row r="138" customFormat="false" ht="15" hidden="false" customHeight="false" outlineLevel="0" collapsed="false">
      <c r="A138" s="18" t="n">
        <v>45199</v>
      </c>
      <c r="B138" s="19" t="n">
        <v>16861057.85</v>
      </c>
      <c r="C138" s="19" t="n">
        <v>0</v>
      </c>
      <c r="D138" s="20"/>
      <c r="E138" s="21" t="n">
        <f aca="false">B138+C138</f>
        <v>16861057.85</v>
      </c>
      <c r="F138" s="21" t="n">
        <f aca="false">E138+D138</f>
        <v>16861057.85</v>
      </c>
      <c r="G138" s="22" t="n">
        <f aca="false">IFERROR(C138/E138,0)</f>
        <v>0</v>
      </c>
      <c r="H138" s="20"/>
      <c r="I138" s="20"/>
      <c r="J138" s="20"/>
      <c r="K138" s="21" t="n">
        <f aca="false">H138+I138</f>
        <v>0</v>
      </c>
      <c r="L138" s="20"/>
      <c r="M138" s="21" t="n">
        <f aca="false">H138-L138</f>
        <v>0</v>
      </c>
      <c r="N138" s="23" t="n">
        <f aca="false">IFERROR(M138/B138*10000,0)</f>
        <v>0</v>
      </c>
      <c r="O138" s="20"/>
      <c r="P138" s="20"/>
      <c r="Q138" s="21" t="n">
        <f aca="false">O138+P138</f>
        <v>0</v>
      </c>
      <c r="R138" s="22" t="n">
        <f aca="false">IF(A138&lt;HlpChangeDate,HlpSharePre,HlpSharePost)</f>
        <v>0.03</v>
      </c>
      <c r="S138" s="21" t="n">
        <f aca="false">Q138*R138/(1-R138)</f>
        <v>0</v>
      </c>
      <c r="T138" s="20"/>
      <c r="U138" s="21" t="n">
        <f aca="false">S138-T138</f>
        <v>0</v>
      </c>
      <c r="V138" s="21" t="n">
        <f aca="false">Y138-O138*R138/(1-R138)</f>
        <v>0</v>
      </c>
      <c r="W138" s="21" t="n">
        <f aca="false">Z138-P138*R138/(1-R138)</f>
        <v>0</v>
      </c>
      <c r="X138" s="21" t="n">
        <f aca="false">S138+V138+W138</f>
        <v>0</v>
      </c>
      <c r="Y138" s="20"/>
      <c r="Z138" s="20"/>
      <c r="AA138" s="19" t="n">
        <v>0</v>
      </c>
      <c r="AB138" s="20"/>
      <c r="AC138" s="20"/>
      <c r="AD138" s="24" t="n">
        <f aca="false">IFERROR(AA138/AC138,0)</f>
        <v>0</v>
      </c>
      <c r="AE138" s="25" t="n">
        <f aca="false">K138-Q138-X138</f>
        <v>0</v>
      </c>
      <c r="AF138" s="25" t="n">
        <f aca="false">Q138-AA138</f>
        <v>0</v>
      </c>
      <c r="AG138" s="20"/>
      <c r="AH138" s="26" t="n">
        <f aca="false">IFERROR(AG138/Q138,0)</f>
        <v>0</v>
      </c>
      <c r="AI138" s="27" t="n">
        <v>0</v>
      </c>
      <c r="AJ138" s="26" t="n">
        <f aca="false">IF(AI138&gt;0,AprCoef/SQRT(AI138),0)</f>
        <v>0</v>
      </c>
      <c r="AK138" s="24" t="n">
        <f aca="false">AI138*AJ138/365</f>
        <v>0</v>
      </c>
      <c r="AL138" s="24" t="n">
        <f aca="false">AD138</f>
        <v>0</v>
      </c>
      <c r="AM138" s="24" t="n">
        <f aca="false">AK138-AL138</f>
        <v>0</v>
      </c>
      <c r="AN138" s="28" t="str">
        <f aca="false">IF(A138&gt;=Hip3LaunchDate,"YES","")</f>
        <v/>
      </c>
      <c r="AO138" s="28" t="str">
        <f aca="false">IF(A138&lt;Hip4LaunchDate,"pre-launch","live (zero-fee)")</f>
        <v>pre-launch</v>
      </c>
      <c r="AP138" s="20"/>
      <c r="AQ138" s="20"/>
      <c r="AR138" s="20"/>
    </row>
    <row r="139" customFormat="false" ht="15" hidden="false" customHeight="false" outlineLevel="0" collapsed="false">
      <c r="A139" s="18" t="n">
        <v>45200</v>
      </c>
      <c r="B139" s="19" t="n">
        <v>19761680.89</v>
      </c>
      <c r="C139" s="19" t="n">
        <v>0</v>
      </c>
      <c r="D139" s="20"/>
      <c r="E139" s="21" t="n">
        <f aca="false">B139+C139</f>
        <v>19761680.89</v>
      </c>
      <c r="F139" s="21" t="n">
        <f aca="false">E139+D139</f>
        <v>19761680.89</v>
      </c>
      <c r="G139" s="22" t="n">
        <f aca="false">IFERROR(C139/E139,0)</f>
        <v>0</v>
      </c>
      <c r="H139" s="20"/>
      <c r="I139" s="20"/>
      <c r="J139" s="20"/>
      <c r="K139" s="21" t="n">
        <f aca="false">H139+I139</f>
        <v>0</v>
      </c>
      <c r="L139" s="20"/>
      <c r="M139" s="21" t="n">
        <f aca="false">H139-L139</f>
        <v>0</v>
      </c>
      <c r="N139" s="23" t="n">
        <f aca="false">IFERROR(M139/B139*10000,0)</f>
        <v>0</v>
      </c>
      <c r="O139" s="20"/>
      <c r="P139" s="20"/>
      <c r="Q139" s="21" t="n">
        <f aca="false">O139+P139</f>
        <v>0</v>
      </c>
      <c r="R139" s="22" t="n">
        <f aca="false">IF(A139&lt;HlpChangeDate,HlpSharePre,HlpSharePost)</f>
        <v>0.03</v>
      </c>
      <c r="S139" s="21" t="n">
        <f aca="false">Q139*R139/(1-R139)</f>
        <v>0</v>
      </c>
      <c r="T139" s="20"/>
      <c r="U139" s="21" t="n">
        <f aca="false">S139-T139</f>
        <v>0</v>
      </c>
      <c r="V139" s="21" t="n">
        <f aca="false">Y139-O139*R139/(1-R139)</f>
        <v>0</v>
      </c>
      <c r="W139" s="21" t="n">
        <f aca="false">Z139-P139*R139/(1-R139)</f>
        <v>0</v>
      </c>
      <c r="X139" s="21" t="n">
        <f aca="false">S139+V139+W139</f>
        <v>0</v>
      </c>
      <c r="Y139" s="20"/>
      <c r="Z139" s="20"/>
      <c r="AA139" s="19" t="n">
        <v>0</v>
      </c>
      <c r="AB139" s="20"/>
      <c r="AC139" s="20"/>
      <c r="AD139" s="24" t="n">
        <f aca="false">IFERROR(AA139/AC139,0)</f>
        <v>0</v>
      </c>
      <c r="AE139" s="25" t="n">
        <f aca="false">K139-Q139-X139</f>
        <v>0</v>
      </c>
      <c r="AF139" s="25" t="n">
        <f aca="false">Q139-AA139</f>
        <v>0</v>
      </c>
      <c r="AG139" s="20"/>
      <c r="AH139" s="26" t="n">
        <f aca="false">IFERROR(AG139/Q139,0)</f>
        <v>0</v>
      </c>
      <c r="AI139" s="27" t="n">
        <v>0</v>
      </c>
      <c r="AJ139" s="26" t="n">
        <f aca="false">IF(AI139&gt;0,AprCoef/SQRT(AI139),0)</f>
        <v>0</v>
      </c>
      <c r="AK139" s="24" t="n">
        <f aca="false">AI139*AJ139/365</f>
        <v>0</v>
      </c>
      <c r="AL139" s="24" t="n">
        <f aca="false">AD139</f>
        <v>0</v>
      </c>
      <c r="AM139" s="24" t="n">
        <f aca="false">AK139-AL139</f>
        <v>0</v>
      </c>
      <c r="AN139" s="28" t="str">
        <f aca="false">IF(A139&gt;=Hip3LaunchDate,"YES","")</f>
        <v/>
      </c>
      <c r="AO139" s="28" t="str">
        <f aca="false">IF(A139&lt;Hip4LaunchDate,"pre-launch","live (zero-fee)")</f>
        <v>pre-launch</v>
      </c>
      <c r="AP139" s="20"/>
      <c r="AQ139" s="20"/>
      <c r="AR139" s="20"/>
    </row>
    <row r="140" customFormat="false" ht="15" hidden="false" customHeight="false" outlineLevel="0" collapsed="false">
      <c r="A140" s="18" t="n">
        <v>45201</v>
      </c>
      <c r="B140" s="19" t="n">
        <v>23617841.35</v>
      </c>
      <c r="C140" s="19" t="n">
        <v>0</v>
      </c>
      <c r="D140" s="20"/>
      <c r="E140" s="21" t="n">
        <f aca="false">B140+C140</f>
        <v>23617841.35</v>
      </c>
      <c r="F140" s="21" t="n">
        <f aca="false">E140+D140</f>
        <v>23617841.35</v>
      </c>
      <c r="G140" s="22" t="n">
        <f aca="false">IFERROR(C140/E140,0)</f>
        <v>0</v>
      </c>
      <c r="H140" s="20"/>
      <c r="I140" s="20"/>
      <c r="J140" s="20"/>
      <c r="K140" s="21" t="n">
        <f aca="false">H140+I140</f>
        <v>0</v>
      </c>
      <c r="L140" s="20"/>
      <c r="M140" s="21" t="n">
        <f aca="false">H140-L140</f>
        <v>0</v>
      </c>
      <c r="N140" s="23" t="n">
        <f aca="false">IFERROR(M140/B140*10000,0)</f>
        <v>0</v>
      </c>
      <c r="O140" s="20"/>
      <c r="P140" s="20"/>
      <c r="Q140" s="21" t="n">
        <f aca="false">O140+P140</f>
        <v>0</v>
      </c>
      <c r="R140" s="22" t="n">
        <f aca="false">IF(A140&lt;HlpChangeDate,HlpSharePre,HlpSharePost)</f>
        <v>0.03</v>
      </c>
      <c r="S140" s="21" t="n">
        <f aca="false">Q140*R140/(1-R140)</f>
        <v>0</v>
      </c>
      <c r="T140" s="20"/>
      <c r="U140" s="21" t="n">
        <f aca="false">S140-T140</f>
        <v>0</v>
      </c>
      <c r="V140" s="21" t="n">
        <f aca="false">Y140-O140*R140/(1-R140)</f>
        <v>0</v>
      </c>
      <c r="W140" s="21" t="n">
        <f aca="false">Z140-P140*R140/(1-R140)</f>
        <v>0</v>
      </c>
      <c r="X140" s="21" t="n">
        <f aca="false">S140+V140+W140</f>
        <v>0</v>
      </c>
      <c r="Y140" s="20"/>
      <c r="Z140" s="20"/>
      <c r="AA140" s="19" t="n">
        <v>0</v>
      </c>
      <c r="AB140" s="20"/>
      <c r="AC140" s="20"/>
      <c r="AD140" s="24" t="n">
        <f aca="false">IFERROR(AA140/AC140,0)</f>
        <v>0</v>
      </c>
      <c r="AE140" s="25" t="n">
        <f aca="false">K140-Q140-X140</f>
        <v>0</v>
      </c>
      <c r="AF140" s="25" t="n">
        <f aca="false">Q140-AA140</f>
        <v>0</v>
      </c>
      <c r="AG140" s="20"/>
      <c r="AH140" s="26" t="n">
        <f aca="false">IFERROR(AG140/Q140,0)</f>
        <v>0</v>
      </c>
      <c r="AI140" s="27" t="n">
        <v>0</v>
      </c>
      <c r="AJ140" s="26" t="n">
        <f aca="false">IF(AI140&gt;0,AprCoef/SQRT(AI140),0)</f>
        <v>0</v>
      </c>
      <c r="AK140" s="24" t="n">
        <f aca="false">AI140*AJ140/365</f>
        <v>0</v>
      </c>
      <c r="AL140" s="24" t="n">
        <f aca="false">AD140</f>
        <v>0</v>
      </c>
      <c r="AM140" s="24" t="n">
        <f aca="false">AK140-AL140</f>
        <v>0</v>
      </c>
      <c r="AN140" s="28" t="str">
        <f aca="false">IF(A140&gt;=Hip3LaunchDate,"YES","")</f>
        <v/>
      </c>
      <c r="AO140" s="28" t="str">
        <f aca="false">IF(A140&lt;Hip4LaunchDate,"pre-launch","live (zero-fee)")</f>
        <v>pre-launch</v>
      </c>
      <c r="AP140" s="20"/>
      <c r="AQ140" s="20"/>
      <c r="AR140" s="20"/>
    </row>
    <row r="141" customFormat="false" ht="15" hidden="false" customHeight="false" outlineLevel="0" collapsed="false">
      <c r="A141" s="18" t="n">
        <v>45202</v>
      </c>
      <c r="B141" s="19" t="n">
        <v>22745912.62</v>
      </c>
      <c r="C141" s="19" t="n">
        <v>0</v>
      </c>
      <c r="D141" s="20"/>
      <c r="E141" s="21" t="n">
        <f aca="false">B141+C141</f>
        <v>22745912.62</v>
      </c>
      <c r="F141" s="21" t="n">
        <f aca="false">E141+D141</f>
        <v>22745912.62</v>
      </c>
      <c r="G141" s="22" t="n">
        <f aca="false">IFERROR(C141/E141,0)</f>
        <v>0</v>
      </c>
      <c r="H141" s="20"/>
      <c r="I141" s="20"/>
      <c r="J141" s="20"/>
      <c r="K141" s="21" t="n">
        <f aca="false">H141+I141</f>
        <v>0</v>
      </c>
      <c r="L141" s="20"/>
      <c r="M141" s="21" t="n">
        <f aca="false">H141-L141</f>
        <v>0</v>
      </c>
      <c r="N141" s="23" t="n">
        <f aca="false">IFERROR(M141/B141*10000,0)</f>
        <v>0</v>
      </c>
      <c r="O141" s="20"/>
      <c r="P141" s="20"/>
      <c r="Q141" s="21" t="n">
        <f aca="false">O141+P141</f>
        <v>0</v>
      </c>
      <c r="R141" s="22" t="n">
        <f aca="false">IF(A141&lt;HlpChangeDate,HlpSharePre,HlpSharePost)</f>
        <v>0.03</v>
      </c>
      <c r="S141" s="21" t="n">
        <f aca="false">Q141*R141/(1-R141)</f>
        <v>0</v>
      </c>
      <c r="T141" s="20"/>
      <c r="U141" s="21" t="n">
        <f aca="false">S141-T141</f>
        <v>0</v>
      </c>
      <c r="V141" s="21" t="n">
        <f aca="false">Y141-O141*R141/(1-R141)</f>
        <v>0</v>
      </c>
      <c r="W141" s="21" t="n">
        <f aca="false">Z141-P141*R141/(1-R141)</f>
        <v>0</v>
      </c>
      <c r="X141" s="21" t="n">
        <f aca="false">S141+V141+W141</f>
        <v>0</v>
      </c>
      <c r="Y141" s="20"/>
      <c r="Z141" s="20"/>
      <c r="AA141" s="19" t="n">
        <v>0</v>
      </c>
      <c r="AB141" s="20"/>
      <c r="AC141" s="20"/>
      <c r="AD141" s="24" t="n">
        <f aca="false">IFERROR(AA141/AC141,0)</f>
        <v>0</v>
      </c>
      <c r="AE141" s="25" t="n">
        <f aca="false">K141-Q141-X141</f>
        <v>0</v>
      </c>
      <c r="AF141" s="25" t="n">
        <f aca="false">Q141-AA141</f>
        <v>0</v>
      </c>
      <c r="AG141" s="20"/>
      <c r="AH141" s="26" t="n">
        <f aca="false">IFERROR(AG141/Q141,0)</f>
        <v>0</v>
      </c>
      <c r="AI141" s="27" t="n">
        <v>0</v>
      </c>
      <c r="AJ141" s="26" t="n">
        <f aca="false">IF(AI141&gt;0,AprCoef/SQRT(AI141),0)</f>
        <v>0</v>
      </c>
      <c r="AK141" s="24" t="n">
        <f aca="false">AI141*AJ141/365</f>
        <v>0</v>
      </c>
      <c r="AL141" s="24" t="n">
        <f aca="false">AD141</f>
        <v>0</v>
      </c>
      <c r="AM141" s="24" t="n">
        <f aca="false">AK141-AL141</f>
        <v>0</v>
      </c>
      <c r="AN141" s="28" t="str">
        <f aca="false">IF(A141&gt;=Hip3LaunchDate,"YES","")</f>
        <v/>
      </c>
      <c r="AO141" s="28" t="str">
        <f aca="false">IF(A141&lt;Hip4LaunchDate,"pre-launch","live (zero-fee)")</f>
        <v>pre-launch</v>
      </c>
      <c r="AP141" s="20"/>
      <c r="AQ141" s="20"/>
      <c r="AR141" s="20"/>
    </row>
    <row r="142" customFormat="false" ht="15" hidden="false" customHeight="false" outlineLevel="0" collapsed="false">
      <c r="A142" s="18" t="n">
        <v>45203</v>
      </c>
      <c r="B142" s="19" t="n">
        <v>25781119.68</v>
      </c>
      <c r="C142" s="19" t="n">
        <v>0</v>
      </c>
      <c r="D142" s="20"/>
      <c r="E142" s="21" t="n">
        <f aca="false">B142+C142</f>
        <v>25781119.68</v>
      </c>
      <c r="F142" s="21" t="n">
        <f aca="false">E142+D142</f>
        <v>25781119.68</v>
      </c>
      <c r="G142" s="22" t="n">
        <f aca="false">IFERROR(C142/E142,0)</f>
        <v>0</v>
      </c>
      <c r="H142" s="20"/>
      <c r="I142" s="20"/>
      <c r="J142" s="20"/>
      <c r="K142" s="21" t="n">
        <f aca="false">H142+I142</f>
        <v>0</v>
      </c>
      <c r="L142" s="20"/>
      <c r="M142" s="21" t="n">
        <f aca="false">H142-L142</f>
        <v>0</v>
      </c>
      <c r="N142" s="23" t="n">
        <f aca="false">IFERROR(M142/B142*10000,0)</f>
        <v>0</v>
      </c>
      <c r="O142" s="20"/>
      <c r="P142" s="20"/>
      <c r="Q142" s="21" t="n">
        <f aca="false">O142+P142</f>
        <v>0</v>
      </c>
      <c r="R142" s="22" t="n">
        <f aca="false">IF(A142&lt;HlpChangeDate,HlpSharePre,HlpSharePost)</f>
        <v>0.03</v>
      </c>
      <c r="S142" s="21" t="n">
        <f aca="false">Q142*R142/(1-R142)</f>
        <v>0</v>
      </c>
      <c r="T142" s="20"/>
      <c r="U142" s="21" t="n">
        <f aca="false">S142-T142</f>
        <v>0</v>
      </c>
      <c r="V142" s="21" t="n">
        <f aca="false">Y142-O142*R142/(1-R142)</f>
        <v>0</v>
      </c>
      <c r="W142" s="21" t="n">
        <f aca="false">Z142-P142*R142/(1-R142)</f>
        <v>0</v>
      </c>
      <c r="X142" s="21" t="n">
        <f aca="false">S142+V142+W142</f>
        <v>0</v>
      </c>
      <c r="Y142" s="20"/>
      <c r="Z142" s="20"/>
      <c r="AA142" s="19" t="n">
        <v>0</v>
      </c>
      <c r="AB142" s="20"/>
      <c r="AC142" s="20"/>
      <c r="AD142" s="24" t="n">
        <f aca="false">IFERROR(AA142/AC142,0)</f>
        <v>0</v>
      </c>
      <c r="AE142" s="25" t="n">
        <f aca="false">K142-Q142-X142</f>
        <v>0</v>
      </c>
      <c r="AF142" s="25" t="n">
        <f aca="false">Q142-AA142</f>
        <v>0</v>
      </c>
      <c r="AG142" s="20"/>
      <c r="AH142" s="26" t="n">
        <f aca="false">IFERROR(AG142/Q142,0)</f>
        <v>0</v>
      </c>
      <c r="AI142" s="27" t="n">
        <v>0</v>
      </c>
      <c r="AJ142" s="26" t="n">
        <f aca="false">IF(AI142&gt;0,AprCoef/SQRT(AI142),0)</f>
        <v>0</v>
      </c>
      <c r="AK142" s="24" t="n">
        <f aca="false">AI142*AJ142/365</f>
        <v>0</v>
      </c>
      <c r="AL142" s="24" t="n">
        <f aca="false">AD142</f>
        <v>0</v>
      </c>
      <c r="AM142" s="24" t="n">
        <f aca="false">AK142-AL142</f>
        <v>0</v>
      </c>
      <c r="AN142" s="28" t="str">
        <f aca="false">IF(A142&gt;=Hip3LaunchDate,"YES","")</f>
        <v/>
      </c>
      <c r="AO142" s="28" t="str">
        <f aca="false">IF(A142&lt;Hip4LaunchDate,"pre-launch","live (zero-fee)")</f>
        <v>pre-launch</v>
      </c>
      <c r="AP142" s="20"/>
      <c r="AQ142" s="20"/>
      <c r="AR142" s="20"/>
    </row>
    <row r="143" customFormat="false" ht="15" hidden="false" customHeight="false" outlineLevel="0" collapsed="false">
      <c r="A143" s="18" t="n">
        <v>45204</v>
      </c>
      <c r="B143" s="19" t="n">
        <v>24682035.34</v>
      </c>
      <c r="C143" s="19" t="n">
        <v>0</v>
      </c>
      <c r="D143" s="20"/>
      <c r="E143" s="21" t="n">
        <f aca="false">B143+C143</f>
        <v>24682035.34</v>
      </c>
      <c r="F143" s="21" t="n">
        <f aca="false">E143+D143</f>
        <v>24682035.34</v>
      </c>
      <c r="G143" s="22" t="n">
        <f aca="false">IFERROR(C143/E143,0)</f>
        <v>0</v>
      </c>
      <c r="H143" s="20"/>
      <c r="I143" s="20"/>
      <c r="J143" s="20"/>
      <c r="K143" s="21" t="n">
        <f aca="false">H143+I143</f>
        <v>0</v>
      </c>
      <c r="L143" s="20"/>
      <c r="M143" s="21" t="n">
        <f aca="false">H143-L143</f>
        <v>0</v>
      </c>
      <c r="N143" s="23" t="n">
        <f aca="false">IFERROR(M143/B143*10000,0)</f>
        <v>0</v>
      </c>
      <c r="O143" s="20"/>
      <c r="P143" s="20"/>
      <c r="Q143" s="21" t="n">
        <f aca="false">O143+P143</f>
        <v>0</v>
      </c>
      <c r="R143" s="22" t="n">
        <f aca="false">IF(A143&lt;HlpChangeDate,HlpSharePre,HlpSharePost)</f>
        <v>0.03</v>
      </c>
      <c r="S143" s="21" t="n">
        <f aca="false">Q143*R143/(1-R143)</f>
        <v>0</v>
      </c>
      <c r="T143" s="20"/>
      <c r="U143" s="21" t="n">
        <f aca="false">S143-T143</f>
        <v>0</v>
      </c>
      <c r="V143" s="21" t="n">
        <f aca="false">Y143-O143*R143/(1-R143)</f>
        <v>0</v>
      </c>
      <c r="W143" s="21" t="n">
        <f aca="false">Z143-P143*R143/(1-R143)</f>
        <v>0</v>
      </c>
      <c r="X143" s="21" t="n">
        <f aca="false">S143+V143+W143</f>
        <v>0</v>
      </c>
      <c r="Y143" s="20"/>
      <c r="Z143" s="20"/>
      <c r="AA143" s="19" t="n">
        <v>0</v>
      </c>
      <c r="AB143" s="20"/>
      <c r="AC143" s="20"/>
      <c r="AD143" s="24" t="n">
        <f aca="false">IFERROR(AA143/AC143,0)</f>
        <v>0</v>
      </c>
      <c r="AE143" s="25" t="n">
        <f aca="false">K143-Q143-X143</f>
        <v>0</v>
      </c>
      <c r="AF143" s="25" t="n">
        <f aca="false">Q143-AA143</f>
        <v>0</v>
      </c>
      <c r="AG143" s="20"/>
      <c r="AH143" s="26" t="n">
        <f aca="false">IFERROR(AG143/Q143,0)</f>
        <v>0</v>
      </c>
      <c r="AI143" s="27" t="n">
        <v>0</v>
      </c>
      <c r="AJ143" s="26" t="n">
        <f aca="false">IF(AI143&gt;0,AprCoef/SQRT(AI143),0)</f>
        <v>0</v>
      </c>
      <c r="AK143" s="24" t="n">
        <f aca="false">AI143*AJ143/365</f>
        <v>0</v>
      </c>
      <c r="AL143" s="24" t="n">
        <f aca="false">AD143</f>
        <v>0</v>
      </c>
      <c r="AM143" s="24" t="n">
        <f aca="false">AK143-AL143</f>
        <v>0</v>
      </c>
      <c r="AN143" s="28" t="str">
        <f aca="false">IF(A143&gt;=Hip3LaunchDate,"YES","")</f>
        <v/>
      </c>
      <c r="AO143" s="28" t="str">
        <f aca="false">IF(A143&lt;Hip4LaunchDate,"pre-launch","live (zero-fee)")</f>
        <v>pre-launch</v>
      </c>
      <c r="AP143" s="20"/>
      <c r="AQ143" s="20"/>
      <c r="AR143" s="20"/>
    </row>
    <row r="144" customFormat="false" ht="15" hidden="false" customHeight="false" outlineLevel="0" collapsed="false">
      <c r="A144" s="18" t="n">
        <v>45205</v>
      </c>
      <c r="B144" s="19" t="n">
        <v>72406587.32</v>
      </c>
      <c r="C144" s="19" t="n">
        <v>0</v>
      </c>
      <c r="D144" s="20"/>
      <c r="E144" s="21" t="n">
        <f aca="false">B144+C144</f>
        <v>72406587.32</v>
      </c>
      <c r="F144" s="21" t="n">
        <f aca="false">E144+D144</f>
        <v>72406587.32</v>
      </c>
      <c r="G144" s="22" t="n">
        <f aca="false">IFERROR(C144/E144,0)</f>
        <v>0</v>
      </c>
      <c r="H144" s="20"/>
      <c r="I144" s="20"/>
      <c r="J144" s="20"/>
      <c r="K144" s="21" t="n">
        <f aca="false">H144+I144</f>
        <v>0</v>
      </c>
      <c r="L144" s="20"/>
      <c r="M144" s="21" t="n">
        <f aca="false">H144-L144</f>
        <v>0</v>
      </c>
      <c r="N144" s="23" t="n">
        <f aca="false">IFERROR(M144/B144*10000,0)</f>
        <v>0</v>
      </c>
      <c r="O144" s="20"/>
      <c r="P144" s="20"/>
      <c r="Q144" s="21" t="n">
        <f aca="false">O144+P144</f>
        <v>0</v>
      </c>
      <c r="R144" s="22" t="n">
        <f aca="false">IF(A144&lt;HlpChangeDate,HlpSharePre,HlpSharePost)</f>
        <v>0.03</v>
      </c>
      <c r="S144" s="21" t="n">
        <f aca="false">Q144*R144/(1-R144)</f>
        <v>0</v>
      </c>
      <c r="T144" s="20"/>
      <c r="U144" s="21" t="n">
        <f aca="false">S144-T144</f>
        <v>0</v>
      </c>
      <c r="V144" s="21" t="n">
        <f aca="false">Y144-O144*R144/(1-R144)</f>
        <v>0</v>
      </c>
      <c r="W144" s="21" t="n">
        <f aca="false">Z144-P144*R144/(1-R144)</f>
        <v>0</v>
      </c>
      <c r="X144" s="21" t="n">
        <f aca="false">S144+V144+W144</f>
        <v>0</v>
      </c>
      <c r="Y144" s="20"/>
      <c r="Z144" s="20"/>
      <c r="AA144" s="19" t="n">
        <v>0</v>
      </c>
      <c r="AB144" s="20"/>
      <c r="AC144" s="20"/>
      <c r="AD144" s="24" t="n">
        <f aca="false">IFERROR(AA144/AC144,0)</f>
        <v>0</v>
      </c>
      <c r="AE144" s="25" t="n">
        <f aca="false">K144-Q144-X144</f>
        <v>0</v>
      </c>
      <c r="AF144" s="25" t="n">
        <f aca="false">Q144-AA144</f>
        <v>0</v>
      </c>
      <c r="AG144" s="20"/>
      <c r="AH144" s="26" t="n">
        <f aca="false">IFERROR(AG144/Q144,0)</f>
        <v>0</v>
      </c>
      <c r="AI144" s="27" t="n">
        <v>0</v>
      </c>
      <c r="AJ144" s="26" t="n">
        <f aca="false">IF(AI144&gt;0,AprCoef/SQRT(AI144),0)</f>
        <v>0</v>
      </c>
      <c r="AK144" s="24" t="n">
        <f aca="false">AI144*AJ144/365</f>
        <v>0</v>
      </c>
      <c r="AL144" s="24" t="n">
        <f aca="false">AD144</f>
        <v>0</v>
      </c>
      <c r="AM144" s="24" t="n">
        <f aca="false">AK144-AL144</f>
        <v>0</v>
      </c>
      <c r="AN144" s="28" t="str">
        <f aca="false">IF(A144&gt;=Hip3LaunchDate,"YES","")</f>
        <v/>
      </c>
      <c r="AO144" s="28" t="str">
        <f aca="false">IF(A144&lt;Hip4LaunchDate,"pre-launch","live (zero-fee)")</f>
        <v>pre-launch</v>
      </c>
      <c r="AP144" s="20"/>
      <c r="AQ144" s="20"/>
      <c r="AR144" s="20"/>
    </row>
    <row r="145" customFormat="false" ht="15" hidden="false" customHeight="false" outlineLevel="0" collapsed="false">
      <c r="A145" s="18" t="n">
        <v>45206</v>
      </c>
      <c r="B145" s="19" t="n">
        <v>18651190.43</v>
      </c>
      <c r="C145" s="19" t="n">
        <v>0</v>
      </c>
      <c r="D145" s="20"/>
      <c r="E145" s="21" t="n">
        <f aca="false">B145+C145</f>
        <v>18651190.43</v>
      </c>
      <c r="F145" s="21" t="n">
        <f aca="false">E145+D145</f>
        <v>18651190.43</v>
      </c>
      <c r="G145" s="22" t="n">
        <f aca="false">IFERROR(C145/E145,0)</f>
        <v>0</v>
      </c>
      <c r="H145" s="20"/>
      <c r="I145" s="20"/>
      <c r="J145" s="20"/>
      <c r="K145" s="21" t="n">
        <f aca="false">H145+I145</f>
        <v>0</v>
      </c>
      <c r="L145" s="20"/>
      <c r="M145" s="21" t="n">
        <f aca="false">H145-L145</f>
        <v>0</v>
      </c>
      <c r="N145" s="23" t="n">
        <f aca="false">IFERROR(M145/B145*10000,0)</f>
        <v>0</v>
      </c>
      <c r="O145" s="20"/>
      <c r="P145" s="20"/>
      <c r="Q145" s="21" t="n">
        <f aca="false">O145+P145</f>
        <v>0</v>
      </c>
      <c r="R145" s="22" t="n">
        <f aca="false">IF(A145&lt;HlpChangeDate,HlpSharePre,HlpSharePost)</f>
        <v>0.03</v>
      </c>
      <c r="S145" s="21" t="n">
        <f aca="false">Q145*R145/(1-R145)</f>
        <v>0</v>
      </c>
      <c r="T145" s="20"/>
      <c r="U145" s="21" t="n">
        <f aca="false">S145-T145</f>
        <v>0</v>
      </c>
      <c r="V145" s="21" t="n">
        <f aca="false">Y145-O145*R145/(1-R145)</f>
        <v>0</v>
      </c>
      <c r="W145" s="21" t="n">
        <f aca="false">Z145-P145*R145/(1-R145)</f>
        <v>0</v>
      </c>
      <c r="X145" s="21" t="n">
        <f aca="false">S145+V145+W145</f>
        <v>0</v>
      </c>
      <c r="Y145" s="20"/>
      <c r="Z145" s="20"/>
      <c r="AA145" s="19" t="n">
        <v>0</v>
      </c>
      <c r="AB145" s="20"/>
      <c r="AC145" s="20"/>
      <c r="AD145" s="24" t="n">
        <f aca="false">IFERROR(AA145/AC145,0)</f>
        <v>0</v>
      </c>
      <c r="AE145" s="25" t="n">
        <f aca="false">K145-Q145-X145</f>
        <v>0</v>
      </c>
      <c r="AF145" s="25" t="n">
        <f aca="false">Q145-AA145</f>
        <v>0</v>
      </c>
      <c r="AG145" s="20"/>
      <c r="AH145" s="26" t="n">
        <f aca="false">IFERROR(AG145/Q145,0)</f>
        <v>0</v>
      </c>
      <c r="AI145" s="27" t="n">
        <v>0</v>
      </c>
      <c r="AJ145" s="26" t="n">
        <f aca="false">IF(AI145&gt;0,AprCoef/SQRT(AI145),0)</f>
        <v>0</v>
      </c>
      <c r="AK145" s="24" t="n">
        <f aca="false">AI145*AJ145/365</f>
        <v>0</v>
      </c>
      <c r="AL145" s="24" t="n">
        <f aca="false">AD145</f>
        <v>0</v>
      </c>
      <c r="AM145" s="24" t="n">
        <f aca="false">AK145-AL145</f>
        <v>0</v>
      </c>
      <c r="AN145" s="28" t="str">
        <f aca="false">IF(A145&gt;=Hip3LaunchDate,"YES","")</f>
        <v/>
      </c>
      <c r="AO145" s="28" t="str">
        <f aca="false">IF(A145&lt;Hip4LaunchDate,"pre-launch","live (zero-fee)")</f>
        <v>pre-launch</v>
      </c>
      <c r="AP145" s="20"/>
      <c r="AQ145" s="20"/>
      <c r="AR145" s="20"/>
    </row>
    <row r="146" customFormat="false" ht="15" hidden="false" customHeight="false" outlineLevel="0" collapsed="false">
      <c r="A146" s="18" t="n">
        <v>45207</v>
      </c>
      <c r="B146" s="19" t="n">
        <v>16980086.25</v>
      </c>
      <c r="C146" s="19" t="n">
        <v>0</v>
      </c>
      <c r="D146" s="20"/>
      <c r="E146" s="21" t="n">
        <f aca="false">B146+C146</f>
        <v>16980086.25</v>
      </c>
      <c r="F146" s="21" t="n">
        <f aca="false">E146+D146</f>
        <v>16980086.25</v>
      </c>
      <c r="G146" s="22" t="n">
        <f aca="false">IFERROR(C146/E146,0)</f>
        <v>0</v>
      </c>
      <c r="H146" s="20"/>
      <c r="I146" s="20"/>
      <c r="J146" s="20"/>
      <c r="K146" s="21" t="n">
        <f aca="false">H146+I146</f>
        <v>0</v>
      </c>
      <c r="L146" s="20"/>
      <c r="M146" s="21" t="n">
        <f aca="false">H146-L146</f>
        <v>0</v>
      </c>
      <c r="N146" s="23" t="n">
        <f aca="false">IFERROR(M146/B146*10000,0)</f>
        <v>0</v>
      </c>
      <c r="O146" s="20"/>
      <c r="P146" s="20"/>
      <c r="Q146" s="21" t="n">
        <f aca="false">O146+P146</f>
        <v>0</v>
      </c>
      <c r="R146" s="22" t="n">
        <f aca="false">IF(A146&lt;HlpChangeDate,HlpSharePre,HlpSharePost)</f>
        <v>0.03</v>
      </c>
      <c r="S146" s="21" t="n">
        <f aca="false">Q146*R146/(1-R146)</f>
        <v>0</v>
      </c>
      <c r="T146" s="20"/>
      <c r="U146" s="21" t="n">
        <f aca="false">S146-T146</f>
        <v>0</v>
      </c>
      <c r="V146" s="21" t="n">
        <f aca="false">Y146-O146*R146/(1-R146)</f>
        <v>0</v>
      </c>
      <c r="W146" s="21" t="n">
        <f aca="false">Z146-P146*R146/(1-R146)</f>
        <v>0</v>
      </c>
      <c r="X146" s="21" t="n">
        <f aca="false">S146+V146+W146</f>
        <v>0</v>
      </c>
      <c r="Y146" s="20"/>
      <c r="Z146" s="20"/>
      <c r="AA146" s="19" t="n">
        <v>0</v>
      </c>
      <c r="AB146" s="20"/>
      <c r="AC146" s="20"/>
      <c r="AD146" s="24" t="n">
        <f aca="false">IFERROR(AA146/AC146,0)</f>
        <v>0</v>
      </c>
      <c r="AE146" s="25" t="n">
        <f aca="false">K146-Q146-X146</f>
        <v>0</v>
      </c>
      <c r="AF146" s="25" t="n">
        <f aca="false">Q146-AA146</f>
        <v>0</v>
      </c>
      <c r="AG146" s="20"/>
      <c r="AH146" s="26" t="n">
        <f aca="false">IFERROR(AG146/Q146,0)</f>
        <v>0</v>
      </c>
      <c r="AI146" s="27" t="n">
        <v>0</v>
      </c>
      <c r="AJ146" s="26" t="n">
        <f aca="false">IF(AI146&gt;0,AprCoef/SQRT(AI146),0)</f>
        <v>0</v>
      </c>
      <c r="AK146" s="24" t="n">
        <f aca="false">AI146*AJ146/365</f>
        <v>0</v>
      </c>
      <c r="AL146" s="24" t="n">
        <f aca="false">AD146</f>
        <v>0</v>
      </c>
      <c r="AM146" s="24" t="n">
        <f aca="false">AK146-AL146</f>
        <v>0</v>
      </c>
      <c r="AN146" s="28" t="str">
        <f aca="false">IF(A146&gt;=Hip3LaunchDate,"YES","")</f>
        <v/>
      </c>
      <c r="AO146" s="28" t="str">
        <f aca="false">IF(A146&lt;Hip4LaunchDate,"pre-launch","live (zero-fee)")</f>
        <v>pre-launch</v>
      </c>
      <c r="AP146" s="20"/>
      <c r="AQ146" s="20"/>
      <c r="AR146" s="20"/>
    </row>
    <row r="147" customFormat="false" ht="15" hidden="false" customHeight="false" outlineLevel="0" collapsed="false">
      <c r="A147" s="18" t="n">
        <v>45208</v>
      </c>
      <c r="B147" s="19" t="n">
        <v>24635905.18</v>
      </c>
      <c r="C147" s="19" t="n">
        <v>0</v>
      </c>
      <c r="D147" s="20"/>
      <c r="E147" s="21" t="n">
        <f aca="false">B147+C147</f>
        <v>24635905.18</v>
      </c>
      <c r="F147" s="21" t="n">
        <f aca="false">E147+D147</f>
        <v>24635905.18</v>
      </c>
      <c r="G147" s="22" t="n">
        <f aca="false">IFERROR(C147/E147,0)</f>
        <v>0</v>
      </c>
      <c r="H147" s="20"/>
      <c r="I147" s="20"/>
      <c r="J147" s="20"/>
      <c r="K147" s="21" t="n">
        <f aca="false">H147+I147</f>
        <v>0</v>
      </c>
      <c r="L147" s="20"/>
      <c r="M147" s="21" t="n">
        <f aca="false">H147-L147</f>
        <v>0</v>
      </c>
      <c r="N147" s="23" t="n">
        <f aca="false">IFERROR(M147/B147*10000,0)</f>
        <v>0</v>
      </c>
      <c r="O147" s="20"/>
      <c r="P147" s="20"/>
      <c r="Q147" s="21" t="n">
        <f aca="false">O147+P147</f>
        <v>0</v>
      </c>
      <c r="R147" s="22" t="n">
        <f aca="false">IF(A147&lt;HlpChangeDate,HlpSharePre,HlpSharePost)</f>
        <v>0.03</v>
      </c>
      <c r="S147" s="21" t="n">
        <f aca="false">Q147*R147/(1-R147)</f>
        <v>0</v>
      </c>
      <c r="T147" s="20"/>
      <c r="U147" s="21" t="n">
        <f aca="false">S147-T147</f>
        <v>0</v>
      </c>
      <c r="V147" s="21" t="n">
        <f aca="false">Y147-O147*R147/(1-R147)</f>
        <v>0</v>
      </c>
      <c r="W147" s="21" t="n">
        <f aca="false">Z147-P147*R147/(1-R147)</f>
        <v>0</v>
      </c>
      <c r="X147" s="21" t="n">
        <f aca="false">S147+V147+W147</f>
        <v>0</v>
      </c>
      <c r="Y147" s="20"/>
      <c r="Z147" s="20"/>
      <c r="AA147" s="19" t="n">
        <v>0</v>
      </c>
      <c r="AB147" s="20"/>
      <c r="AC147" s="20"/>
      <c r="AD147" s="24" t="n">
        <f aca="false">IFERROR(AA147/AC147,0)</f>
        <v>0</v>
      </c>
      <c r="AE147" s="25" t="n">
        <f aca="false">K147-Q147-X147</f>
        <v>0</v>
      </c>
      <c r="AF147" s="25" t="n">
        <f aca="false">Q147-AA147</f>
        <v>0</v>
      </c>
      <c r="AG147" s="20"/>
      <c r="AH147" s="26" t="n">
        <f aca="false">IFERROR(AG147/Q147,0)</f>
        <v>0</v>
      </c>
      <c r="AI147" s="27" t="n">
        <v>0</v>
      </c>
      <c r="AJ147" s="26" t="n">
        <f aca="false">IF(AI147&gt;0,AprCoef/SQRT(AI147),0)</f>
        <v>0</v>
      </c>
      <c r="AK147" s="24" t="n">
        <f aca="false">AI147*AJ147/365</f>
        <v>0</v>
      </c>
      <c r="AL147" s="24" t="n">
        <f aca="false">AD147</f>
        <v>0</v>
      </c>
      <c r="AM147" s="24" t="n">
        <f aca="false">AK147-AL147</f>
        <v>0</v>
      </c>
      <c r="AN147" s="28" t="str">
        <f aca="false">IF(A147&gt;=Hip3LaunchDate,"YES","")</f>
        <v/>
      </c>
      <c r="AO147" s="28" t="str">
        <f aca="false">IF(A147&lt;Hip4LaunchDate,"pre-launch","live (zero-fee)")</f>
        <v>pre-launch</v>
      </c>
      <c r="AP147" s="20"/>
      <c r="AQ147" s="20"/>
      <c r="AR147" s="20"/>
    </row>
    <row r="148" customFormat="false" ht="15" hidden="false" customHeight="false" outlineLevel="0" collapsed="false">
      <c r="A148" s="18" t="n">
        <v>45209</v>
      </c>
      <c r="B148" s="19" t="n">
        <v>20360488.17</v>
      </c>
      <c r="C148" s="19" t="n">
        <v>0</v>
      </c>
      <c r="D148" s="20"/>
      <c r="E148" s="21" t="n">
        <f aca="false">B148+C148</f>
        <v>20360488.17</v>
      </c>
      <c r="F148" s="21" t="n">
        <f aca="false">E148+D148</f>
        <v>20360488.17</v>
      </c>
      <c r="G148" s="22" t="n">
        <f aca="false">IFERROR(C148/E148,0)</f>
        <v>0</v>
      </c>
      <c r="H148" s="20"/>
      <c r="I148" s="20"/>
      <c r="J148" s="20"/>
      <c r="K148" s="21" t="n">
        <f aca="false">H148+I148</f>
        <v>0</v>
      </c>
      <c r="L148" s="20"/>
      <c r="M148" s="21" t="n">
        <f aca="false">H148-L148</f>
        <v>0</v>
      </c>
      <c r="N148" s="23" t="n">
        <f aca="false">IFERROR(M148/B148*10000,0)</f>
        <v>0</v>
      </c>
      <c r="O148" s="20"/>
      <c r="P148" s="20"/>
      <c r="Q148" s="21" t="n">
        <f aca="false">O148+P148</f>
        <v>0</v>
      </c>
      <c r="R148" s="22" t="n">
        <f aca="false">IF(A148&lt;HlpChangeDate,HlpSharePre,HlpSharePost)</f>
        <v>0.03</v>
      </c>
      <c r="S148" s="21" t="n">
        <f aca="false">Q148*R148/(1-R148)</f>
        <v>0</v>
      </c>
      <c r="T148" s="20"/>
      <c r="U148" s="21" t="n">
        <f aca="false">S148-T148</f>
        <v>0</v>
      </c>
      <c r="V148" s="21" t="n">
        <f aca="false">Y148-O148*R148/(1-R148)</f>
        <v>0</v>
      </c>
      <c r="W148" s="21" t="n">
        <f aca="false">Z148-P148*R148/(1-R148)</f>
        <v>0</v>
      </c>
      <c r="X148" s="21" t="n">
        <f aca="false">S148+V148+W148</f>
        <v>0</v>
      </c>
      <c r="Y148" s="20"/>
      <c r="Z148" s="20"/>
      <c r="AA148" s="19" t="n">
        <v>0</v>
      </c>
      <c r="AB148" s="20"/>
      <c r="AC148" s="20"/>
      <c r="AD148" s="24" t="n">
        <f aca="false">IFERROR(AA148/AC148,0)</f>
        <v>0</v>
      </c>
      <c r="AE148" s="25" t="n">
        <f aca="false">K148-Q148-X148</f>
        <v>0</v>
      </c>
      <c r="AF148" s="25" t="n">
        <f aca="false">Q148-AA148</f>
        <v>0</v>
      </c>
      <c r="AG148" s="20"/>
      <c r="AH148" s="26" t="n">
        <f aca="false">IFERROR(AG148/Q148,0)</f>
        <v>0</v>
      </c>
      <c r="AI148" s="27" t="n">
        <v>0</v>
      </c>
      <c r="AJ148" s="26" t="n">
        <f aca="false">IF(AI148&gt;0,AprCoef/SQRT(AI148),0)</f>
        <v>0</v>
      </c>
      <c r="AK148" s="24" t="n">
        <f aca="false">AI148*AJ148/365</f>
        <v>0</v>
      </c>
      <c r="AL148" s="24" t="n">
        <f aca="false">AD148</f>
        <v>0</v>
      </c>
      <c r="AM148" s="24" t="n">
        <f aca="false">AK148-AL148</f>
        <v>0</v>
      </c>
      <c r="AN148" s="28" t="str">
        <f aca="false">IF(A148&gt;=Hip3LaunchDate,"YES","")</f>
        <v/>
      </c>
      <c r="AO148" s="28" t="str">
        <f aca="false">IF(A148&lt;Hip4LaunchDate,"pre-launch","live (zero-fee)")</f>
        <v>pre-launch</v>
      </c>
      <c r="AP148" s="20"/>
      <c r="AQ148" s="20"/>
      <c r="AR148" s="20"/>
    </row>
    <row r="149" customFormat="false" ht="15" hidden="false" customHeight="false" outlineLevel="0" collapsed="false">
      <c r="A149" s="18" t="n">
        <v>45210</v>
      </c>
      <c r="B149" s="19" t="n">
        <v>27353167.72</v>
      </c>
      <c r="C149" s="19" t="n">
        <v>0</v>
      </c>
      <c r="D149" s="20"/>
      <c r="E149" s="21" t="n">
        <f aca="false">B149+C149</f>
        <v>27353167.72</v>
      </c>
      <c r="F149" s="21" t="n">
        <f aca="false">E149+D149</f>
        <v>27353167.72</v>
      </c>
      <c r="G149" s="22" t="n">
        <f aca="false">IFERROR(C149/E149,0)</f>
        <v>0</v>
      </c>
      <c r="H149" s="20"/>
      <c r="I149" s="20"/>
      <c r="J149" s="20"/>
      <c r="K149" s="21" t="n">
        <f aca="false">H149+I149</f>
        <v>0</v>
      </c>
      <c r="L149" s="20"/>
      <c r="M149" s="21" t="n">
        <f aca="false">H149-L149</f>
        <v>0</v>
      </c>
      <c r="N149" s="23" t="n">
        <f aca="false">IFERROR(M149/B149*10000,0)</f>
        <v>0</v>
      </c>
      <c r="O149" s="20"/>
      <c r="P149" s="20"/>
      <c r="Q149" s="21" t="n">
        <f aca="false">O149+P149</f>
        <v>0</v>
      </c>
      <c r="R149" s="22" t="n">
        <f aca="false">IF(A149&lt;HlpChangeDate,HlpSharePre,HlpSharePost)</f>
        <v>0.03</v>
      </c>
      <c r="S149" s="21" t="n">
        <f aca="false">Q149*R149/(1-R149)</f>
        <v>0</v>
      </c>
      <c r="T149" s="20"/>
      <c r="U149" s="21" t="n">
        <f aca="false">S149-T149</f>
        <v>0</v>
      </c>
      <c r="V149" s="21" t="n">
        <f aca="false">Y149-O149*R149/(1-R149)</f>
        <v>0</v>
      </c>
      <c r="W149" s="21" t="n">
        <f aca="false">Z149-P149*R149/(1-R149)</f>
        <v>0</v>
      </c>
      <c r="X149" s="21" t="n">
        <f aca="false">S149+V149+W149</f>
        <v>0</v>
      </c>
      <c r="Y149" s="20"/>
      <c r="Z149" s="20"/>
      <c r="AA149" s="19" t="n">
        <v>0</v>
      </c>
      <c r="AB149" s="20"/>
      <c r="AC149" s="20"/>
      <c r="AD149" s="24" t="n">
        <f aca="false">IFERROR(AA149/AC149,0)</f>
        <v>0</v>
      </c>
      <c r="AE149" s="25" t="n">
        <f aca="false">K149-Q149-X149</f>
        <v>0</v>
      </c>
      <c r="AF149" s="25" t="n">
        <f aca="false">Q149-AA149</f>
        <v>0</v>
      </c>
      <c r="AG149" s="20"/>
      <c r="AH149" s="26" t="n">
        <f aca="false">IFERROR(AG149/Q149,0)</f>
        <v>0</v>
      </c>
      <c r="AI149" s="27" t="n">
        <v>0</v>
      </c>
      <c r="AJ149" s="26" t="n">
        <f aca="false">IF(AI149&gt;0,AprCoef/SQRT(AI149),0)</f>
        <v>0</v>
      </c>
      <c r="AK149" s="24" t="n">
        <f aca="false">AI149*AJ149/365</f>
        <v>0</v>
      </c>
      <c r="AL149" s="24" t="n">
        <f aca="false">AD149</f>
        <v>0</v>
      </c>
      <c r="AM149" s="24" t="n">
        <f aca="false">AK149-AL149</f>
        <v>0</v>
      </c>
      <c r="AN149" s="28" t="str">
        <f aca="false">IF(A149&gt;=Hip3LaunchDate,"YES","")</f>
        <v/>
      </c>
      <c r="AO149" s="28" t="str">
        <f aca="false">IF(A149&lt;Hip4LaunchDate,"pre-launch","live (zero-fee)")</f>
        <v>pre-launch</v>
      </c>
      <c r="AP149" s="20"/>
      <c r="AQ149" s="20"/>
      <c r="AR149" s="20"/>
    </row>
    <row r="150" customFormat="false" ht="15" hidden="false" customHeight="false" outlineLevel="0" collapsed="false">
      <c r="A150" s="18" t="n">
        <v>45211</v>
      </c>
      <c r="B150" s="19" t="n">
        <v>22649071.72</v>
      </c>
      <c r="C150" s="19" t="n">
        <v>0</v>
      </c>
      <c r="D150" s="20"/>
      <c r="E150" s="21" t="n">
        <f aca="false">B150+C150</f>
        <v>22649071.72</v>
      </c>
      <c r="F150" s="21" t="n">
        <f aca="false">E150+D150</f>
        <v>22649071.72</v>
      </c>
      <c r="G150" s="22" t="n">
        <f aca="false">IFERROR(C150/E150,0)</f>
        <v>0</v>
      </c>
      <c r="H150" s="20"/>
      <c r="I150" s="20"/>
      <c r="J150" s="20"/>
      <c r="K150" s="21" t="n">
        <f aca="false">H150+I150</f>
        <v>0</v>
      </c>
      <c r="L150" s="20"/>
      <c r="M150" s="21" t="n">
        <f aca="false">H150-L150</f>
        <v>0</v>
      </c>
      <c r="N150" s="23" t="n">
        <f aca="false">IFERROR(M150/B150*10000,0)</f>
        <v>0</v>
      </c>
      <c r="O150" s="20"/>
      <c r="P150" s="20"/>
      <c r="Q150" s="21" t="n">
        <f aca="false">O150+P150</f>
        <v>0</v>
      </c>
      <c r="R150" s="22" t="n">
        <f aca="false">IF(A150&lt;HlpChangeDate,HlpSharePre,HlpSharePost)</f>
        <v>0.03</v>
      </c>
      <c r="S150" s="21" t="n">
        <f aca="false">Q150*R150/(1-R150)</f>
        <v>0</v>
      </c>
      <c r="T150" s="20"/>
      <c r="U150" s="21" t="n">
        <f aca="false">S150-T150</f>
        <v>0</v>
      </c>
      <c r="V150" s="21" t="n">
        <f aca="false">Y150-O150*R150/(1-R150)</f>
        <v>0</v>
      </c>
      <c r="W150" s="21" t="n">
        <f aca="false">Z150-P150*R150/(1-R150)</f>
        <v>0</v>
      </c>
      <c r="X150" s="21" t="n">
        <f aca="false">S150+V150+W150</f>
        <v>0</v>
      </c>
      <c r="Y150" s="20"/>
      <c r="Z150" s="20"/>
      <c r="AA150" s="19" t="n">
        <v>0</v>
      </c>
      <c r="AB150" s="20"/>
      <c r="AC150" s="20"/>
      <c r="AD150" s="24" t="n">
        <f aca="false">IFERROR(AA150/AC150,0)</f>
        <v>0</v>
      </c>
      <c r="AE150" s="25" t="n">
        <f aca="false">K150-Q150-X150</f>
        <v>0</v>
      </c>
      <c r="AF150" s="25" t="n">
        <f aca="false">Q150-AA150</f>
        <v>0</v>
      </c>
      <c r="AG150" s="20"/>
      <c r="AH150" s="26" t="n">
        <f aca="false">IFERROR(AG150/Q150,0)</f>
        <v>0</v>
      </c>
      <c r="AI150" s="27" t="n">
        <v>0</v>
      </c>
      <c r="AJ150" s="26" t="n">
        <f aca="false">IF(AI150&gt;0,AprCoef/SQRT(AI150),0)</f>
        <v>0</v>
      </c>
      <c r="AK150" s="24" t="n">
        <f aca="false">AI150*AJ150/365</f>
        <v>0</v>
      </c>
      <c r="AL150" s="24" t="n">
        <f aca="false">AD150</f>
        <v>0</v>
      </c>
      <c r="AM150" s="24" t="n">
        <f aca="false">AK150-AL150</f>
        <v>0</v>
      </c>
      <c r="AN150" s="28" t="str">
        <f aca="false">IF(A150&gt;=Hip3LaunchDate,"YES","")</f>
        <v/>
      </c>
      <c r="AO150" s="28" t="str">
        <f aca="false">IF(A150&lt;Hip4LaunchDate,"pre-launch","live (zero-fee)")</f>
        <v>pre-launch</v>
      </c>
      <c r="AP150" s="20"/>
      <c r="AQ150" s="20"/>
      <c r="AR150" s="20"/>
    </row>
    <row r="151" customFormat="false" ht="15" hidden="false" customHeight="false" outlineLevel="0" collapsed="false">
      <c r="A151" s="18" t="n">
        <v>45212</v>
      </c>
      <c r="B151" s="19" t="n">
        <v>42670868.86</v>
      </c>
      <c r="C151" s="19" t="n">
        <v>0</v>
      </c>
      <c r="D151" s="20"/>
      <c r="E151" s="21" t="n">
        <f aca="false">B151+C151</f>
        <v>42670868.86</v>
      </c>
      <c r="F151" s="21" t="n">
        <f aca="false">E151+D151</f>
        <v>42670868.86</v>
      </c>
      <c r="G151" s="22" t="n">
        <f aca="false">IFERROR(C151/E151,0)</f>
        <v>0</v>
      </c>
      <c r="H151" s="20"/>
      <c r="I151" s="20"/>
      <c r="J151" s="20"/>
      <c r="K151" s="21" t="n">
        <f aca="false">H151+I151</f>
        <v>0</v>
      </c>
      <c r="L151" s="20"/>
      <c r="M151" s="21" t="n">
        <f aca="false">H151-L151</f>
        <v>0</v>
      </c>
      <c r="N151" s="23" t="n">
        <f aca="false">IFERROR(M151/B151*10000,0)</f>
        <v>0</v>
      </c>
      <c r="O151" s="20"/>
      <c r="P151" s="20"/>
      <c r="Q151" s="21" t="n">
        <f aca="false">O151+P151</f>
        <v>0</v>
      </c>
      <c r="R151" s="22" t="n">
        <f aca="false">IF(A151&lt;HlpChangeDate,HlpSharePre,HlpSharePost)</f>
        <v>0.03</v>
      </c>
      <c r="S151" s="21" t="n">
        <f aca="false">Q151*R151/(1-R151)</f>
        <v>0</v>
      </c>
      <c r="T151" s="20"/>
      <c r="U151" s="21" t="n">
        <f aca="false">S151-T151</f>
        <v>0</v>
      </c>
      <c r="V151" s="21" t="n">
        <f aca="false">Y151-O151*R151/(1-R151)</f>
        <v>0</v>
      </c>
      <c r="W151" s="21" t="n">
        <f aca="false">Z151-P151*R151/(1-R151)</f>
        <v>0</v>
      </c>
      <c r="X151" s="21" t="n">
        <f aca="false">S151+V151+W151</f>
        <v>0</v>
      </c>
      <c r="Y151" s="20"/>
      <c r="Z151" s="20"/>
      <c r="AA151" s="19" t="n">
        <v>0</v>
      </c>
      <c r="AB151" s="20"/>
      <c r="AC151" s="20"/>
      <c r="AD151" s="24" t="n">
        <f aca="false">IFERROR(AA151/AC151,0)</f>
        <v>0</v>
      </c>
      <c r="AE151" s="25" t="n">
        <f aca="false">K151-Q151-X151</f>
        <v>0</v>
      </c>
      <c r="AF151" s="25" t="n">
        <f aca="false">Q151-AA151</f>
        <v>0</v>
      </c>
      <c r="AG151" s="20"/>
      <c r="AH151" s="26" t="n">
        <f aca="false">IFERROR(AG151/Q151,0)</f>
        <v>0</v>
      </c>
      <c r="AI151" s="27" t="n">
        <v>0</v>
      </c>
      <c r="AJ151" s="26" t="n">
        <f aca="false">IF(AI151&gt;0,AprCoef/SQRT(AI151),0)</f>
        <v>0</v>
      </c>
      <c r="AK151" s="24" t="n">
        <f aca="false">AI151*AJ151/365</f>
        <v>0</v>
      </c>
      <c r="AL151" s="24" t="n">
        <f aca="false">AD151</f>
        <v>0</v>
      </c>
      <c r="AM151" s="24" t="n">
        <f aca="false">AK151-AL151</f>
        <v>0</v>
      </c>
      <c r="AN151" s="28" t="str">
        <f aca="false">IF(A151&gt;=Hip3LaunchDate,"YES","")</f>
        <v/>
      </c>
      <c r="AO151" s="28" t="str">
        <f aca="false">IF(A151&lt;Hip4LaunchDate,"pre-launch","live (zero-fee)")</f>
        <v>pre-launch</v>
      </c>
      <c r="AP151" s="20"/>
      <c r="AQ151" s="20"/>
      <c r="AR151" s="20"/>
    </row>
    <row r="152" customFormat="false" ht="15" hidden="false" customHeight="false" outlineLevel="0" collapsed="false">
      <c r="A152" s="18" t="n">
        <v>45213</v>
      </c>
      <c r="B152" s="19" t="n">
        <v>24195150.99</v>
      </c>
      <c r="C152" s="19" t="n">
        <v>0</v>
      </c>
      <c r="D152" s="20"/>
      <c r="E152" s="21" t="n">
        <f aca="false">B152+C152</f>
        <v>24195150.99</v>
      </c>
      <c r="F152" s="21" t="n">
        <f aca="false">E152+D152</f>
        <v>24195150.99</v>
      </c>
      <c r="G152" s="22" t="n">
        <f aca="false">IFERROR(C152/E152,0)</f>
        <v>0</v>
      </c>
      <c r="H152" s="20"/>
      <c r="I152" s="20"/>
      <c r="J152" s="20"/>
      <c r="K152" s="21" t="n">
        <f aca="false">H152+I152</f>
        <v>0</v>
      </c>
      <c r="L152" s="20"/>
      <c r="M152" s="21" t="n">
        <f aca="false">H152-L152</f>
        <v>0</v>
      </c>
      <c r="N152" s="23" t="n">
        <f aca="false">IFERROR(M152/B152*10000,0)</f>
        <v>0</v>
      </c>
      <c r="O152" s="20"/>
      <c r="P152" s="20"/>
      <c r="Q152" s="21" t="n">
        <f aca="false">O152+P152</f>
        <v>0</v>
      </c>
      <c r="R152" s="22" t="n">
        <f aca="false">IF(A152&lt;HlpChangeDate,HlpSharePre,HlpSharePost)</f>
        <v>0.03</v>
      </c>
      <c r="S152" s="21" t="n">
        <f aca="false">Q152*R152/(1-R152)</f>
        <v>0</v>
      </c>
      <c r="T152" s="20"/>
      <c r="U152" s="21" t="n">
        <f aca="false">S152-T152</f>
        <v>0</v>
      </c>
      <c r="V152" s="21" t="n">
        <f aca="false">Y152-O152*R152/(1-R152)</f>
        <v>0</v>
      </c>
      <c r="W152" s="21" t="n">
        <f aca="false">Z152-P152*R152/(1-R152)</f>
        <v>0</v>
      </c>
      <c r="X152" s="21" t="n">
        <f aca="false">S152+V152+W152</f>
        <v>0</v>
      </c>
      <c r="Y152" s="20"/>
      <c r="Z152" s="20"/>
      <c r="AA152" s="19" t="n">
        <v>0</v>
      </c>
      <c r="AB152" s="20"/>
      <c r="AC152" s="20"/>
      <c r="AD152" s="24" t="n">
        <f aca="false">IFERROR(AA152/AC152,0)</f>
        <v>0</v>
      </c>
      <c r="AE152" s="25" t="n">
        <f aca="false">K152-Q152-X152</f>
        <v>0</v>
      </c>
      <c r="AF152" s="25" t="n">
        <f aca="false">Q152-AA152</f>
        <v>0</v>
      </c>
      <c r="AG152" s="20"/>
      <c r="AH152" s="26" t="n">
        <f aca="false">IFERROR(AG152/Q152,0)</f>
        <v>0</v>
      </c>
      <c r="AI152" s="27" t="n">
        <v>0</v>
      </c>
      <c r="AJ152" s="26" t="n">
        <f aca="false">IF(AI152&gt;0,AprCoef/SQRT(AI152),0)</f>
        <v>0</v>
      </c>
      <c r="AK152" s="24" t="n">
        <f aca="false">AI152*AJ152/365</f>
        <v>0</v>
      </c>
      <c r="AL152" s="24" t="n">
        <f aca="false">AD152</f>
        <v>0</v>
      </c>
      <c r="AM152" s="24" t="n">
        <f aca="false">AK152-AL152</f>
        <v>0</v>
      </c>
      <c r="AN152" s="28" t="str">
        <f aca="false">IF(A152&gt;=Hip3LaunchDate,"YES","")</f>
        <v/>
      </c>
      <c r="AO152" s="28" t="str">
        <f aca="false">IF(A152&lt;Hip4LaunchDate,"pre-launch","live (zero-fee)")</f>
        <v>pre-launch</v>
      </c>
      <c r="AP152" s="20"/>
      <c r="AQ152" s="20"/>
      <c r="AR152" s="20"/>
    </row>
    <row r="153" customFormat="false" ht="15" hidden="false" customHeight="false" outlineLevel="0" collapsed="false">
      <c r="A153" s="18" t="n">
        <v>45214</v>
      </c>
      <c r="B153" s="19" t="n">
        <v>29268237.74</v>
      </c>
      <c r="C153" s="19" t="n">
        <v>0</v>
      </c>
      <c r="D153" s="20"/>
      <c r="E153" s="21" t="n">
        <f aca="false">B153+C153</f>
        <v>29268237.74</v>
      </c>
      <c r="F153" s="21" t="n">
        <f aca="false">E153+D153</f>
        <v>29268237.74</v>
      </c>
      <c r="G153" s="22" t="n">
        <f aca="false">IFERROR(C153/E153,0)</f>
        <v>0</v>
      </c>
      <c r="H153" s="20"/>
      <c r="I153" s="20"/>
      <c r="J153" s="20"/>
      <c r="K153" s="21" t="n">
        <f aca="false">H153+I153</f>
        <v>0</v>
      </c>
      <c r="L153" s="20"/>
      <c r="M153" s="21" t="n">
        <f aca="false">H153-L153</f>
        <v>0</v>
      </c>
      <c r="N153" s="23" t="n">
        <f aca="false">IFERROR(M153/B153*10000,0)</f>
        <v>0</v>
      </c>
      <c r="O153" s="20"/>
      <c r="P153" s="20"/>
      <c r="Q153" s="21" t="n">
        <f aca="false">O153+P153</f>
        <v>0</v>
      </c>
      <c r="R153" s="22" t="n">
        <f aca="false">IF(A153&lt;HlpChangeDate,HlpSharePre,HlpSharePost)</f>
        <v>0.03</v>
      </c>
      <c r="S153" s="21" t="n">
        <f aca="false">Q153*R153/(1-R153)</f>
        <v>0</v>
      </c>
      <c r="T153" s="20"/>
      <c r="U153" s="21" t="n">
        <f aca="false">S153-T153</f>
        <v>0</v>
      </c>
      <c r="V153" s="21" t="n">
        <f aca="false">Y153-O153*R153/(1-R153)</f>
        <v>0</v>
      </c>
      <c r="W153" s="21" t="n">
        <f aca="false">Z153-P153*R153/(1-R153)</f>
        <v>0</v>
      </c>
      <c r="X153" s="21" t="n">
        <f aca="false">S153+V153+W153</f>
        <v>0</v>
      </c>
      <c r="Y153" s="20"/>
      <c r="Z153" s="20"/>
      <c r="AA153" s="19" t="n">
        <v>0</v>
      </c>
      <c r="AB153" s="20"/>
      <c r="AC153" s="20"/>
      <c r="AD153" s="24" t="n">
        <f aca="false">IFERROR(AA153/AC153,0)</f>
        <v>0</v>
      </c>
      <c r="AE153" s="25" t="n">
        <f aca="false">K153-Q153-X153</f>
        <v>0</v>
      </c>
      <c r="AF153" s="25" t="n">
        <f aca="false">Q153-AA153</f>
        <v>0</v>
      </c>
      <c r="AG153" s="20"/>
      <c r="AH153" s="26" t="n">
        <f aca="false">IFERROR(AG153/Q153,0)</f>
        <v>0</v>
      </c>
      <c r="AI153" s="27" t="n">
        <v>0</v>
      </c>
      <c r="AJ153" s="26" t="n">
        <f aca="false">IF(AI153&gt;0,AprCoef/SQRT(AI153),0)</f>
        <v>0</v>
      </c>
      <c r="AK153" s="24" t="n">
        <f aca="false">AI153*AJ153/365</f>
        <v>0</v>
      </c>
      <c r="AL153" s="24" t="n">
        <f aca="false">AD153</f>
        <v>0</v>
      </c>
      <c r="AM153" s="24" t="n">
        <f aca="false">AK153-AL153</f>
        <v>0</v>
      </c>
      <c r="AN153" s="28" t="str">
        <f aca="false">IF(A153&gt;=Hip3LaunchDate,"YES","")</f>
        <v/>
      </c>
      <c r="AO153" s="28" t="str">
        <f aca="false">IF(A153&lt;Hip4LaunchDate,"pre-launch","live (zero-fee)")</f>
        <v>pre-launch</v>
      </c>
      <c r="AP153" s="20"/>
      <c r="AQ153" s="20"/>
      <c r="AR153" s="20"/>
    </row>
    <row r="154" customFormat="false" ht="15" hidden="false" customHeight="false" outlineLevel="0" collapsed="false">
      <c r="A154" s="18" t="n">
        <v>45215</v>
      </c>
      <c r="B154" s="19" t="n">
        <v>35897320.92</v>
      </c>
      <c r="C154" s="19" t="n">
        <v>0</v>
      </c>
      <c r="D154" s="20"/>
      <c r="E154" s="21" t="n">
        <f aca="false">B154+C154</f>
        <v>35897320.92</v>
      </c>
      <c r="F154" s="21" t="n">
        <f aca="false">E154+D154</f>
        <v>35897320.92</v>
      </c>
      <c r="G154" s="22" t="n">
        <f aca="false">IFERROR(C154/E154,0)</f>
        <v>0</v>
      </c>
      <c r="H154" s="20"/>
      <c r="I154" s="20"/>
      <c r="J154" s="20"/>
      <c r="K154" s="21" t="n">
        <f aca="false">H154+I154</f>
        <v>0</v>
      </c>
      <c r="L154" s="20"/>
      <c r="M154" s="21" t="n">
        <f aca="false">H154-L154</f>
        <v>0</v>
      </c>
      <c r="N154" s="23" t="n">
        <f aca="false">IFERROR(M154/B154*10000,0)</f>
        <v>0</v>
      </c>
      <c r="O154" s="20"/>
      <c r="P154" s="20"/>
      <c r="Q154" s="21" t="n">
        <f aca="false">O154+P154</f>
        <v>0</v>
      </c>
      <c r="R154" s="22" t="n">
        <f aca="false">IF(A154&lt;HlpChangeDate,HlpSharePre,HlpSharePost)</f>
        <v>0.03</v>
      </c>
      <c r="S154" s="21" t="n">
        <f aca="false">Q154*R154/(1-R154)</f>
        <v>0</v>
      </c>
      <c r="T154" s="20"/>
      <c r="U154" s="21" t="n">
        <f aca="false">S154-T154</f>
        <v>0</v>
      </c>
      <c r="V154" s="21" t="n">
        <f aca="false">Y154-O154*R154/(1-R154)</f>
        <v>0</v>
      </c>
      <c r="W154" s="21" t="n">
        <f aca="false">Z154-P154*R154/(1-R154)</f>
        <v>0</v>
      </c>
      <c r="X154" s="21" t="n">
        <f aca="false">S154+V154+W154</f>
        <v>0</v>
      </c>
      <c r="Y154" s="20"/>
      <c r="Z154" s="20"/>
      <c r="AA154" s="19" t="n">
        <v>0</v>
      </c>
      <c r="AB154" s="20"/>
      <c r="AC154" s="20"/>
      <c r="AD154" s="24" t="n">
        <f aca="false">IFERROR(AA154/AC154,0)</f>
        <v>0</v>
      </c>
      <c r="AE154" s="25" t="n">
        <f aca="false">K154-Q154-X154</f>
        <v>0</v>
      </c>
      <c r="AF154" s="25" t="n">
        <f aca="false">Q154-AA154</f>
        <v>0</v>
      </c>
      <c r="AG154" s="20"/>
      <c r="AH154" s="26" t="n">
        <f aca="false">IFERROR(AG154/Q154,0)</f>
        <v>0</v>
      </c>
      <c r="AI154" s="27" t="n">
        <v>0</v>
      </c>
      <c r="AJ154" s="26" t="n">
        <f aca="false">IF(AI154&gt;0,AprCoef/SQRT(AI154),0)</f>
        <v>0</v>
      </c>
      <c r="AK154" s="24" t="n">
        <f aca="false">AI154*AJ154/365</f>
        <v>0</v>
      </c>
      <c r="AL154" s="24" t="n">
        <f aca="false">AD154</f>
        <v>0</v>
      </c>
      <c r="AM154" s="24" t="n">
        <f aca="false">AK154-AL154</f>
        <v>0</v>
      </c>
      <c r="AN154" s="28" t="str">
        <f aca="false">IF(A154&gt;=Hip3LaunchDate,"YES","")</f>
        <v/>
      </c>
      <c r="AO154" s="28" t="str">
        <f aca="false">IF(A154&lt;Hip4LaunchDate,"pre-launch","live (zero-fee)")</f>
        <v>pre-launch</v>
      </c>
      <c r="AP154" s="20"/>
      <c r="AQ154" s="20"/>
      <c r="AR154" s="20"/>
    </row>
    <row r="155" customFormat="false" ht="15" hidden="false" customHeight="false" outlineLevel="0" collapsed="false">
      <c r="A155" s="18" t="n">
        <v>45216</v>
      </c>
      <c r="B155" s="19" t="n">
        <v>19105504.41</v>
      </c>
      <c r="C155" s="19" t="n">
        <v>0</v>
      </c>
      <c r="D155" s="20"/>
      <c r="E155" s="21" t="n">
        <f aca="false">B155+C155</f>
        <v>19105504.41</v>
      </c>
      <c r="F155" s="21" t="n">
        <f aca="false">E155+D155</f>
        <v>19105504.41</v>
      </c>
      <c r="G155" s="22" t="n">
        <f aca="false">IFERROR(C155/E155,0)</f>
        <v>0</v>
      </c>
      <c r="H155" s="20"/>
      <c r="I155" s="20"/>
      <c r="J155" s="20"/>
      <c r="K155" s="21" t="n">
        <f aca="false">H155+I155</f>
        <v>0</v>
      </c>
      <c r="L155" s="20"/>
      <c r="M155" s="21" t="n">
        <f aca="false">H155-L155</f>
        <v>0</v>
      </c>
      <c r="N155" s="23" t="n">
        <f aca="false">IFERROR(M155/B155*10000,0)</f>
        <v>0</v>
      </c>
      <c r="O155" s="20"/>
      <c r="P155" s="20"/>
      <c r="Q155" s="21" t="n">
        <f aca="false">O155+P155</f>
        <v>0</v>
      </c>
      <c r="R155" s="22" t="n">
        <f aca="false">IF(A155&lt;HlpChangeDate,HlpSharePre,HlpSharePost)</f>
        <v>0.03</v>
      </c>
      <c r="S155" s="21" t="n">
        <f aca="false">Q155*R155/(1-R155)</f>
        <v>0</v>
      </c>
      <c r="T155" s="20"/>
      <c r="U155" s="21" t="n">
        <f aca="false">S155-T155</f>
        <v>0</v>
      </c>
      <c r="V155" s="21" t="n">
        <f aca="false">Y155-O155*R155/(1-R155)</f>
        <v>0</v>
      </c>
      <c r="W155" s="21" t="n">
        <f aca="false">Z155-P155*R155/(1-R155)</f>
        <v>0</v>
      </c>
      <c r="X155" s="21" t="n">
        <f aca="false">S155+V155+W155</f>
        <v>0</v>
      </c>
      <c r="Y155" s="20"/>
      <c r="Z155" s="20"/>
      <c r="AA155" s="19" t="n">
        <v>0</v>
      </c>
      <c r="AB155" s="20"/>
      <c r="AC155" s="20"/>
      <c r="AD155" s="24" t="n">
        <f aca="false">IFERROR(AA155/AC155,0)</f>
        <v>0</v>
      </c>
      <c r="AE155" s="25" t="n">
        <f aca="false">K155-Q155-X155</f>
        <v>0</v>
      </c>
      <c r="AF155" s="25" t="n">
        <f aca="false">Q155-AA155</f>
        <v>0</v>
      </c>
      <c r="AG155" s="20"/>
      <c r="AH155" s="26" t="n">
        <f aca="false">IFERROR(AG155/Q155,0)</f>
        <v>0</v>
      </c>
      <c r="AI155" s="27" t="n">
        <v>0</v>
      </c>
      <c r="AJ155" s="26" t="n">
        <f aca="false">IF(AI155&gt;0,AprCoef/SQRT(AI155),0)</f>
        <v>0</v>
      </c>
      <c r="AK155" s="24" t="n">
        <f aca="false">AI155*AJ155/365</f>
        <v>0</v>
      </c>
      <c r="AL155" s="24" t="n">
        <f aca="false">AD155</f>
        <v>0</v>
      </c>
      <c r="AM155" s="24" t="n">
        <f aca="false">AK155-AL155</f>
        <v>0</v>
      </c>
      <c r="AN155" s="28" t="str">
        <f aca="false">IF(A155&gt;=Hip3LaunchDate,"YES","")</f>
        <v/>
      </c>
      <c r="AO155" s="28" t="str">
        <f aca="false">IF(A155&lt;Hip4LaunchDate,"pre-launch","live (zero-fee)")</f>
        <v>pre-launch</v>
      </c>
      <c r="AP155" s="20"/>
      <c r="AQ155" s="20"/>
      <c r="AR155" s="20"/>
    </row>
    <row r="156" customFormat="false" ht="15" hidden="false" customHeight="false" outlineLevel="0" collapsed="false">
      <c r="A156" s="18" t="n">
        <v>45217</v>
      </c>
      <c r="B156" s="19" t="n">
        <v>22224715.07</v>
      </c>
      <c r="C156" s="19" t="n">
        <v>0</v>
      </c>
      <c r="D156" s="20"/>
      <c r="E156" s="21" t="n">
        <f aca="false">B156+C156</f>
        <v>22224715.07</v>
      </c>
      <c r="F156" s="21" t="n">
        <f aca="false">E156+D156</f>
        <v>22224715.07</v>
      </c>
      <c r="G156" s="22" t="n">
        <f aca="false">IFERROR(C156/E156,0)</f>
        <v>0</v>
      </c>
      <c r="H156" s="20"/>
      <c r="I156" s="20"/>
      <c r="J156" s="20"/>
      <c r="K156" s="21" t="n">
        <f aca="false">H156+I156</f>
        <v>0</v>
      </c>
      <c r="L156" s="20"/>
      <c r="M156" s="21" t="n">
        <f aca="false">H156-L156</f>
        <v>0</v>
      </c>
      <c r="N156" s="23" t="n">
        <f aca="false">IFERROR(M156/B156*10000,0)</f>
        <v>0</v>
      </c>
      <c r="O156" s="20"/>
      <c r="P156" s="20"/>
      <c r="Q156" s="21" t="n">
        <f aca="false">O156+P156</f>
        <v>0</v>
      </c>
      <c r="R156" s="22" t="n">
        <f aca="false">IF(A156&lt;HlpChangeDate,HlpSharePre,HlpSharePost)</f>
        <v>0.03</v>
      </c>
      <c r="S156" s="21" t="n">
        <f aca="false">Q156*R156/(1-R156)</f>
        <v>0</v>
      </c>
      <c r="T156" s="20"/>
      <c r="U156" s="21" t="n">
        <f aca="false">S156-T156</f>
        <v>0</v>
      </c>
      <c r="V156" s="21" t="n">
        <f aca="false">Y156-O156*R156/(1-R156)</f>
        <v>0</v>
      </c>
      <c r="W156" s="21" t="n">
        <f aca="false">Z156-P156*R156/(1-R156)</f>
        <v>0</v>
      </c>
      <c r="X156" s="21" t="n">
        <f aca="false">S156+V156+W156</f>
        <v>0</v>
      </c>
      <c r="Y156" s="20"/>
      <c r="Z156" s="20"/>
      <c r="AA156" s="19" t="n">
        <v>0</v>
      </c>
      <c r="AB156" s="20"/>
      <c r="AC156" s="20"/>
      <c r="AD156" s="24" t="n">
        <f aca="false">IFERROR(AA156/AC156,0)</f>
        <v>0</v>
      </c>
      <c r="AE156" s="25" t="n">
        <f aca="false">K156-Q156-X156</f>
        <v>0</v>
      </c>
      <c r="AF156" s="25" t="n">
        <f aca="false">Q156-AA156</f>
        <v>0</v>
      </c>
      <c r="AG156" s="20"/>
      <c r="AH156" s="26" t="n">
        <f aca="false">IFERROR(AG156/Q156,0)</f>
        <v>0</v>
      </c>
      <c r="AI156" s="27" t="n">
        <v>0</v>
      </c>
      <c r="AJ156" s="26" t="n">
        <f aca="false">IF(AI156&gt;0,AprCoef/SQRT(AI156),0)</f>
        <v>0</v>
      </c>
      <c r="AK156" s="24" t="n">
        <f aca="false">AI156*AJ156/365</f>
        <v>0</v>
      </c>
      <c r="AL156" s="24" t="n">
        <f aca="false">AD156</f>
        <v>0</v>
      </c>
      <c r="AM156" s="24" t="n">
        <f aca="false">AK156-AL156</f>
        <v>0</v>
      </c>
      <c r="AN156" s="28" t="str">
        <f aca="false">IF(A156&gt;=Hip3LaunchDate,"YES","")</f>
        <v/>
      </c>
      <c r="AO156" s="28" t="str">
        <f aca="false">IF(A156&lt;Hip4LaunchDate,"pre-launch","live (zero-fee)")</f>
        <v>pre-launch</v>
      </c>
      <c r="AP156" s="20"/>
      <c r="AQ156" s="20"/>
      <c r="AR156" s="20"/>
    </row>
    <row r="157" customFormat="false" ht="15" hidden="false" customHeight="false" outlineLevel="0" collapsed="false">
      <c r="A157" s="18" t="n">
        <v>45218</v>
      </c>
      <c r="B157" s="19" t="n">
        <v>27824935.7</v>
      </c>
      <c r="C157" s="19" t="n">
        <v>0</v>
      </c>
      <c r="D157" s="20"/>
      <c r="E157" s="21" t="n">
        <f aca="false">B157+C157</f>
        <v>27824935.7</v>
      </c>
      <c r="F157" s="21" t="n">
        <f aca="false">E157+D157</f>
        <v>27824935.7</v>
      </c>
      <c r="G157" s="22" t="n">
        <f aca="false">IFERROR(C157/E157,0)</f>
        <v>0</v>
      </c>
      <c r="H157" s="20"/>
      <c r="I157" s="20"/>
      <c r="J157" s="20"/>
      <c r="K157" s="21" t="n">
        <f aca="false">H157+I157</f>
        <v>0</v>
      </c>
      <c r="L157" s="20"/>
      <c r="M157" s="21" t="n">
        <f aca="false">H157-L157</f>
        <v>0</v>
      </c>
      <c r="N157" s="23" t="n">
        <f aca="false">IFERROR(M157/B157*10000,0)</f>
        <v>0</v>
      </c>
      <c r="O157" s="20"/>
      <c r="P157" s="20"/>
      <c r="Q157" s="21" t="n">
        <f aca="false">O157+P157</f>
        <v>0</v>
      </c>
      <c r="R157" s="22" t="n">
        <f aca="false">IF(A157&lt;HlpChangeDate,HlpSharePre,HlpSharePost)</f>
        <v>0.03</v>
      </c>
      <c r="S157" s="21" t="n">
        <f aca="false">Q157*R157/(1-R157)</f>
        <v>0</v>
      </c>
      <c r="T157" s="20"/>
      <c r="U157" s="21" t="n">
        <f aca="false">S157-T157</f>
        <v>0</v>
      </c>
      <c r="V157" s="21" t="n">
        <f aca="false">Y157-O157*R157/(1-R157)</f>
        <v>0</v>
      </c>
      <c r="W157" s="21" t="n">
        <f aca="false">Z157-P157*R157/(1-R157)</f>
        <v>0</v>
      </c>
      <c r="X157" s="21" t="n">
        <f aca="false">S157+V157+W157</f>
        <v>0</v>
      </c>
      <c r="Y157" s="20"/>
      <c r="Z157" s="20"/>
      <c r="AA157" s="19" t="n">
        <v>0</v>
      </c>
      <c r="AB157" s="20"/>
      <c r="AC157" s="20"/>
      <c r="AD157" s="24" t="n">
        <f aca="false">IFERROR(AA157/AC157,0)</f>
        <v>0</v>
      </c>
      <c r="AE157" s="25" t="n">
        <f aca="false">K157-Q157-X157</f>
        <v>0</v>
      </c>
      <c r="AF157" s="25" t="n">
        <f aca="false">Q157-AA157</f>
        <v>0</v>
      </c>
      <c r="AG157" s="20"/>
      <c r="AH157" s="26" t="n">
        <f aca="false">IFERROR(AG157/Q157,0)</f>
        <v>0</v>
      </c>
      <c r="AI157" s="27" t="n">
        <v>0</v>
      </c>
      <c r="AJ157" s="26" t="n">
        <f aca="false">IF(AI157&gt;0,AprCoef/SQRT(AI157),0)</f>
        <v>0</v>
      </c>
      <c r="AK157" s="24" t="n">
        <f aca="false">AI157*AJ157/365</f>
        <v>0</v>
      </c>
      <c r="AL157" s="24" t="n">
        <f aca="false">AD157</f>
        <v>0</v>
      </c>
      <c r="AM157" s="24" t="n">
        <f aca="false">AK157-AL157</f>
        <v>0</v>
      </c>
      <c r="AN157" s="28" t="str">
        <f aca="false">IF(A157&gt;=Hip3LaunchDate,"YES","")</f>
        <v/>
      </c>
      <c r="AO157" s="28" t="str">
        <f aca="false">IF(A157&lt;Hip4LaunchDate,"pre-launch","live (zero-fee)")</f>
        <v>pre-launch</v>
      </c>
      <c r="AP157" s="20"/>
      <c r="AQ157" s="20"/>
      <c r="AR157" s="20"/>
    </row>
    <row r="158" customFormat="false" ht="15" hidden="false" customHeight="false" outlineLevel="0" collapsed="false">
      <c r="A158" s="18" t="n">
        <v>45219</v>
      </c>
      <c r="B158" s="19" t="n">
        <v>27964784.77</v>
      </c>
      <c r="C158" s="19" t="n">
        <v>0</v>
      </c>
      <c r="D158" s="20"/>
      <c r="E158" s="21" t="n">
        <f aca="false">B158+C158</f>
        <v>27964784.77</v>
      </c>
      <c r="F158" s="21" t="n">
        <f aca="false">E158+D158</f>
        <v>27964784.77</v>
      </c>
      <c r="G158" s="22" t="n">
        <f aca="false">IFERROR(C158/E158,0)</f>
        <v>0</v>
      </c>
      <c r="H158" s="20"/>
      <c r="I158" s="20"/>
      <c r="J158" s="20"/>
      <c r="K158" s="21" t="n">
        <f aca="false">H158+I158</f>
        <v>0</v>
      </c>
      <c r="L158" s="20"/>
      <c r="M158" s="21" t="n">
        <f aca="false">H158-L158</f>
        <v>0</v>
      </c>
      <c r="N158" s="23" t="n">
        <f aca="false">IFERROR(M158/B158*10000,0)</f>
        <v>0</v>
      </c>
      <c r="O158" s="20"/>
      <c r="P158" s="20"/>
      <c r="Q158" s="21" t="n">
        <f aca="false">O158+P158</f>
        <v>0</v>
      </c>
      <c r="R158" s="22" t="n">
        <f aca="false">IF(A158&lt;HlpChangeDate,HlpSharePre,HlpSharePost)</f>
        <v>0.03</v>
      </c>
      <c r="S158" s="21" t="n">
        <f aca="false">Q158*R158/(1-R158)</f>
        <v>0</v>
      </c>
      <c r="T158" s="20"/>
      <c r="U158" s="21" t="n">
        <f aca="false">S158-T158</f>
        <v>0</v>
      </c>
      <c r="V158" s="21" t="n">
        <f aca="false">Y158-O158*R158/(1-R158)</f>
        <v>0</v>
      </c>
      <c r="W158" s="21" t="n">
        <f aca="false">Z158-P158*R158/(1-R158)</f>
        <v>0</v>
      </c>
      <c r="X158" s="21" t="n">
        <f aca="false">S158+V158+W158</f>
        <v>0</v>
      </c>
      <c r="Y158" s="20"/>
      <c r="Z158" s="20"/>
      <c r="AA158" s="19" t="n">
        <v>0</v>
      </c>
      <c r="AB158" s="20"/>
      <c r="AC158" s="20"/>
      <c r="AD158" s="24" t="n">
        <f aca="false">IFERROR(AA158/AC158,0)</f>
        <v>0</v>
      </c>
      <c r="AE158" s="25" t="n">
        <f aca="false">K158-Q158-X158</f>
        <v>0</v>
      </c>
      <c r="AF158" s="25" t="n">
        <f aca="false">Q158-AA158</f>
        <v>0</v>
      </c>
      <c r="AG158" s="20"/>
      <c r="AH158" s="26" t="n">
        <f aca="false">IFERROR(AG158/Q158,0)</f>
        <v>0</v>
      </c>
      <c r="AI158" s="27" t="n">
        <v>0</v>
      </c>
      <c r="AJ158" s="26" t="n">
        <f aca="false">IF(AI158&gt;0,AprCoef/SQRT(AI158),0)</f>
        <v>0</v>
      </c>
      <c r="AK158" s="24" t="n">
        <f aca="false">AI158*AJ158/365</f>
        <v>0</v>
      </c>
      <c r="AL158" s="24" t="n">
        <f aca="false">AD158</f>
        <v>0</v>
      </c>
      <c r="AM158" s="24" t="n">
        <f aca="false">AK158-AL158</f>
        <v>0</v>
      </c>
      <c r="AN158" s="28" t="str">
        <f aca="false">IF(A158&gt;=Hip3LaunchDate,"YES","")</f>
        <v/>
      </c>
      <c r="AO158" s="28" t="str">
        <f aca="false">IF(A158&lt;Hip4LaunchDate,"pre-launch","live (zero-fee)")</f>
        <v>pre-launch</v>
      </c>
      <c r="AP158" s="20"/>
      <c r="AQ158" s="20"/>
      <c r="AR158" s="20"/>
    </row>
    <row r="159" customFormat="false" ht="15" hidden="false" customHeight="false" outlineLevel="0" collapsed="false">
      <c r="A159" s="18" t="n">
        <v>45220</v>
      </c>
      <c r="B159" s="19" t="n">
        <v>27973377.98</v>
      </c>
      <c r="C159" s="19" t="n">
        <v>0</v>
      </c>
      <c r="D159" s="20"/>
      <c r="E159" s="21" t="n">
        <f aca="false">B159+C159</f>
        <v>27973377.98</v>
      </c>
      <c r="F159" s="21" t="n">
        <f aca="false">E159+D159</f>
        <v>27973377.98</v>
      </c>
      <c r="G159" s="22" t="n">
        <f aca="false">IFERROR(C159/E159,0)</f>
        <v>0</v>
      </c>
      <c r="H159" s="20"/>
      <c r="I159" s="20"/>
      <c r="J159" s="20"/>
      <c r="K159" s="21" t="n">
        <f aca="false">H159+I159</f>
        <v>0</v>
      </c>
      <c r="L159" s="20"/>
      <c r="M159" s="21" t="n">
        <f aca="false">H159-L159</f>
        <v>0</v>
      </c>
      <c r="N159" s="23" t="n">
        <f aca="false">IFERROR(M159/B159*10000,0)</f>
        <v>0</v>
      </c>
      <c r="O159" s="20"/>
      <c r="P159" s="20"/>
      <c r="Q159" s="21" t="n">
        <f aca="false">O159+P159</f>
        <v>0</v>
      </c>
      <c r="R159" s="22" t="n">
        <f aca="false">IF(A159&lt;HlpChangeDate,HlpSharePre,HlpSharePost)</f>
        <v>0.03</v>
      </c>
      <c r="S159" s="21" t="n">
        <f aca="false">Q159*R159/(1-R159)</f>
        <v>0</v>
      </c>
      <c r="T159" s="20"/>
      <c r="U159" s="21" t="n">
        <f aca="false">S159-T159</f>
        <v>0</v>
      </c>
      <c r="V159" s="21" t="n">
        <f aca="false">Y159-O159*R159/(1-R159)</f>
        <v>0</v>
      </c>
      <c r="W159" s="21" t="n">
        <f aca="false">Z159-P159*R159/(1-R159)</f>
        <v>0</v>
      </c>
      <c r="X159" s="21" t="n">
        <f aca="false">S159+V159+W159</f>
        <v>0</v>
      </c>
      <c r="Y159" s="20"/>
      <c r="Z159" s="20"/>
      <c r="AA159" s="19" t="n">
        <v>0</v>
      </c>
      <c r="AB159" s="20"/>
      <c r="AC159" s="20"/>
      <c r="AD159" s="24" t="n">
        <f aca="false">IFERROR(AA159/AC159,0)</f>
        <v>0</v>
      </c>
      <c r="AE159" s="25" t="n">
        <f aca="false">K159-Q159-X159</f>
        <v>0</v>
      </c>
      <c r="AF159" s="25" t="n">
        <f aca="false">Q159-AA159</f>
        <v>0</v>
      </c>
      <c r="AG159" s="20"/>
      <c r="AH159" s="26" t="n">
        <f aca="false">IFERROR(AG159/Q159,0)</f>
        <v>0</v>
      </c>
      <c r="AI159" s="27" t="n">
        <v>0</v>
      </c>
      <c r="AJ159" s="26" t="n">
        <f aca="false">IF(AI159&gt;0,AprCoef/SQRT(AI159),0)</f>
        <v>0</v>
      </c>
      <c r="AK159" s="24" t="n">
        <f aca="false">AI159*AJ159/365</f>
        <v>0</v>
      </c>
      <c r="AL159" s="24" t="n">
        <f aca="false">AD159</f>
        <v>0</v>
      </c>
      <c r="AM159" s="24" t="n">
        <f aca="false">AK159-AL159</f>
        <v>0</v>
      </c>
      <c r="AN159" s="28" t="str">
        <f aca="false">IF(A159&gt;=Hip3LaunchDate,"YES","")</f>
        <v/>
      </c>
      <c r="AO159" s="28" t="str">
        <f aca="false">IF(A159&lt;Hip4LaunchDate,"pre-launch","live (zero-fee)")</f>
        <v>pre-launch</v>
      </c>
      <c r="AP159" s="20"/>
      <c r="AQ159" s="20"/>
      <c r="AR159" s="20"/>
    </row>
    <row r="160" customFormat="false" ht="15" hidden="false" customHeight="false" outlineLevel="0" collapsed="false">
      <c r="A160" s="18" t="n">
        <v>45221</v>
      </c>
      <c r="B160" s="19" t="n">
        <v>75287332.73</v>
      </c>
      <c r="C160" s="19" t="n">
        <v>0</v>
      </c>
      <c r="D160" s="20"/>
      <c r="E160" s="21" t="n">
        <f aca="false">B160+C160</f>
        <v>75287332.73</v>
      </c>
      <c r="F160" s="21" t="n">
        <f aca="false">E160+D160</f>
        <v>75287332.73</v>
      </c>
      <c r="G160" s="22" t="n">
        <f aca="false">IFERROR(C160/E160,0)</f>
        <v>0</v>
      </c>
      <c r="H160" s="20"/>
      <c r="I160" s="20"/>
      <c r="J160" s="20"/>
      <c r="K160" s="21" t="n">
        <f aca="false">H160+I160</f>
        <v>0</v>
      </c>
      <c r="L160" s="20"/>
      <c r="M160" s="21" t="n">
        <f aca="false">H160-L160</f>
        <v>0</v>
      </c>
      <c r="N160" s="23" t="n">
        <f aca="false">IFERROR(M160/B160*10000,0)</f>
        <v>0</v>
      </c>
      <c r="O160" s="20"/>
      <c r="P160" s="20"/>
      <c r="Q160" s="21" t="n">
        <f aca="false">O160+P160</f>
        <v>0</v>
      </c>
      <c r="R160" s="22" t="n">
        <f aca="false">IF(A160&lt;HlpChangeDate,HlpSharePre,HlpSharePost)</f>
        <v>0.03</v>
      </c>
      <c r="S160" s="21" t="n">
        <f aca="false">Q160*R160/(1-R160)</f>
        <v>0</v>
      </c>
      <c r="T160" s="20"/>
      <c r="U160" s="21" t="n">
        <f aca="false">S160-T160</f>
        <v>0</v>
      </c>
      <c r="V160" s="21" t="n">
        <f aca="false">Y160-O160*R160/(1-R160)</f>
        <v>0</v>
      </c>
      <c r="W160" s="21" t="n">
        <f aca="false">Z160-P160*R160/(1-R160)</f>
        <v>0</v>
      </c>
      <c r="X160" s="21" t="n">
        <f aca="false">S160+V160+W160</f>
        <v>0</v>
      </c>
      <c r="Y160" s="20"/>
      <c r="Z160" s="20"/>
      <c r="AA160" s="19" t="n">
        <v>0</v>
      </c>
      <c r="AB160" s="20"/>
      <c r="AC160" s="20"/>
      <c r="AD160" s="24" t="n">
        <f aca="false">IFERROR(AA160/AC160,0)</f>
        <v>0</v>
      </c>
      <c r="AE160" s="25" t="n">
        <f aca="false">K160-Q160-X160</f>
        <v>0</v>
      </c>
      <c r="AF160" s="25" t="n">
        <f aca="false">Q160-AA160</f>
        <v>0</v>
      </c>
      <c r="AG160" s="20"/>
      <c r="AH160" s="26" t="n">
        <f aca="false">IFERROR(AG160/Q160,0)</f>
        <v>0</v>
      </c>
      <c r="AI160" s="27" t="n">
        <v>0</v>
      </c>
      <c r="AJ160" s="26" t="n">
        <f aca="false">IF(AI160&gt;0,AprCoef/SQRT(AI160),0)</f>
        <v>0</v>
      </c>
      <c r="AK160" s="24" t="n">
        <f aca="false">AI160*AJ160/365</f>
        <v>0</v>
      </c>
      <c r="AL160" s="24" t="n">
        <f aca="false">AD160</f>
        <v>0</v>
      </c>
      <c r="AM160" s="24" t="n">
        <f aca="false">AK160-AL160</f>
        <v>0</v>
      </c>
      <c r="AN160" s="28" t="str">
        <f aca="false">IF(A160&gt;=Hip3LaunchDate,"YES","")</f>
        <v/>
      </c>
      <c r="AO160" s="28" t="str">
        <f aca="false">IF(A160&lt;Hip4LaunchDate,"pre-launch","live (zero-fee)")</f>
        <v>pre-launch</v>
      </c>
      <c r="AP160" s="20"/>
      <c r="AQ160" s="20"/>
      <c r="AR160" s="20"/>
    </row>
    <row r="161" customFormat="false" ht="15" hidden="false" customHeight="false" outlineLevel="0" collapsed="false">
      <c r="A161" s="18" t="n">
        <v>45222</v>
      </c>
      <c r="B161" s="19" t="n">
        <v>130936730.61</v>
      </c>
      <c r="C161" s="19" t="n">
        <v>0</v>
      </c>
      <c r="D161" s="20"/>
      <c r="E161" s="21" t="n">
        <f aca="false">B161+C161</f>
        <v>130936730.61</v>
      </c>
      <c r="F161" s="21" t="n">
        <f aca="false">E161+D161</f>
        <v>130936730.61</v>
      </c>
      <c r="G161" s="22" t="n">
        <f aca="false">IFERROR(C161/E161,0)</f>
        <v>0</v>
      </c>
      <c r="H161" s="20"/>
      <c r="I161" s="20"/>
      <c r="J161" s="20"/>
      <c r="K161" s="21" t="n">
        <f aca="false">H161+I161</f>
        <v>0</v>
      </c>
      <c r="L161" s="20"/>
      <c r="M161" s="21" t="n">
        <f aca="false">H161-L161</f>
        <v>0</v>
      </c>
      <c r="N161" s="23" t="n">
        <f aca="false">IFERROR(M161/B161*10000,0)</f>
        <v>0</v>
      </c>
      <c r="O161" s="20"/>
      <c r="P161" s="20"/>
      <c r="Q161" s="21" t="n">
        <f aca="false">O161+P161</f>
        <v>0</v>
      </c>
      <c r="R161" s="22" t="n">
        <f aca="false">IF(A161&lt;HlpChangeDate,HlpSharePre,HlpSharePost)</f>
        <v>0.03</v>
      </c>
      <c r="S161" s="21" t="n">
        <f aca="false">Q161*R161/(1-R161)</f>
        <v>0</v>
      </c>
      <c r="T161" s="20"/>
      <c r="U161" s="21" t="n">
        <f aca="false">S161-T161</f>
        <v>0</v>
      </c>
      <c r="V161" s="21" t="n">
        <f aca="false">Y161-O161*R161/(1-R161)</f>
        <v>0</v>
      </c>
      <c r="W161" s="21" t="n">
        <f aca="false">Z161-P161*R161/(1-R161)</f>
        <v>0</v>
      </c>
      <c r="X161" s="21" t="n">
        <f aca="false">S161+V161+W161</f>
        <v>0</v>
      </c>
      <c r="Y161" s="20"/>
      <c r="Z161" s="20"/>
      <c r="AA161" s="19" t="n">
        <v>0</v>
      </c>
      <c r="AB161" s="20"/>
      <c r="AC161" s="20"/>
      <c r="AD161" s="24" t="n">
        <f aca="false">IFERROR(AA161/AC161,0)</f>
        <v>0</v>
      </c>
      <c r="AE161" s="25" t="n">
        <f aca="false">K161-Q161-X161</f>
        <v>0</v>
      </c>
      <c r="AF161" s="25" t="n">
        <f aca="false">Q161-AA161</f>
        <v>0</v>
      </c>
      <c r="AG161" s="20"/>
      <c r="AH161" s="26" t="n">
        <f aca="false">IFERROR(AG161/Q161,0)</f>
        <v>0</v>
      </c>
      <c r="AI161" s="27" t="n">
        <v>0</v>
      </c>
      <c r="AJ161" s="26" t="n">
        <f aca="false">IF(AI161&gt;0,AprCoef/SQRT(AI161),0)</f>
        <v>0</v>
      </c>
      <c r="AK161" s="24" t="n">
        <f aca="false">AI161*AJ161/365</f>
        <v>0</v>
      </c>
      <c r="AL161" s="24" t="n">
        <f aca="false">AD161</f>
        <v>0</v>
      </c>
      <c r="AM161" s="24" t="n">
        <f aca="false">AK161-AL161</f>
        <v>0</v>
      </c>
      <c r="AN161" s="28" t="str">
        <f aca="false">IF(A161&gt;=Hip3LaunchDate,"YES","")</f>
        <v/>
      </c>
      <c r="AO161" s="28" t="str">
        <f aca="false">IF(A161&lt;Hip4LaunchDate,"pre-launch","live (zero-fee)")</f>
        <v>pre-launch</v>
      </c>
      <c r="AP161" s="20"/>
      <c r="AQ161" s="20"/>
      <c r="AR161" s="20"/>
    </row>
    <row r="162" customFormat="false" ht="15" hidden="false" customHeight="false" outlineLevel="0" collapsed="false">
      <c r="A162" s="18" t="n">
        <v>45223</v>
      </c>
      <c r="B162" s="19" t="n">
        <v>157037130.16</v>
      </c>
      <c r="C162" s="19" t="n">
        <v>0</v>
      </c>
      <c r="D162" s="20"/>
      <c r="E162" s="21" t="n">
        <f aca="false">B162+C162</f>
        <v>157037130.16</v>
      </c>
      <c r="F162" s="21" t="n">
        <f aca="false">E162+D162</f>
        <v>157037130.16</v>
      </c>
      <c r="G162" s="22" t="n">
        <f aca="false">IFERROR(C162/E162,0)</f>
        <v>0</v>
      </c>
      <c r="H162" s="20"/>
      <c r="I162" s="20"/>
      <c r="J162" s="20"/>
      <c r="K162" s="21" t="n">
        <f aca="false">H162+I162</f>
        <v>0</v>
      </c>
      <c r="L162" s="20"/>
      <c r="M162" s="21" t="n">
        <f aca="false">H162-L162</f>
        <v>0</v>
      </c>
      <c r="N162" s="23" t="n">
        <f aca="false">IFERROR(M162/B162*10000,0)</f>
        <v>0</v>
      </c>
      <c r="O162" s="20"/>
      <c r="P162" s="20"/>
      <c r="Q162" s="21" t="n">
        <f aca="false">O162+P162</f>
        <v>0</v>
      </c>
      <c r="R162" s="22" t="n">
        <f aca="false">IF(A162&lt;HlpChangeDate,HlpSharePre,HlpSharePost)</f>
        <v>0.03</v>
      </c>
      <c r="S162" s="21" t="n">
        <f aca="false">Q162*R162/(1-R162)</f>
        <v>0</v>
      </c>
      <c r="T162" s="20"/>
      <c r="U162" s="21" t="n">
        <f aca="false">S162-T162</f>
        <v>0</v>
      </c>
      <c r="V162" s="21" t="n">
        <f aca="false">Y162-O162*R162/(1-R162)</f>
        <v>0</v>
      </c>
      <c r="W162" s="21" t="n">
        <f aca="false">Z162-P162*R162/(1-R162)</f>
        <v>0</v>
      </c>
      <c r="X162" s="21" t="n">
        <f aca="false">S162+V162+W162</f>
        <v>0</v>
      </c>
      <c r="Y162" s="20"/>
      <c r="Z162" s="20"/>
      <c r="AA162" s="19" t="n">
        <v>0</v>
      </c>
      <c r="AB162" s="20"/>
      <c r="AC162" s="20"/>
      <c r="AD162" s="24" t="n">
        <f aca="false">IFERROR(AA162/AC162,0)</f>
        <v>0</v>
      </c>
      <c r="AE162" s="25" t="n">
        <f aca="false">K162-Q162-X162</f>
        <v>0</v>
      </c>
      <c r="AF162" s="25" t="n">
        <f aca="false">Q162-AA162</f>
        <v>0</v>
      </c>
      <c r="AG162" s="20"/>
      <c r="AH162" s="26" t="n">
        <f aca="false">IFERROR(AG162/Q162,0)</f>
        <v>0</v>
      </c>
      <c r="AI162" s="27" t="n">
        <v>0</v>
      </c>
      <c r="AJ162" s="26" t="n">
        <f aca="false">IF(AI162&gt;0,AprCoef/SQRT(AI162),0)</f>
        <v>0</v>
      </c>
      <c r="AK162" s="24" t="n">
        <f aca="false">AI162*AJ162/365</f>
        <v>0</v>
      </c>
      <c r="AL162" s="24" t="n">
        <f aca="false">AD162</f>
        <v>0</v>
      </c>
      <c r="AM162" s="24" t="n">
        <f aca="false">AK162-AL162</f>
        <v>0</v>
      </c>
      <c r="AN162" s="28" t="str">
        <f aca="false">IF(A162&gt;=Hip3LaunchDate,"YES","")</f>
        <v/>
      </c>
      <c r="AO162" s="28" t="str">
        <f aca="false">IF(A162&lt;Hip4LaunchDate,"pre-launch","live (zero-fee)")</f>
        <v>pre-launch</v>
      </c>
      <c r="AP162" s="20"/>
      <c r="AQ162" s="20"/>
      <c r="AR162" s="20"/>
    </row>
    <row r="163" customFormat="false" ht="15" hidden="false" customHeight="false" outlineLevel="0" collapsed="false">
      <c r="A163" s="18" t="n">
        <v>45224</v>
      </c>
      <c r="B163" s="19" t="n">
        <v>170840222.11</v>
      </c>
      <c r="C163" s="19" t="n">
        <v>0</v>
      </c>
      <c r="D163" s="20"/>
      <c r="E163" s="21" t="n">
        <f aca="false">B163+C163</f>
        <v>170840222.11</v>
      </c>
      <c r="F163" s="21" t="n">
        <f aca="false">E163+D163</f>
        <v>170840222.11</v>
      </c>
      <c r="G163" s="22" t="n">
        <f aca="false">IFERROR(C163/E163,0)</f>
        <v>0</v>
      </c>
      <c r="H163" s="20"/>
      <c r="I163" s="20"/>
      <c r="J163" s="20"/>
      <c r="K163" s="21" t="n">
        <f aca="false">H163+I163</f>
        <v>0</v>
      </c>
      <c r="L163" s="20"/>
      <c r="M163" s="21" t="n">
        <f aca="false">H163-L163</f>
        <v>0</v>
      </c>
      <c r="N163" s="23" t="n">
        <f aca="false">IFERROR(M163/B163*10000,0)</f>
        <v>0</v>
      </c>
      <c r="O163" s="20"/>
      <c r="P163" s="20"/>
      <c r="Q163" s="21" t="n">
        <f aca="false">O163+P163</f>
        <v>0</v>
      </c>
      <c r="R163" s="22" t="n">
        <f aca="false">IF(A163&lt;HlpChangeDate,HlpSharePre,HlpSharePost)</f>
        <v>0.03</v>
      </c>
      <c r="S163" s="21" t="n">
        <f aca="false">Q163*R163/(1-R163)</f>
        <v>0</v>
      </c>
      <c r="T163" s="20"/>
      <c r="U163" s="21" t="n">
        <f aca="false">S163-T163</f>
        <v>0</v>
      </c>
      <c r="V163" s="21" t="n">
        <f aca="false">Y163-O163*R163/(1-R163)</f>
        <v>0</v>
      </c>
      <c r="W163" s="21" t="n">
        <f aca="false">Z163-P163*R163/(1-R163)</f>
        <v>0</v>
      </c>
      <c r="X163" s="21" t="n">
        <f aca="false">S163+V163+W163</f>
        <v>0</v>
      </c>
      <c r="Y163" s="20"/>
      <c r="Z163" s="20"/>
      <c r="AA163" s="19" t="n">
        <v>0</v>
      </c>
      <c r="AB163" s="20"/>
      <c r="AC163" s="20"/>
      <c r="AD163" s="24" t="n">
        <f aca="false">IFERROR(AA163/AC163,0)</f>
        <v>0</v>
      </c>
      <c r="AE163" s="25" t="n">
        <f aca="false">K163-Q163-X163</f>
        <v>0</v>
      </c>
      <c r="AF163" s="25" t="n">
        <f aca="false">Q163-AA163</f>
        <v>0</v>
      </c>
      <c r="AG163" s="20"/>
      <c r="AH163" s="26" t="n">
        <f aca="false">IFERROR(AG163/Q163,0)</f>
        <v>0</v>
      </c>
      <c r="AI163" s="27" t="n">
        <v>0</v>
      </c>
      <c r="AJ163" s="26" t="n">
        <f aca="false">IF(AI163&gt;0,AprCoef/SQRT(AI163),0)</f>
        <v>0</v>
      </c>
      <c r="AK163" s="24" t="n">
        <f aca="false">AI163*AJ163/365</f>
        <v>0</v>
      </c>
      <c r="AL163" s="24" t="n">
        <f aca="false">AD163</f>
        <v>0</v>
      </c>
      <c r="AM163" s="24" t="n">
        <f aca="false">AK163-AL163</f>
        <v>0</v>
      </c>
      <c r="AN163" s="28" t="str">
        <f aca="false">IF(A163&gt;=Hip3LaunchDate,"YES","")</f>
        <v/>
      </c>
      <c r="AO163" s="28" t="str">
        <f aca="false">IF(A163&lt;Hip4LaunchDate,"pre-launch","live (zero-fee)")</f>
        <v>pre-launch</v>
      </c>
      <c r="AP163" s="20"/>
      <c r="AQ163" s="20"/>
      <c r="AR163" s="20"/>
    </row>
    <row r="164" customFormat="false" ht="15" hidden="false" customHeight="false" outlineLevel="0" collapsed="false">
      <c r="A164" s="18" t="n">
        <v>45225</v>
      </c>
      <c r="B164" s="19" t="n">
        <v>154743720.37</v>
      </c>
      <c r="C164" s="19" t="n">
        <v>0</v>
      </c>
      <c r="D164" s="20"/>
      <c r="E164" s="21" t="n">
        <f aca="false">B164+C164</f>
        <v>154743720.37</v>
      </c>
      <c r="F164" s="21" t="n">
        <f aca="false">E164+D164</f>
        <v>154743720.37</v>
      </c>
      <c r="G164" s="22" t="n">
        <f aca="false">IFERROR(C164/E164,0)</f>
        <v>0</v>
      </c>
      <c r="H164" s="20"/>
      <c r="I164" s="20"/>
      <c r="J164" s="20"/>
      <c r="K164" s="21" t="n">
        <f aca="false">H164+I164</f>
        <v>0</v>
      </c>
      <c r="L164" s="20"/>
      <c r="M164" s="21" t="n">
        <f aca="false">H164-L164</f>
        <v>0</v>
      </c>
      <c r="N164" s="23" t="n">
        <f aca="false">IFERROR(M164/B164*10000,0)</f>
        <v>0</v>
      </c>
      <c r="O164" s="20"/>
      <c r="P164" s="20"/>
      <c r="Q164" s="21" t="n">
        <f aca="false">O164+P164</f>
        <v>0</v>
      </c>
      <c r="R164" s="22" t="n">
        <f aca="false">IF(A164&lt;HlpChangeDate,HlpSharePre,HlpSharePost)</f>
        <v>0.03</v>
      </c>
      <c r="S164" s="21" t="n">
        <f aca="false">Q164*R164/(1-R164)</f>
        <v>0</v>
      </c>
      <c r="T164" s="20"/>
      <c r="U164" s="21" t="n">
        <f aca="false">S164-T164</f>
        <v>0</v>
      </c>
      <c r="V164" s="21" t="n">
        <f aca="false">Y164-O164*R164/(1-R164)</f>
        <v>0</v>
      </c>
      <c r="W164" s="21" t="n">
        <f aca="false">Z164-P164*R164/(1-R164)</f>
        <v>0</v>
      </c>
      <c r="X164" s="21" t="n">
        <f aca="false">S164+V164+W164</f>
        <v>0</v>
      </c>
      <c r="Y164" s="20"/>
      <c r="Z164" s="20"/>
      <c r="AA164" s="19" t="n">
        <v>0</v>
      </c>
      <c r="AB164" s="20"/>
      <c r="AC164" s="20"/>
      <c r="AD164" s="24" t="n">
        <f aca="false">IFERROR(AA164/AC164,0)</f>
        <v>0</v>
      </c>
      <c r="AE164" s="25" t="n">
        <f aca="false">K164-Q164-X164</f>
        <v>0</v>
      </c>
      <c r="AF164" s="25" t="n">
        <f aca="false">Q164-AA164</f>
        <v>0</v>
      </c>
      <c r="AG164" s="20"/>
      <c r="AH164" s="26" t="n">
        <f aca="false">IFERROR(AG164/Q164,0)</f>
        <v>0</v>
      </c>
      <c r="AI164" s="27" t="n">
        <v>0</v>
      </c>
      <c r="AJ164" s="26" t="n">
        <f aca="false">IF(AI164&gt;0,AprCoef/SQRT(AI164),0)</f>
        <v>0</v>
      </c>
      <c r="AK164" s="24" t="n">
        <f aca="false">AI164*AJ164/365</f>
        <v>0</v>
      </c>
      <c r="AL164" s="24" t="n">
        <f aca="false">AD164</f>
        <v>0</v>
      </c>
      <c r="AM164" s="24" t="n">
        <f aca="false">AK164-AL164</f>
        <v>0</v>
      </c>
      <c r="AN164" s="28" t="str">
        <f aca="false">IF(A164&gt;=Hip3LaunchDate,"YES","")</f>
        <v/>
      </c>
      <c r="AO164" s="28" t="str">
        <f aca="false">IF(A164&lt;Hip4LaunchDate,"pre-launch","live (zero-fee)")</f>
        <v>pre-launch</v>
      </c>
      <c r="AP164" s="20"/>
      <c r="AQ164" s="20"/>
      <c r="AR164" s="20"/>
    </row>
    <row r="165" customFormat="false" ht="15" hidden="false" customHeight="false" outlineLevel="0" collapsed="false">
      <c r="A165" s="18" t="n">
        <v>45226</v>
      </c>
      <c r="B165" s="19" t="n">
        <v>121159075.14</v>
      </c>
      <c r="C165" s="19" t="n">
        <v>0</v>
      </c>
      <c r="D165" s="20"/>
      <c r="E165" s="21" t="n">
        <f aca="false">B165+C165</f>
        <v>121159075.14</v>
      </c>
      <c r="F165" s="21" t="n">
        <f aca="false">E165+D165</f>
        <v>121159075.14</v>
      </c>
      <c r="G165" s="22" t="n">
        <f aca="false">IFERROR(C165/E165,0)</f>
        <v>0</v>
      </c>
      <c r="H165" s="20"/>
      <c r="I165" s="20"/>
      <c r="J165" s="20"/>
      <c r="K165" s="21" t="n">
        <f aca="false">H165+I165</f>
        <v>0</v>
      </c>
      <c r="L165" s="20"/>
      <c r="M165" s="21" t="n">
        <f aca="false">H165-L165</f>
        <v>0</v>
      </c>
      <c r="N165" s="23" t="n">
        <f aca="false">IFERROR(M165/B165*10000,0)</f>
        <v>0</v>
      </c>
      <c r="O165" s="20"/>
      <c r="P165" s="20"/>
      <c r="Q165" s="21" t="n">
        <f aca="false">O165+P165</f>
        <v>0</v>
      </c>
      <c r="R165" s="22" t="n">
        <f aca="false">IF(A165&lt;HlpChangeDate,HlpSharePre,HlpSharePost)</f>
        <v>0.03</v>
      </c>
      <c r="S165" s="21" t="n">
        <f aca="false">Q165*R165/(1-R165)</f>
        <v>0</v>
      </c>
      <c r="T165" s="20"/>
      <c r="U165" s="21" t="n">
        <f aca="false">S165-T165</f>
        <v>0</v>
      </c>
      <c r="V165" s="21" t="n">
        <f aca="false">Y165-O165*R165/(1-R165)</f>
        <v>0</v>
      </c>
      <c r="W165" s="21" t="n">
        <f aca="false">Z165-P165*R165/(1-R165)</f>
        <v>0</v>
      </c>
      <c r="X165" s="21" t="n">
        <f aca="false">S165+V165+W165</f>
        <v>0</v>
      </c>
      <c r="Y165" s="20"/>
      <c r="Z165" s="20"/>
      <c r="AA165" s="19" t="n">
        <v>0</v>
      </c>
      <c r="AB165" s="20"/>
      <c r="AC165" s="20"/>
      <c r="AD165" s="24" t="n">
        <f aca="false">IFERROR(AA165/AC165,0)</f>
        <v>0</v>
      </c>
      <c r="AE165" s="25" t="n">
        <f aca="false">K165-Q165-X165</f>
        <v>0</v>
      </c>
      <c r="AF165" s="25" t="n">
        <f aca="false">Q165-AA165</f>
        <v>0</v>
      </c>
      <c r="AG165" s="20"/>
      <c r="AH165" s="26" t="n">
        <f aca="false">IFERROR(AG165/Q165,0)</f>
        <v>0</v>
      </c>
      <c r="AI165" s="27" t="n">
        <v>0</v>
      </c>
      <c r="AJ165" s="26" t="n">
        <f aca="false">IF(AI165&gt;0,AprCoef/SQRT(AI165),0)</f>
        <v>0</v>
      </c>
      <c r="AK165" s="24" t="n">
        <f aca="false">AI165*AJ165/365</f>
        <v>0</v>
      </c>
      <c r="AL165" s="24" t="n">
        <f aca="false">AD165</f>
        <v>0</v>
      </c>
      <c r="AM165" s="24" t="n">
        <f aca="false">AK165-AL165</f>
        <v>0</v>
      </c>
      <c r="AN165" s="28" t="str">
        <f aca="false">IF(A165&gt;=Hip3LaunchDate,"YES","")</f>
        <v/>
      </c>
      <c r="AO165" s="28" t="str">
        <f aca="false">IF(A165&lt;Hip4LaunchDate,"pre-launch","live (zero-fee)")</f>
        <v>pre-launch</v>
      </c>
      <c r="AP165" s="20"/>
      <c r="AQ165" s="20"/>
      <c r="AR165" s="20"/>
    </row>
    <row r="166" customFormat="false" ht="15" hidden="false" customHeight="false" outlineLevel="0" collapsed="false">
      <c r="A166" s="18" t="n">
        <v>45227</v>
      </c>
      <c r="B166" s="19" t="n">
        <v>50015398.48</v>
      </c>
      <c r="C166" s="19" t="n">
        <v>0</v>
      </c>
      <c r="D166" s="20"/>
      <c r="E166" s="21" t="n">
        <f aca="false">B166+C166</f>
        <v>50015398.48</v>
      </c>
      <c r="F166" s="21" t="n">
        <f aca="false">E166+D166</f>
        <v>50015398.48</v>
      </c>
      <c r="G166" s="22" t="n">
        <f aca="false">IFERROR(C166/E166,0)</f>
        <v>0</v>
      </c>
      <c r="H166" s="20"/>
      <c r="I166" s="20"/>
      <c r="J166" s="20"/>
      <c r="K166" s="21" t="n">
        <f aca="false">H166+I166</f>
        <v>0</v>
      </c>
      <c r="L166" s="20"/>
      <c r="M166" s="21" t="n">
        <f aca="false">H166-L166</f>
        <v>0</v>
      </c>
      <c r="N166" s="23" t="n">
        <f aca="false">IFERROR(M166/B166*10000,0)</f>
        <v>0</v>
      </c>
      <c r="O166" s="20"/>
      <c r="P166" s="20"/>
      <c r="Q166" s="21" t="n">
        <f aca="false">O166+P166</f>
        <v>0</v>
      </c>
      <c r="R166" s="22" t="n">
        <f aca="false">IF(A166&lt;HlpChangeDate,HlpSharePre,HlpSharePost)</f>
        <v>0.03</v>
      </c>
      <c r="S166" s="21" t="n">
        <f aca="false">Q166*R166/(1-R166)</f>
        <v>0</v>
      </c>
      <c r="T166" s="20"/>
      <c r="U166" s="21" t="n">
        <f aca="false">S166-T166</f>
        <v>0</v>
      </c>
      <c r="V166" s="21" t="n">
        <f aca="false">Y166-O166*R166/(1-R166)</f>
        <v>0</v>
      </c>
      <c r="W166" s="21" t="n">
        <f aca="false">Z166-P166*R166/(1-R166)</f>
        <v>0</v>
      </c>
      <c r="X166" s="21" t="n">
        <f aca="false">S166+V166+W166</f>
        <v>0</v>
      </c>
      <c r="Y166" s="20"/>
      <c r="Z166" s="20"/>
      <c r="AA166" s="19" t="n">
        <v>0</v>
      </c>
      <c r="AB166" s="20"/>
      <c r="AC166" s="20"/>
      <c r="AD166" s="24" t="n">
        <f aca="false">IFERROR(AA166/AC166,0)</f>
        <v>0</v>
      </c>
      <c r="AE166" s="25" t="n">
        <f aca="false">K166-Q166-X166</f>
        <v>0</v>
      </c>
      <c r="AF166" s="25" t="n">
        <f aca="false">Q166-AA166</f>
        <v>0</v>
      </c>
      <c r="AG166" s="20"/>
      <c r="AH166" s="26" t="n">
        <f aca="false">IFERROR(AG166/Q166,0)</f>
        <v>0</v>
      </c>
      <c r="AI166" s="27" t="n">
        <v>0</v>
      </c>
      <c r="AJ166" s="26" t="n">
        <f aca="false">IF(AI166&gt;0,AprCoef/SQRT(AI166),0)</f>
        <v>0</v>
      </c>
      <c r="AK166" s="24" t="n">
        <f aca="false">AI166*AJ166/365</f>
        <v>0</v>
      </c>
      <c r="AL166" s="24" t="n">
        <f aca="false">AD166</f>
        <v>0</v>
      </c>
      <c r="AM166" s="24" t="n">
        <f aca="false">AK166-AL166</f>
        <v>0</v>
      </c>
      <c r="AN166" s="28" t="str">
        <f aca="false">IF(A166&gt;=Hip3LaunchDate,"YES","")</f>
        <v/>
      </c>
      <c r="AO166" s="28" t="str">
        <f aca="false">IF(A166&lt;Hip4LaunchDate,"pre-launch","live (zero-fee)")</f>
        <v>pre-launch</v>
      </c>
      <c r="AP166" s="20"/>
      <c r="AQ166" s="20"/>
      <c r="AR166" s="20"/>
    </row>
    <row r="167" customFormat="false" ht="15" hidden="false" customHeight="false" outlineLevel="0" collapsed="false">
      <c r="A167" s="18" t="n">
        <v>45228</v>
      </c>
      <c r="B167" s="19" t="n">
        <v>50192102.47</v>
      </c>
      <c r="C167" s="19" t="n">
        <v>0</v>
      </c>
      <c r="D167" s="20"/>
      <c r="E167" s="21" t="n">
        <f aca="false">B167+C167</f>
        <v>50192102.47</v>
      </c>
      <c r="F167" s="21" t="n">
        <f aca="false">E167+D167</f>
        <v>50192102.47</v>
      </c>
      <c r="G167" s="22" t="n">
        <f aca="false">IFERROR(C167/E167,0)</f>
        <v>0</v>
      </c>
      <c r="H167" s="20"/>
      <c r="I167" s="20"/>
      <c r="J167" s="20"/>
      <c r="K167" s="21" t="n">
        <f aca="false">H167+I167</f>
        <v>0</v>
      </c>
      <c r="L167" s="20"/>
      <c r="M167" s="21" t="n">
        <f aca="false">H167-L167</f>
        <v>0</v>
      </c>
      <c r="N167" s="23" t="n">
        <f aca="false">IFERROR(M167/B167*10000,0)</f>
        <v>0</v>
      </c>
      <c r="O167" s="20"/>
      <c r="P167" s="20"/>
      <c r="Q167" s="21" t="n">
        <f aca="false">O167+P167</f>
        <v>0</v>
      </c>
      <c r="R167" s="22" t="n">
        <f aca="false">IF(A167&lt;HlpChangeDate,HlpSharePre,HlpSharePost)</f>
        <v>0.03</v>
      </c>
      <c r="S167" s="21" t="n">
        <f aca="false">Q167*R167/(1-R167)</f>
        <v>0</v>
      </c>
      <c r="T167" s="20"/>
      <c r="U167" s="21" t="n">
        <f aca="false">S167-T167</f>
        <v>0</v>
      </c>
      <c r="V167" s="21" t="n">
        <f aca="false">Y167-O167*R167/(1-R167)</f>
        <v>0</v>
      </c>
      <c r="W167" s="21" t="n">
        <f aca="false">Z167-P167*R167/(1-R167)</f>
        <v>0</v>
      </c>
      <c r="X167" s="21" t="n">
        <f aca="false">S167+V167+W167</f>
        <v>0</v>
      </c>
      <c r="Y167" s="20"/>
      <c r="Z167" s="20"/>
      <c r="AA167" s="19" t="n">
        <v>0</v>
      </c>
      <c r="AB167" s="20"/>
      <c r="AC167" s="20"/>
      <c r="AD167" s="24" t="n">
        <f aca="false">IFERROR(AA167/AC167,0)</f>
        <v>0</v>
      </c>
      <c r="AE167" s="25" t="n">
        <f aca="false">K167-Q167-X167</f>
        <v>0</v>
      </c>
      <c r="AF167" s="25" t="n">
        <f aca="false">Q167-AA167</f>
        <v>0</v>
      </c>
      <c r="AG167" s="20"/>
      <c r="AH167" s="26" t="n">
        <f aca="false">IFERROR(AG167/Q167,0)</f>
        <v>0</v>
      </c>
      <c r="AI167" s="27" t="n">
        <v>0</v>
      </c>
      <c r="AJ167" s="26" t="n">
        <f aca="false">IF(AI167&gt;0,AprCoef/SQRT(AI167),0)</f>
        <v>0</v>
      </c>
      <c r="AK167" s="24" t="n">
        <f aca="false">AI167*AJ167/365</f>
        <v>0</v>
      </c>
      <c r="AL167" s="24" t="n">
        <f aca="false">AD167</f>
        <v>0</v>
      </c>
      <c r="AM167" s="24" t="n">
        <f aca="false">AK167-AL167</f>
        <v>0</v>
      </c>
      <c r="AN167" s="28" t="str">
        <f aca="false">IF(A167&gt;=Hip3LaunchDate,"YES","")</f>
        <v/>
      </c>
      <c r="AO167" s="28" t="str">
        <f aca="false">IF(A167&lt;Hip4LaunchDate,"pre-launch","live (zero-fee)")</f>
        <v>pre-launch</v>
      </c>
      <c r="AP167" s="20"/>
      <c r="AQ167" s="20"/>
      <c r="AR167" s="20"/>
    </row>
    <row r="168" customFormat="false" ht="15" hidden="false" customHeight="false" outlineLevel="0" collapsed="false">
      <c r="A168" s="18" t="n">
        <v>45229</v>
      </c>
      <c r="B168" s="19" t="n">
        <v>72297328.93</v>
      </c>
      <c r="C168" s="19" t="n">
        <v>0</v>
      </c>
      <c r="D168" s="20"/>
      <c r="E168" s="21" t="n">
        <f aca="false">B168+C168</f>
        <v>72297328.93</v>
      </c>
      <c r="F168" s="21" t="n">
        <f aca="false">E168+D168</f>
        <v>72297328.93</v>
      </c>
      <c r="G168" s="22" t="n">
        <f aca="false">IFERROR(C168/E168,0)</f>
        <v>0</v>
      </c>
      <c r="H168" s="20"/>
      <c r="I168" s="20"/>
      <c r="J168" s="20"/>
      <c r="K168" s="21" t="n">
        <f aca="false">H168+I168</f>
        <v>0</v>
      </c>
      <c r="L168" s="20"/>
      <c r="M168" s="21" t="n">
        <f aca="false">H168-L168</f>
        <v>0</v>
      </c>
      <c r="N168" s="23" t="n">
        <f aca="false">IFERROR(M168/B168*10000,0)</f>
        <v>0</v>
      </c>
      <c r="O168" s="20"/>
      <c r="P168" s="20"/>
      <c r="Q168" s="21" t="n">
        <f aca="false">O168+P168</f>
        <v>0</v>
      </c>
      <c r="R168" s="22" t="n">
        <f aca="false">IF(A168&lt;HlpChangeDate,HlpSharePre,HlpSharePost)</f>
        <v>0.03</v>
      </c>
      <c r="S168" s="21" t="n">
        <f aca="false">Q168*R168/(1-R168)</f>
        <v>0</v>
      </c>
      <c r="T168" s="20"/>
      <c r="U168" s="21" t="n">
        <f aca="false">S168-T168</f>
        <v>0</v>
      </c>
      <c r="V168" s="21" t="n">
        <f aca="false">Y168-O168*R168/(1-R168)</f>
        <v>0</v>
      </c>
      <c r="W168" s="21" t="n">
        <f aca="false">Z168-P168*R168/(1-R168)</f>
        <v>0</v>
      </c>
      <c r="X168" s="21" t="n">
        <f aca="false">S168+V168+W168</f>
        <v>0</v>
      </c>
      <c r="Y168" s="20"/>
      <c r="Z168" s="20"/>
      <c r="AA168" s="19" t="n">
        <v>0</v>
      </c>
      <c r="AB168" s="20"/>
      <c r="AC168" s="20"/>
      <c r="AD168" s="24" t="n">
        <f aca="false">IFERROR(AA168/AC168,0)</f>
        <v>0</v>
      </c>
      <c r="AE168" s="25" t="n">
        <f aca="false">K168-Q168-X168</f>
        <v>0</v>
      </c>
      <c r="AF168" s="25" t="n">
        <f aca="false">Q168-AA168</f>
        <v>0</v>
      </c>
      <c r="AG168" s="20"/>
      <c r="AH168" s="26" t="n">
        <f aca="false">IFERROR(AG168/Q168,0)</f>
        <v>0</v>
      </c>
      <c r="AI168" s="27" t="n">
        <v>0</v>
      </c>
      <c r="AJ168" s="26" t="n">
        <f aca="false">IF(AI168&gt;0,AprCoef/SQRT(AI168),0)</f>
        <v>0</v>
      </c>
      <c r="AK168" s="24" t="n">
        <f aca="false">AI168*AJ168/365</f>
        <v>0</v>
      </c>
      <c r="AL168" s="24" t="n">
        <f aca="false">AD168</f>
        <v>0</v>
      </c>
      <c r="AM168" s="24" t="n">
        <f aca="false">AK168-AL168</f>
        <v>0</v>
      </c>
      <c r="AN168" s="28" t="str">
        <f aca="false">IF(A168&gt;=Hip3LaunchDate,"YES","")</f>
        <v/>
      </c>
      <c r="AO168" s="28" t="str">
        <f aca="false">IF(A168&lt;Hip4LaunchDate,"pre-launch","live (zero-fee)")</f>
        <v>pre-launch</v>
      </c>
      <c r="AP168" s="20"/>
      <c r="AQ168" s="20"/>
      <c r="AR168" s="20"/>
    </row>
    <row r="169" customFormat="false" ht="15" hidden="false" customHeight="false" outlineLevel="0" collapsed="false">
      <c r="A169" s="18" t="n">
        <v>45230</v>
      </c>
      <c r="B169" s="19" t="n">
        <v>87393596.91</v>
      </c>
      <c r="C169" s="19" t="n">
        <v>0</v>
      </c>
      <c r="D169" s="20"/>
      <c r="E169" s="21" t="n">
        <f aca="false">B169+C169</f>
        <v>87393596.91</v>
      </c>
      <c r="F169" s="21" t="n">
        <f aca="false">E169+D169</f>
        <v>87393596.91</v>
      </c>
      <c r="G169" s="22" t="n">
        <f aca="false">IFERROR(C169/E169,0)</f>
        <v>0</v>
      </c>
      <c r="H169" s="20"/>
      <c r="I169" s="20"/>
      <c r="J169" s="20"/>
      <c r="K169" s="21" t="n">
        <f aca="false">H169+I169</f>
        <v>0</v>
      </c>
      <c r="L169" s="20"/>
      <c r="M169" s="21" t="n">
        <f aca="false">H169-L169</f>
        <v>0</v>
      </c>
      <c r="N169" s="23" t="n">
        <f aca="false">IFERROR(M169/B169*10000,0)</f>
        <v>0</v>
      </c>
      <c r="O169" s="20"/>
      <c r="P169" s="20"/>
      <c r="Q169" s="21" t="n">
        <f aca="false">O169+P169</f>
        <v>0</v>
      </c>
      <c r="R169" s="22" t="n">
        <f aca="false">IF(A169&lt;HlpChangeDate,HlpSharePre,HlpSharePost)</f>
        <v>0.03</v>
      </c>
      <c r="S169" s="21" t="n">
        <f aca="false">Q169*R169/(1-R169)</f>
        <v>0</v>
      </c>
      <c r="T169" s="20"/>
      <c r="U169" s="21" t="n">
        <f aca="false">S169-T169</f>
        <v>0</v>
      </c>
      <c r="V169" s="21" t="n">
        <f aca="false">Y169-O169*R169/(1-R169)</f>
        <v>0</v>
      </c>
      <c r="W169" s="21" t="n">
        <f aca="false">Z169-P169*R169/(1-R169)</f>
        <v>0</v>
      </c>
      <c r="X169" s="21" t="n">
        <f aca="false">S169+V169+W169</f>
        <v>0</v>
      </c>
      <c r="Y169" s="20"/>
      <c r="Z169" s="20"/>
      <c r="AA169" s="19" t="n">
        <v>0</v>
      </c>
      <c r="AB169" s="20"/>
      <c r="AC169" s="20"/>
      <c r="AD169" s="24" t="n">
        <f aca="false">IFERROR(AA169/AC169,0)</f>
        <v>0</v>
      </c>
      <c r="AE169" s="25" t="n">
        <f aca="false">K169-Q169-X169</f>
        <v>0</v>
      </c>
      <c r="AF169" s="25" t="n">
        <f aca="false">Q169-AA169</f>
        <v>0</v>
      </c>
      <c r="AG169" s="20"/>
      <c r="AH169" s="26" t="n">
        <f aca="false">IFERROR(AG169/Q169,0)</f>
        <v>0</v>
      </c>
      <c r="AI169" s="27" t="n">
        <v>0</v>
      </c>
      <c r="AJ169" s="26" t="n">
        <f aca="false">IF(AI169&gt;0,AprCoef/SQRT(AI169),0)</f>
        <v>0</v>
      </c>
      <c r="AK169" s="24" t="n">
        <f aca="false">AI169*AJ169/365</f>
        <v>0</v>
      </c>
      <c r="AL169" s="24" t="n">
        <f aca="false">AD169</f>
        <v>0</v>
      </c>
      <c r="AM169" s="24" t="n">
        <f aca="false">AK169-AL169</f>
        <v>0</v>
      </c>
      <c r="AN169" s="28" t="str">
        <f aca="false">IF(A169&gt;=Hip3LaunchDate,"YES","")</f>
        <v/>
      </c>
      <c r="AO169" s="28" t="str">
        <f aca="false">IF(A169&lt;Hip4LaunchDate,"pre-launch","live (zero-fee)")</f>
        <v>pre-launch</v>
      </c>
      <c r="AP169" s="20"/>
      <c r="AQ169" s="20"/>
      <c r="AR169" s="20"/>
    </row>
    <row r="170" customFormat="false" ht="15" hidden="false" customHeight="false" outlineLevel="0" collapsed="false">
      <c r="A170" s="18" t="n">
        <v>45231</v>
      </c>
      <c r="B170" s="19" t="n">
        <v>99978310.46</v>
      </c>
      <c r="C170" s="19" t="n">
        <v>0</v>
      </c>
      <c r="D170" s="20"/>
      <c r="E170" s="21" t="n">
        <f aca="false">B170+C170</f>
        <v>99978310.46</v>
      </c>
      <c r="F170" s="21" t="n">
        <f aca="false">E170+D170</f>
        <v>99978310.46</v>
      </c>
      <c r="G170" s="22" t="n">
        <f aca="false">IFERROR(C170/E170,0)</f>
        <v>0</v>
      </c>
      <c r="H170" s="20"/>
      <c r="I170" s="20"/>
      <c r="J170" s="20"/>
      <c r="K170" s="21" t="n">
        <f aca="false">H170+I170</f>
        <v>0</v>
      </c>
      <c r="L170" s="20"/>
      <c r="M170" s="21" t="n">
        <f aca="false">H170-L170</f>
        <v>0</v>
      </c>
      <c r="N170" s="23" t="n">
        <f aca="false">IFERROR(M170/B170*10000,0)</f>
        <v>0</v>
      </c>
      <c r="O170" s="20"/>
      <c r="P170" s="20"/>
      <c r="Q170" s="21" t="n">
        <f aca="false">O170+P170</f>
        <v>0</v>
      </c>
      <c r="R170" s="22" t="n">
        <f aca="false">IF(A170&lt;HlpChangeDate,HlpSharePre,HlpSharePost)</f>
        <v>0.03</v>
      </c>
      <c r="S170" s="21" t="n">
        <f aca="false">Q170*R170/(1-R170)</f>
        <v>0</v>
      </c>
      <c r="T170" s="20"/>
      <c r="U170" s="21" t="n">
        <f aca="false">S170-T170</f>
        <v>0</v>
      </c>
      <c r="V170" s="21" t="n">
        <f aca="false">Y170-O170*R170/(1-R170)</f>
        <v>0</v>
      </c>
      <c r="W170" s="21" t="n">
        <f aca="false">Z170-P170*R170/(1-R170)</f>
        <v>0</v>
      </c>
      <c r="X170" s="21" t="n">
        <f aca="false">S170+V170+W170</f>
        <v>0</v>
      </c>
      <c r="Y170" s="20"/>
      <c r="Z170" s="20"/>
      <c r="AA170" s="19" t="n">
        <v>0</v>
      </c>
      <c r="AB170" s="20"/>
      <c r="AC170" s="20"/>
      <c r="AD170" s="24" t="n">
        <f aca="false">IFERROR(AA170/AC170,0)</f>
        <v>0</v>
      </c>
      <c r="AE170" s="25" t="n">
        <f aca="false">K170-Q170-X170</f>
        <v>0</v>
      </c>
      <c r="AF170" s="25" t="n">
        <f aca="false">Q170-AA170</f>
        <v>0</v>
      </c>
      <c r="AG170" s="20"/>
      <c r="AH170" s="26" t="n">
        <f aca="false">IFERROR(AG170/Q170,0)</f>
        <v>0</v>
      </c>
      <c r="AI170" s="27" t="n">
        <v>0</v>
      </c>
      <c r="AJ170" s="26" t="n">
        <f aca="false">IF(AI170&gt;0,AprCoef/SQRT(AI170),0)</f>
        <v>0</v>
      </c>
      <c r="AK170" s="24" t="n">
        <f aca="false">AI170*AJ170/365</f>
        <v>0</v>
      </c>
      <c r="AL170" s="24" t="n">
        <f aca="false">AD170</f>
        <v>0</v>
      </c>
      <c r="AM170" s="24" t="n">
        <f aca="false">AK170-AL170</f>
        <v>0</v>
      </c>
      <c r="AN170" s="28" t="str">
        <f aca="false">IF(A170&gt;=Hip3LaunchDate,"YES","")</f>
        <v/>
      </c>
      <c r="AO170" s="28" t="str">
        <f aca="false">IF(A170&lt;Hip4LaunchDate,"pre-launch","live (zero-fee)")</f>
        <v>pre-launch</v>
      </c>
      <c r="AP170" s="20"/>
      <c r="AQ170" s="20"/>
      <c r="AR170" s="20"/>
    </row>
    <row r="171" customFormat="false" ht="15" hidden="false" customHeight="false" outlineLevel="0" collapsed="false">
      <c r="A171" s="18" t="n">
        <v>45232</v>
      </c>
      <c r="B171" s="19" t="n">
        <v>135396059.23</v>
      </c>
      <c r="C171" s="19" t="n">
        <v>0</v>
      </c>
      <c r="D171" s="20"/>
      <c r="E171" s="21" t="n">
        <f aca="false">B171+C171</f>
        <v>135396059.23</v>
      </c>
      <c r="F171" s="21" t="n">
        <f aca="false">E171+D171</f>
        <v>135396059.23</v>
      </c>
      <c r="G171" s="22" t="n">
        <f aca="false">IFERROR(C171/E171,0)</f>
        <v>0</v>
      </c>
      <c r="H171" s="20"/>
      <c r="I171" s="20"/>
      <c r="J171" s="20"/>
      <c r="K171" s="21" t="n">
        <f aca="false">H171+I171</f>
        <v>0</v>
      </c>
      <c r="L171" s="20"/>
      <c r="M171" s="21" t="n">
        <f aca="false">H171-L171</f>
        <v>0</v>
      </c>
      <c r="N171" s="23" t="n">
        <f aca="false">IFERROR(M171/B171*10000,0)</f>
        <v>0</v>
      </c>
      <c r="O171" s="20"/>
      <c r="P171" s="20"/>
      <c r="Q171" s="21" t="n">
        <f aca="false">O171+P171</f>
        <v>0</v>
      </c>
      <c r="R171" s="22" t="n">
        <f aca="false">IF(A171&lt;HlpChangeDate,HlpSharePre,HlpSharePost)</f>
        <v>0.03</v>
      </c>
      <c r="S171" s="21" t="n">
        <f aca="false">Q171*R171/(1-R171)</f>
        <v>0</v>
      </c>
      <c r="T171" s="20"/>
      <c r="U171" s="21" t="n">
        <f aca="false">S171-T171</f>
        <v>0</v>
      </c>
      <c r="V171" s="21" t="n">
        <f aca="false">Y171-O171*R171/(1-R171)</f>
        <v>0</v>
      </c>
      <c r="W171" s="21" t="n">
        <f aca="false">Z171-P171*R171/(1-R171)</f>
        <v>0</v>
      </c>
      <c r="X171" s="21" t="n">
        <f aca="false">S171+V171+W171</f>
        <v>0</v>
      </c>
      <c r="Y171" s="20"/>
      <c r="Z171" s="20"/>
      <c r="AA171" s="19" t="n">
        <v>0</v>
      </c>
      <c r="AB171" s="20"/>
      <c r="AC171" s="20"/>
      <c r="AD171" s="24" t="n">
        <f aca="false">IFERROR(AA171/AC171,0)</f>
        <v>0</v>
      </c>
      <c r="AE171" s="25" t="n">
        <f aca="false">K171-Q171-X171</f>
        <v>0</v>
      </c>
      <c r="AF171" s="25" t="n">
        <f aca="false">Q171-AA171</f>
        <v>0</v>
      </c>
      <c r="AG171" s="20"/>
      <c r="AH171" s="26" t="n">
        <f aca="false">IFERROR(AG171/Q171,0)</f>
        <v>0</v>
      </c>
      <c r="AI171" s="27" t="n">
        <v>0</v>
      </c>
      <c r="AJ171" s="26" t="n">
        <f aca="false">IF(AI171&gt;0,AprCoef/SQRT(AI171),0)</f>
        <v>0</v>
      </c>
      <c r="AK171" s="24" t="n">
        <f aca="false">AI171*AJ171/365</f>
        <v>0</v>
      </c>
      <c r="AL171" s="24" t="n">
        <f aca="false">AD171</f>
        <v>0</v>
      </c>
      <c r="AM171" s="24" t="n">
        <f aca="false">AK171-AL171</f>
        <v>0</v>
      </c>
      <c r="AN171" s="28" t="str">
        <f aca="false">IF(A171&gt;=Hip3LaunchDate,"YES","")</f>
        <v/>
      </c>
      <c r="AO171" s="28" t="str">
        <f aca="false">IF(A171&lt;Hip4LaunchDate,"pre-launch","live (zero-fee)")</f>
        <v>pre-launch</v>
      </c>
      <c r="AP171" s="20"/>
      <c r="AQ171" s="20"/>
      <c r="AR171" s="20"/>
    </row>
    <row r="172" customFormat="false" ht="15" hidden="false" customHeight="false" outlineLevel="0" collapsed="false">
      <c r="A172" s="18" t="n">
        <v>45233</v>
      </c>
      <c r="B172" s="19" t="n">
        <v>66130813.72</v>
      </c>
      <c r="C172" s="19" t="n">
        <v>0</v>
      </c>
      <c r="D172" s="20"/>
      <c r="E172" s="21" t="n">
        <f aca="false">B172+C172</f>
        <v>66130813.72</v>
      </c>
      <c r="F172" s="21" t="n">
        <f aca="false">E172+D172</f>
        <v>66130813.72</v>
      </c>
      <c r="G172" s="22" t="n">
        <f aca="false">IFERROR(C172/E172,0)</f>
        <v>0</v>
      </c>
      <c r="H172" s="20"/>
      <c r="I172" s="20"/>
      <c r="J172" s="20"/>
      <c r="K172" s="21" t="n">
        <f aca="false">H172+I172</f>
        <v>0</v>
      </c>
      <c r="L172" s="20"/>
      <c r="M172" s="21" t="n">
        <f aca="false">H172-L172</f>
        <v>0</v>
      </c>
      <c r="N172" s="23" t="n">
        <f aca="false">IFERROR(M172/B172*10000,0)</f>
        <v>0</v>
      </c>
      <c r="O172" s="20"/>
      <c r="P172" s="20"/>
      <c r="Q172" s="21" t="n">
        <f aca="false">O172+P172</f>
        <v>0</v>
      </c>
      <c r="R172" s="22" t="n">
        <f aca="false">IF(A172&lt;HlpChangeDate,HlpSharePre,HlpSharePost)</f>
        <v>0.03</v>
      </c>
      <c r="S172" s="21" t="n">
        <f aca="false">Q172*R172/(1-R172)</f>
        <v>0</v>
      </c>
      <c r="T172" s="20"/>
      <c r="U172" s="21" t="n">
        <f aca="false">S172-T172</f>
        <v>0</v>
      </c>
      <c r="V172" s="21" t="n">
        <f aca="false">Y172-O172*R172/(1-R172)</f>
        <v>0</v>
      </c>
      <c r="W172" s="21" t="n">
        <f aca="false">Z172-P172*R172/(1-R172)</f>
        <v>0</v>
      </c>
      <c r="X172" s="21" t="n">
        <f aca="false">S172+V172+W172</f>
        <v>0</v>
      </c>
      <c r="Y172" s="20"/>
      <c r="Z172" s="20"/>
      <c r="AA172" s="19" t="n">
        <v>0</v>
      </c>
      <c r="AB172" s="20"/>
      <c r="AC172" s="20"/>
      <c r="AD172" s="24" t="n">
        <f aca="false">IFERROR(AA172/AC172,0)</f>
        <v>0</v>
      </c>
      <c r="AE172" s="25" t="n">
        <f aca="false">K172-Q172-X172</f>
        <v>0</v>
      </c>
      <c r="AF172" s="25" t="n">
        <f aca="false">Q172-AA172</f>
        <v>0</v>
      </c>
      <c r="AG172" s="20"/>
      <c r="AH172" s="26" t="n">
        <f aca="false">IFERROR(AG172/Q172,0)</f>
        <v>0</v>
      </c>
      <c r="AI172" s="27" t="n">
        <v>0</v>
      </c>
      <c r="AJ172" s="26" t="n">
        <f aca="false">IF(AI172&gt;0,AprCoef/SQRT(AI172),0)</f>
        <v>0</v>
      </c>
      <c r="AK172" s="24" t="n">
        <f aca="false">AI172*AJ172/365</f>
        <v>0</v>
      </c>
      <c r="AL172" s="24" t="n">
        <f aca="false">AD172</f>
        <v>0</v>
      </c>
      <c r="AM172" s="24" t="n">
        <f aca="false">AK172-AL172</f>
        <v>0</v>
      </c>
      <c r="AN172" s="28" t="str">
        <f aca="false">IF(A172&gt;=Hip3LaunchDate,"YES","")</f>
        <v/>
      </c>
      <c r="AO172" s="28" t="str">
        <f aca="false">IF(A172&lt;Hip4LaunchDate,"pre-launch","live (zero-fee)")</f>
        <v>pre-launch</v>
      </c>
      <c r="AP172" s="20"/>
      <c r="AQ172" s="20"/>
      <c r="AR172" s="20"/>
    </row>
    <row r="173" customFormat="false" ht="15" hidden="false" customHeight="false" outlineLevel="0" collapsed="false">
      <c r="A173" s="18" t="n">
        <v>45234</v>
      </c>
      <c r="B173" s="19" t="n">
        <v>58679128.2</v>
      </c>
      <c r="C173" s="19" t="n">
        <v>0</v>
      </c>
      <c r="D173" s="20"/>
      <c r="E173" s="21" t="n">
        <f aca="false">B173+C173</f>
        <v>58679128.2</v>
      </c>
      <c r="F173" s="21" t="n">
        <f aca="false">E173+D173</f>
        <v>58679128.2</v>
      </c>
      <c r="G173" s="22" t="n">
        <f aca="false">IFERROR(C173/E173,0)</f>
        <v>0</v>
      </c>
      <c r="H173" s="20"/>
      <c r="I173" s="20"/>
      <c r="J173" s="20"/>
      <c r="K173" s="21" t="n">
        <f aca="false">H173+I173</f>
        <v>0</v>
      </c>
      <c r="L173" s="20"/>
      <c r="M173" s="21" t="n">
        <f aca="false">H173-L173</f>
        <v>0</v>
      </c>
      <c r="N173" s="23" t="n">
        <f aca="false">IFERROR(M173/B173*10000,0)</f>
        <v>0</v>
      </c>
      <c r="O173" s="20"/>
      <c r="P173" s="20"/>
      <c r="Q173" s="21" t="n">
        <f aca="false">O173+P173</f>
        <v>0</v>
      </c>
      <c r="R173" s="22" t="n">
        <f aca="false">IF(A173&lt;HlpChangeDate,HlpSharePre,HlpSharePost)</f>
        <v>0.03</v>
      </c>
      <c r="S173" s="21" t="n">
        <f aca="false">Q173*R173/(1-R173)</f>
        <v>0</v>
      </c>
      <c r="T173" s="20"/>
      <c r="U173" s="21" t="n">
        <f aca="false">S173-T173</f>
        <v>0</v>
      </c>
      <c r="V173" s="21" t="n">
        <f aca="false">Y173-O173*R173/(1-R173)</f>
        <v>0</v>
      </c>
      <c r="W173" s="21" t="n">
        <f aca="false">Z173-P173*R173/(1-R173)</f>
        <v>0</v>
      </c>
      <c r="X173" s="21" t="n">
        <f aca="false">S173+V173+W173</f>
        <v>0</v>
      </c>
      <c r="Y173" s="20"/>
      <c r="Z173" s="20"/>
      <c r="AA173" s="19" t="n">
        <v>0</v>
      </c>
      <c r="AB173" s="20"/>
      <c r="AC173" s="20"/>
      <c r="AD173" s="24" t="n">
        <f aca="false">IFERROR(AA173/AC173,0)</f>
        <v>0</v>
      </c>
      <c r="AE173" s="25" t="n">
        <f aca="false">K173-Q173-X173</f>
        <v>0</v>
      </c>
      <c r="AF173" s="25" t="n">
        <f aca="false">Q173-AA173</f>
        <v>0</v>
      </c>
      <c r="AG173" s="20"/>
      <c r="AH173" s="26" t="n">
        <f aca="false">IFERROR(AG173/Q173,0)</f>
        <v>0</v>
      </c>
      <c r="AI173" s="27" t="n">
        <v>0</v>
      </c>
      <c r="AJ173" s="26" t="n">
        <f aca="false">IF(AI173&gt;0,AprCoef/SQRT(AI173),0)</f>
        <v>0</v>
      </c>
      <c r="AK173" s="24" t="n">
        <f aca="false">AI173*AJ173/365</f>
        <v>0</v>
      </c>
      <c r="AL173" s="24" t="n">
        <f aca="false">AD173</f>
        <v>0</v>
      </c>
      <c r="AM173" s="24" t="n">
        <f aca="false">AK173-AL173</f>
        <v>0</v>
      </c>
      <c r="AN173" s="28" t="str">
        <f aca="false">IF(A173&gt;=Hip3LaunchDate,"YES","")</f>
        <v/>
      </c>
      <c r="AO173" s="28" t="str">
        <f aca="false">IF(A173&lt;Hip4LaunchDate,"pre-launch","live (zero-fee)")</f>
        <v>pre-launch</v>
      </c>
      <c r="AP173" s="20"/>
      <c r="AQ173" s="20"/>
      <c r="AR173" s="20"/>
    </row>
    <row r="174" customFormat="false" ht="15" hidden="false" customHeight="false" outlineLevel="0" collapsed="false">
      <c r="A174" s="18" t="n">
        <v>45235</v>
      </c>
      <c r="B174" s="19" t="n">
        <v>73028784.15</v>
      </c>
      <c r="C174" s="19" t="n">
        <v>0</v>
      </c>
      <c r="D174" s="20"/>
      <c r="E174" s="21" t="n">
        <f aca="false">B174+C174</f>
        <v>73028784.15</v>
      </c>
      <c r="F174" s="21" t="n">
        <f aca="false">E174+D174</f>
        <v>73028784.15</v>
      </c>
      <c r="G174" s="22" t="n">
        <f aca="false">IFERROR(C174/E174,0)</f>
        <v>0</v>
      </c>
      <c r="H174" s="20"/>
      <c r="I174" s="20"/>
      <c r="J174" s="20"/>
      <c r="K174" s="21" t="n">
        <f aca="false">H174+I174</f>
        <v>0</v>
      </c>
      <c r="L174" s="20"/>
      <c r="M174" s="21" t="n">
        <f aca="false">H174-L174</f>
        <v>0</v>
      </c>
      <c r="N174" s="23" t="n">
        <f aca="false">IFERROR(M174/B174*10000,0)</f>
        <v>0</v>
      </c>
      <c r="O174" s="20"/>
      <c r="P174" s="20"/>
      <c r="Q174" s="21" t="n">
        <f aca="false">O174+P174</f>
        <v>0</v>
      </c>
      <c r="R174" s="22" t="n">
        <f aca="false">IF(A174&lt;HlpChangeDate,HlpSharePre,HlpSharePost)</f>
        <v>0.03</v>
      </c>
      <c r="S174" s="21" t="n">
        <f aca="false">Q174*R174/(1-R174)</f>
        <v>0</v>
      </c>
      <c r="T174" s="20"/>
      <c r="U174" s="21" t="n">
        <f aca="false">S174-T174</f>
        <v>0</v>
      </c>
      <c r="V174" s="21" t="n">
        <f aca="false">Y174-O174*R174/(1-R174)</f>
        <v>0</v>
      </c>
      <c r="W174" s="21" t="n">
        <f aca="false">Z174-P174*R174/(1-R174)</f>
        <v>0</v>
      </c>
      <c r="X174" s="21" t="n">
        <f aca="false">S174+V174+W174</f>
        <v>0</v>
      </c>
      <c r="Y174" s="20"/>
      <c r="Z174" s="20"/>
      <c r="AA174" s="19" t="n">
        <v>0</v>
      </c>
      <c r="AB174" s="20"/>
      <c r="AC174" s="20"/>
      <c r="AD174" s="24" t="n">
        <f aca="false">IFERROR(AA174/AC174,0)</f>
        <v>0</v>
      </c>
      <c r="AE174" s="25" t="n">
        <f aca="false">K174-Q174-X174</f>
        <v>0</v>
      </c>
      <c r="AF174" s="25" t="n">
        <f aca="false">Q174-AA174</f>
        <v>0</v>
      </c>
      <c r="AG174" s="20"/>
      <c r="AH174" s="26" t="n">
        <f aca="false">IFERROR(AG174/Q174,0)</f>
        <v>0</v>
      </c>
      <c r="AI174" s="27" t="n">
        <v>0</v>
      </c>
      <c r="AJ174" s="26" t="n">
        <f aca="false">IF(AI174&gt;0,AprCoef/SQRT(AI174),0)</f>
        <v>0</v>
      </c>
      <c r="AK174" s="24" t="n">
        <f aca="false">AI174*AJ174/365</f>
        <v>0</v>
      </c>
      <c r="AL174" s="24" t="n">
        <f aca="false">AD174</f>
        <v>0</v>
      </c>
      <c r="AM174" s="24" t="n">
        <f aca="false">AK174-AL174</f>
        <v>0</v>
      </c>
      <c r="AN174" s="28" t="str">
        <f aca="false">IF(A174&gt;=Hip3LaunchDate,"YES","")</f>
        <v/>
      </c>
      <c r="AO174" s="28" t="str">
        <f aca="false">IF(A174&lt;Hip4LaunchDate,"pre-launch","live (zero-fee)")</f>
        <v>pre-launch</v>
      </c>
      <c r="AP174" s="20"/>
      <c r="AQ174" s="20"/>
      <c r="AR174" s="20"/>
    </row>
    <row r="175" customFormat="false" ht="15" hidden="false" customHeight="false" outlineLevel="0" collapsed="false">
      <c r="A175" s="18" t="n">
        <v>45236</v>
      </c>
      <c r="B175" s="19" t="n">
        <v>188389375.7</v>
      </c>
      <c r="C175" s="19" t="n">
        <v>0</v>
      </c>
      <c r="D175" s="20"/>
      <c r="E175" s="21" t="n">
        <f aca="false">B175+C175</f>
        <v>188389375.7</v>
      </c>
      <c r="F175" s="21" t="n">
        <f aca="false">E175+D175</f>
        <v>188389375.7</v>
      </c>
      <c r="G175" s="22" t="n">
        <f aca="false">IFERROR(C175/E175,0)</f>
        <v>0</v>
      </c>
      <c r="H175" s="20"/>
      <c r="I175" s="20"/>
      <c r="J175" s="20"/>
      <c r="K175" s="21" t="n">
        <f aca="false">H175+I175</f>
        <v>0</v>
      </c>
      <c r="L175" s="20"/>
      <c r="M175" s="21" t="n">
        <f aca="false">H175-L175</f>
        <v>0</v>
      </c>
      <c r="N175" s="23" t="n">
        <f aca="false">IFERROR(M175/B175*10000,0)</f>
        <v>0</v>
      </c>
      <c r="O175" s="20"/>
      <c r="P175" s="20"/>
      <c r="Q175" s="21" t="n">
        <f aca="false">O175+P175</f>
        <v>0</v>
      </c>
      <c r="R175" s="22" t="n">
        <f aca="false">IF(A175&lt;HlpChangeDate,HlpSharePre,HlpSharePost)</f>
        <v>0.03</v>
      </c>
      <c r="S175" s="21" t="n">
        <f aca="false">Q175*R175/(1-R175)</f>
        <v>0</v>
      </c>
      <c r="T175" s="20"/>
      <c r="U175" s="21" t="n">
        <f aca="false">S175-T175</f>
        <v>0</v>
      </c>
      <c r="V175" s="21" t="n">
        <f aca="false">Y175-O175*R175/(1-R175)</f>
        <v>0</v>
      </c>
      <c r="W175" s="21" t="n">
        <f aca="false">Z175-P175*R175/(1-R175)</f>
        <v>0</v>
      </c>
      <c r="X175" s="21" t="n">
        <f aca="false">S175+V175+W175</f>
        <v>0</v>
      </c>
      <c r="Y175" s="20"/>
      <c r="Z175" s="20"/>
      <c r="AA175" s="19" t="n">
        <v>0</v>
      </c>
      <c r="AB175" s="20"/>
      <c r="AC175" s="20"/>
      <c r="AD175" s="24" t="n">
        <f aca="false">IFERROR(AA175/AC175,0)</f>
        <v>0</v>
      </c>
      <c r="AE175" s="25" t="n">
        <f aca="false">K175-Q175-X175</f>
        <v>0</v>
      </c>
      <c r="AF175" s="25" t="n">
        <f aca="false">Q175-AA175</f>
        <v>0</v>
      </c>
      <c r="AG175" s="20"/>
      <c r="AH175" s="26" t="n">
        <f aca="false">IFERROR(AG175/Q175,0)</f>
        <v>0</v>
      </c>
      <c r="AI175" s="27" t="n">
        <v>0</v>
      </c>
      <c r="AJ175" s="26" t="n">
        <f aca="false">IF(AI175&gt;0,AprCoef/SQRT(AI175),0)</f>
        <v>0</v>
      </c>
      <c r="AK175" s="24" t="n">
        <f aca="false">AI175*AJ175/365</f>
        <v>0</v>
      </c>
      <c r="AL175" s="24" t="n">
        <f aca="false">AD175</f>
        <v>0</v>
      </c>
      <c r="AM175" s="24" t="n">
        <f aca="false">AK175-AL175</f>
        <v>0</v>
      </c>
      <c r="AN175" s="28" t="str">
        <f aca="false">IF(A175&gt;=Hip3LaunchDate,"YES","")</f>
        <v/>
      </c>
      <c r="AO175" s="28" t="str">
        <f aca="false">IF(A175&lt;Hip4LaunchDate,"pre-launch","live (zero-fee)")</f>
        <v>pre-launch</v>
      </c>
      <c r="AP175" s="20"/>
      <c r="AQ175" s="20"/>
      <c r="AR175" s="20"/>
    </row>
    <row r="176" customFormat="false" ht="15" hidden="false" customHeight="false" outlineLevel="0" collapsed="false">
      <c r="A176" s="18" t="n">
        <v>45237</v>
      </c>
      <c r="B176" s="19" t="n">
        <v>160375586.47</v>
      </c>
      <c r="C176" s="19" t="n">
        <v>0</v>
      </c>
      <c r="D176" s="20"/>
      <c r="E176" s="21" t="n">
        <f aca="false">B176+C176</f>
        <v>160375586.47</v>
      </c>
      <c r="F176" s="21" t="n">
        <f aca="false">E176+D176</f>
        <v>160375586.47</v>
      </c>
      <c r="G176" s="22" t="n">
        <f aca="false">IFERROR(C176/E176,0)</f>
        <v>0</v>
      </c>
      <c r="H176" s="20"/>
      <c r="I176" s="20"/>
      <c r="J176" s="20"/>
      <c r="K176" s="21" t="n">
        <f aca="false">H176+I176</f>
        <v>0</v>
      </c>
      <c r="L176" s="20"/>
      <c r="M176" s="21" t="n">
        <f aca="false">H176-L176</f>
        <v>0</v>
      </c>
      <c r="N176" s="23" t="n">
        <f aca="false">IFERROR(M176/B176*10000,0)</f>
        <v>0</v>
      </c>
      <c r="O176" s="20"/>
      <c r="P176" s="20"/>
      <c r="Q176" s="21" t="n">
        <f aca="false">O176+P176</f>
        <v>0</v>
      </c>
      <c r="R176" s="22" t="n">
        <f aca="false">IF(A176&lt;HlpChangeDate,HlpSharePre,HlpSharePost)</f>
        <v>0.03</v>
      </c>
      <c r="S176" s="21" t="n">
        <f aca="false">Q176*R176/(1-R176)</f>
        <v>0</v>
      </c>
      <c r="T176" s="20"/>
      <c r="U176" s="21" t="n">
        <f aca="false">S176-T176</f>
        <v>0</v>
      </c>
      <c r="V176" s="21" t="n">
        <f aca="false">Y176-O176*R176/(1-R176)</f>
        <v>0</v>
      </c>
      <c r="W176" s="21" t="n">
        <f aca="false">Z176-P176*R176/(1-R176)</f>
        <v>0</v>
      </c>
      <c r="X176" s="21" t="n">
        <f aca="false">S176+V176+W176</f>
        <v>0</v>
      </c>
      <c r="Y176" s="20"/>
      <c r="Z176" s="20"/>
      <c r="AA176" s="19" t="n">
        <v>0</v>
      </c>
      <c r="AB176" s="20"/>
      <c r="AC176" s="20"/>
      <c r="AD176" s="24" t="n">
        <f aca="false">IFERROR(AA176/AC176,0)</f>
        <v>0</v>
      </c>
      <c r="AE176" s="25" t="n">
        <f aca="false">K176-Q176-X176</f>
        <v>0</v>
      </c>
      <c r="AF176" s="25" t="n">
        <f aca="false">Q176-AA176</f>
        <v>0</v>
      </c>
      <c r="AG176" s="20"/>
      <c r="AH176" s="26" t="n">
        <f aca="false">IFERROR(AG176/Q176,0)</f>
        <v>0</v>
      </c>
      <c r="AI176" s="27" t="n">
        <v>0</v>
      </c>
      <c r="AJ176" s="26" t="n">
        <f aca="false">IF(AI176&gt;0,AprCoef/SQRT(AI176),0)</f>
        <v>0</v>
      </c>
      <c r="AK176" s="24" t="n">
        <f aca="false">AI176*AJ176/365</f>
        <v>0</v>
      </c>
      <c r="AL176" s="24" t="n">
        <f aca="false">AD176</f>
        <v>0</v>
      </c>
      <c r="AM176" s="24" t="n">
        <f aca="false">AK176-AL176</f>
        <v>0</v>
      </c>
      <c r="AN176" s="28" t="str">
        <f aca="false">IF(A176&gt;=Hip3LaunchDate,"YES","")</f>
        <v/>
      </c>
      <c r="AO176" s="28" t="str">
        <f aca="false">IF(A176&lt;Hip4LaunchDate,"pre-launch","live (zero-fee)")</f>
        <v>pre-launch</v>
      </c>
      <c r="AP176" s="20"/>
      <c r="AQ176" s="20"/>
      <c r="AR176" s="20"/>
    </row>
    <row r="177" customFormat="false" ht="15" hidden="false" customHeight="false" outlineLevel="0" collapsed="false">
      <c r="A177" s="18" t="n">
        <v>45238</v>
      </c>
      <c r="B177" s="19" t="n">
        <v>98034531.27</v>
      </c>
      <c r="C177" s="19" t="n">
        <v>0</v>
      </c>
      <c r="D177" s="20"/>
      <c r="E177" s="21" t="n">
        <f aca="false">B177+C177</f>
        <v>98034531.27</v>
      </c>
      <c r="F177" s="21" t="n">
        <f aca="false">E177+D177</f>
        <v>98034531.27</v>
      </c>
      <c r="G177" s="22" t="n">
        <f aca="false">IFERROR(C177/E177,0)</f>
        <v>0</v>
      </c>
      <c r="H177" s="20"/>
      <c r="I177" s="20"/>
      <c r="J177" s="20"/>
      <c r="K177" s="21" t="n">
        <f aca="false">H177+I177</f>
        <v>0</v>
      </c>
      <c r="L177" s="20"/>
      <c r="M177" s="21" t="n">
        <f aca="false">H177-L177</f>
        <v>0</v>
      </c>
      <c r="N177" s="23" t="n">
        <f aca="false">IFERROR(M177/B177*10000,0)</f>
        <v>0</v>
      </c>
      <c r="O177" s="20"/>
      <c r="P177" s="20"/>
      <c r="Q177" s="21" t="n">
        <f aca="false">O177+P177</f>
        <v>0</v>
      </c>
      <c r="R177" s="22" t="n">
        <f aca="false">IF(A177&lt;HlpChangeDate,HlpSharePre,HlpSharePost)</f>
        <v>0.03</v>
      </c>
      <c r="S177" s="21" t="n">
        <f aca="false">Q177*R177/(1-R177)</f>
        <v>0</v>
      </c>
      <c r="T177" s="20"/>
      <c r="U177" s="21" t="n">
        <f aca="false">S177-T177</f>
        <v>0</v>
      </c>
      <c r="V177" s="21" t="n">
        <f aca="false">Y177-O177*R177/(1-R177)</f>
        <v>0</v>
      </c>
      <c r="W177" s="21" t="n">
        <f aca="false">Z177-P177*R177/(1-R177)</f>
        <v>0</v>
      </c>
      <c r="X177" s="21" t="n">
        <f aca="false">S177+V177+W177</f>
        <v>0</v>
      </c>
      <c r="Y177" s="20"/>
      <c r="Z177" s="20"/>
      <c r="AA177" s="19" t="n">
        <v>0</v>
      </c>
      <c r="AB177" s="20"/>
      <c r="AC177" s="20"/>
      <c r="AD177" s="24" t="n">
        <f aca="false">IFERROR(AA177/AC177,0)</f>
        <v>0</v>
      </c>
      <c r="AE177" s="25" t="n">
        <f aca="false">K177-Q177-X177</f>
        <v>0</v>
      </c>
      <c r="AF177" s="25" t="n">
        <f aca="false">Q177-AA177</f>
        <v>0</v>
      </c>
      <c r="AG177" s="20"/>
      <c r="AH177" s="26" t="n">
        <f aca="false">IFERROR(AG177/Q177,0)</f>
        <v>0</v>
      </c>
      <c r="AI177" s="27" t="n">
        <v>0</v>
      </c>
      <c r="AJ177" s="26" t="n">
        <f aca="false">IF(AI177&gt;0,AprCoef/SQRT(AI177),0)</f>
        <v>0</v>
      </c>
      <c r="AK177" s="24" t="n">
        <f aca="false">AI177*AJ177/365</f>
        <v>0</v>
      </c>
      <c r="AL177" s="24" t="n">
        <f aca="false">AD177</f>
        <v>0</v>
      </c>
      <c r="AM177" s="24" t="n">
        <f aca="false">AK177-AL177</f>
        <v>0</v>
      </c>
      <c r="AN177" s="28" t="str">
        <f aca="false">IF(A177&gt;=Hip3LaunchDate,"YES","")</f>
        <v/>
      </c>
      <c r="AO177" s="28" t="str">
        <f aca="false">IF(A177&lt;Hip4LaunchDate,"pre-launch","live (zero-fee)")</f>
        <v>pre-launch</v>
      </c>
      <c r="AP177" s="20"/>
      <c r="AQ177" s="20"/>
      <c r="AR177" s="20"/>
    </row>
    <row r="178" customFormat="false" ht="15" hidden="false" customHeight="false" outlineLevel="0" collapsed="false">
      <c r="A178" s="18" t="n">
        <v>45239</v>
      </c>
      <c r="B178" s="19" t="n">
        <v>237343596.52</v>
      </c>
      <c r="C178" s="19" t="n">
        <v>0</v>
      </c>
      <c r="D178" s="20"/>
      <c r="E178" s="21" t="n">
        <f aca="false">B178+C178</f>
        <v>237343596.52</v>
      </c>
      <c r="F178" s="21" t="n">
        <f aca="false">E178+D178</f>
        <v>237343596.52</v>
      </c>
      <c r="G178" s="22" t="n">
        <f aca="false">IFERROR(C178/E178,0)</f>
        <v>0</v>
      </c>
      <c r="H178" s="20"/>
      <c r="I178" s="20"/>
      <c r="J178" s="20"/>
      <c r="K178" s="21" t="n">
        <f aca="false">H178+I178</f>
        <v>0</v>
      </c>
      <c r="L178" s="20"/>
      <c r="M178" s="21" t="n">
        <f aca="false">H178-L178</f>
        <v>0</v>
      </c>
      <c r="N178" s="23" t="n">
        <f aca="false">IFERROR(M178/B178*10000,0)</f>
        <v>0</v>
      </c>
      <c r="O178" s="20"/>
      <c r="P178" s="20"/>
      <c r="Q178" s="21" t="n">
        <f aca="false">O178+P178</f>
        <v>0</v>
      </c>
      <c r="R178" s="22" t="n">
        <f aca="false">IF(A178&lt;HlpChangeDate,HlpSharePre,HlpSharePost)</f>
        <v>0.03</v>
      </c>
      <c r="S178" s="21" t="n">
        <f aca="false">Q178*R178/(1-R178)</f>
        <v>0</v>
      </c>
      <c r="T178" s="20"/>
      <c r="U178" s="21" t="n">
        <f aca="false">S178-T178</f>
        <v>0</v>
      </c>
      <c r="V178" s="21" t="n">
        <f aca="false">Y178-O178*R178/(1-R178)</f>
        <v>0</v>
      </c>
      <c r="W178" s="21" t="n">
        <f aca="false">Z178-P178*R178/(1-R178)</f>
        <v>0</v>
      </c>
      <c r="X178" s="21" t="n">
        <f aca="false">S178+V178+W178</f>
        <v>0</v>
      </c>
      <c r="Y178" s="20"/>
      <c r="Z178" s="20"/>
      <c r="AA178" s="19" t="n">
        <v>0</v>
      </c>
      <c r="AB178" s="20"/>
      <c r="AC178" s="20"/>
      <c r="AD178" s="24" t="n">
        <f aca="false">IFERROR(AA178/AC178,0)</f>
        <v>0</v>
      </c>
      <c r="AE178" s="25" t="n">
        <f aca="false">K178-Q178-X178</f>
        <v>0</v>
      </c>
      <c r="AF178" s="25" t="n">
        <f aca="false">Q178-AA178</f>
        <v>0</v>
      </c>
      <c r="AG178" s="20"/>
      <c r="AH178" s="26" t="n">
        <f aca="false">IFERROR(AG178/Q178,0)</f>
        <v>0</v>
      </c>
      <c r="AI178" s="27" t="n">
        <v>0</v>
      </c>
      <c r="AJ178" s="26" t="n">
        <f aca="false">IF(AI178&gt;0,AprCoef/SQRT(AI178),0)</f>
        <v>0</v>
      </c>
      <c r="AK178" s="24" t="n">
        <f aca="false">AI178*AJ178/365</f>
        <v>0</v>
      </c>
      <c r="AL178" s="24" t="n">
        <f aca="false">AD178</f>
        <v>0</v>
      </c>
      <c r="AM178" s="24" t="n">
        <f aca="false">AK178-AL178</f>
        <v>0</v>
      </c>
      <c r="AN178" s="28" t="str">
        <f aca="false">IF(A178&gt;=Hip3LaunchDate,"YES","")</f>
        <v/>
      </c>
      <c r="AO178" s="28" t="str">
        <f aca="false">IF(A178&lt;Hip4LaunchDate,"pre-launch","live (zero-fee)")</f>
        <v>pre-launch</v>
      </c>
      <c r="AP178" s="20"/>
      <c r="AQ178" s="20"/>
      <c r="AR178" s="20"/>
    </row>
    <row r="179" customFormat="false" ht="15" hidden="false" customHeight="false" outlineLevel="0" collapsed="false">
      <c r="A179" s="18" t="n">
        <v>45240</v>
      </c>
      <c r="B179" s="19" t="n">
        <v>128304145.64</v>
      </c>
      <c r="C179" s="19" t="n">
        <v>0</v>
      </c>
      <c r="D179" s="20"/>
      <c r="E179" s="21" t="n">
        <f aca="false">B179+C179</f>
        <v>128304145.64</v>
      </c>
      <c r="F179" s="21" t="n">
        <f aca="false">E179+D179</f>
        <v>128304145.64</v>
      </c>
      <c r="G179" s="22" t="n">
        <f aca="false">IFERROR(C179/E179,0)</f>
        <v>0</v>
      </c>
      <c r="H179" s="20"/>
      <c r="I179" s="20"/>
      <c r="J179" s="20"/>
      <c r="K179" s="21" t="n">
        <f aca="false">H179+I179</f>
        <v>0</v>
      </c>
      <c r="L179" s="20"/>
      <c r="M179" s="21" t="n">
        <f aca="false">H179-L179</f>
        <v>0</v>
      </c>
      <c r="N179" s="23" t="n">
        <f aca="false">IFERROR(M179/B179*10000,0)</f>
        <v>0</v>
      </c>
      <c r="O179" s="20"/>
      <c r="P179" s="20"/>
      <c r="Q179" s="21" t="n">
        <f aca="false">O179+P179</f>
        <v>0</v>
      </c>
      <c r="R179" s="22" t="n">
        <f aca="false">IF(A179&lt;HlpChangeDate,HlpSharePre,HlpSharePost)</f>
        <v>0.03</v>
      </c>
      <c r="S179" s="21" t="n">
        <f aca="false">Q179*R179/(1-R179)</f>
        <v>0</v>
      </c>
      <c r="T179" s="20"/>
      <c r="U179" s="21" t="n">
        <f aca="false">S179-T179</f>
        <v>0</v>
      </c>
      <c r="V179" s="21" t="n">
        <f aca="false">Y179-O179*R179/(1-R179)</f>
        <v>0</v>
      </c>
      <c r="W179" s="21" t="n">
        <f aca="false">Z179-P179*R179/(1-R179)</f>
        <v>0</v>
      </c>
      <c r="X179" s="21" t="n">
        <f aca="false">S179+V179+W179</f>
        <v>0</v>
      </c>
      <c r="Y179" s="20"/>
      <c r="Z179" s="20"/>
      <c r="AA179" s="19" t="n">
        <v>0</v>
      </c>
      <c r="AB179" s="20"/>
      <c r="AC179" s="20"/>
      <c r="AD179" s="24" t="n">
        <f aca="false">IFERROR(AA179/AC179,0)</f>
        <v>0</v>
      </c>
      <c r="AE179" s="25" t="n">
        <f aca="false">K179-Q179-X179</f>
        <v>0</v>
      </c>
      <c r="AF179" s="25" t="n">
        <f aca="false">Q179-AA179</f>
        <v>0</v>
      </c>
      <c r="AG179" s="20"/>
      <c r="AH179" s="26" t="n">
        <f aca="false">IFERROR(AG179/Q179,0)</f>
        <v>0</v>
      </c>
      <c r="AI179" s="27" t="n">
        <v>0</v>
      </c>
      <c r="AJ179" s="26" t="n">
        <f aca="false">IF(AI179&gt;0,AprCoef/SQRT(AI179),0)</f>
        <v>0</v>
      </c>
      <c r="AK179" s="24" t="n">
        <f aca="false">AI179*AJ179/365</f>
        <v>0</v>
      </c>
      <c r="AL179" s="24" t="n">
        <f aca="false">AD179</f>
        <v>0</v>
      </c>
      <c r="AM179" s="24" t="n">
        <f aca="false">AK179-AL179</f>
        <v>0</v>
      </c>
      <c r="AN179" s="28" t="str">
        <f aca="false">IF(A179&gt;=Hip3LaunchDate,"YES","")</f>
        <v/>
      </c>
      <c r="AO179" s="28" t="str">
        <f aca="false">IF(A179&lt;Hip4LaunchDate,"pre-launch","live (zero-fee)")</f>
        <v>pre-launch</v>
      </c>
      <c r="AP179" s="20"/>
      <c r="AQ179" s="20"/>
      <c r="AR179" s="20"/>
    </row>
    <row r="180" customFormat="false" ht="15" hidden="false" customHeight="false" outlineLevel="0" collapsed="false">
      <c r="A180" s="18" t="n">
        <v>45241</v>
      </c>
      <c r="B180" s="19" t="n">
        <v>125205713.01</v>
      </c>
      <c r="C180" s="19" t="n">
        <v>0</v>
      </c>
      <c r="D180" s="20"/>
      <c r="E180" s="21" t="n">
        <f aca="false">B180+C180</f>
        <v>125205713.01</v>
      </c>
      <c r="F180" s="21" t="n">
        <f aca="false">E180+D180</f>
        <v>125205713.01</v>
      </c>
      <c r="G180" s="22" t="n">
        <f aca="false">IFERROR(C180/E180,0)</f>
        <v>0</v>
      </c>
      <c r="H180" s="20"/>
      <c r="I180" s="20"/>
      <c r="J180" s="20"/>
      <c r="K180" s="21" t="n">
        <f aca="false">H180+I180</f>
        <v>0</v>
      </c>
      <c r="L180" s="20"/>
      <c r="M180" s="21" t="n">
        <f aca="false">H180-L180</f>
        <v>0</v>
      </c>
      <c r="N180" s="23" t="n">
        <f aca="false">IFERROR(M180/B180*10000,0)</f>
        <v>0</v>
      </c>
      <c r="O180" s="20"/>
      <c r="P180" s="20"/>
      <c r="Q180" s="21" t="n">
        <f aca="false">O180+P180</f>
        <v>0</v>
      </c>
      <c r="R180" s="22" t="n">
        <f aca="false">IF(A180&lt;HlpChangeDate,HlpSharePre,HlpSharePost)</f>
        <v>0.03</v>
      </c>
      <c r="S180" s="21" t="n">
        <f aca="false">Q180*R180/(1-R180)</f>
        <v>0</v>
      </c>
      <c r="T180" s="20"/>
      <c r="U180" s="21" t="n">
        <f aca="false">S180-T180</f>
        <v>0</v>
      </c>
      <c r="V180" s="21" t="n">
        <f aca="false">Y180-O180*R180/(1-R180)</f>
        <v>0</v>
      </c>
      <c r="W180" s="21" t="n">
        <f aca="false">Z180-P180*R180/(1-R180)</f>
        <v>0</v>
      </c>
      <c r="X180" s="21" t="n">
        <f aca="false">S180+V180+W180</f>
        <v>0</v>
      </c>
      <c r="Y180" s="20"/>
      <c r="Z180" s="20"/>
      <c r="AA180" s="19" t="n">
        <v>0</v>
      </c>
      <c r="AB180" s="20"/>
      <c r="AC180" s="20"/>
      <c r="AD180" s="24" t="n">
        <f aca="false">IFERROR(AA180/AC180,0)</f>
        <v>0</v>
      </c>
      <c r="AE180" s="25" t="n">
        <f aca="false">K180-Q180-X180</f>
        <v>0</v>
      </c>
      <c r="AF180" s="25" t="n">
        <f aca="false">Q180-AA180</f>
        <v>0</v>
      </c>
      <c r="AG180" s="20"/>
      <c r="AH180" s="26" t="n">
        <f aca="false">IFERROR(AG180/Q180,0)</f>
        <v>0</v>
      </c>
      <c r="AI180" s="27" t="n">
        <v>0</v>
      </c>
      <c r="AJ180" s="26" t="n">
        <f aca="false">IF(AI180&gt;0,AprCoef/SQRT(AI180),0)</f>
        <v>0</v>
      </c>
      <c r="AK180" s="24" t="n">
        <f aca="false">AI180*AJ180/365</f>
        <v>0</v>
      </c>
      <c r="AL180" s="24" t="n">
        <f aca="false">AD180</f>
        <v>0</v>
      </c>
      <c r="AM180" s="24" t="n">
        <f aca="false">AK180-AL180</f>
        <v>0</v>
      </c>
      <c r="AN180" s="28" t="str">
        <f aca="false">IF(A180&gt;=Hip3LaunchDate,"YES","")</f>
        <v/>
      </c>
      <c r="AO180" s="28" t="str">
        <f aca="false">IF(A180&lt;Hip4LaunchDate,"pre-launch","live (zero-fee)")</f>
        <v>pre-launch</v>
      </c>
      <c r="AP180" s="20"/>
      <c r="AQ180" s="20"/>
      <c r="AR180" s="20"/>
    </row>
    <row r="181" customFormat="false" ht="15" hidden="false" customHeight="false" outlineLevel="0" collapsed="false">
      <c r="A181" s="18" t="n">
        <v>45242</v>
      </c>
      <c r="B181" s="19" t="n">
        <v>121572456.93</v>
      </c>
      <c r="C181" s="19" t="n">
        <v>0</v>
      </c>
      <c r="D181" s="20"/>
      <c r="E181" s="21" t="n">
        <f aca="false">B181+C181</f>
        <v>121572456.93</v>
      </c>
      <c r="F181" s="21" t="n">
        <f aca="false">E181+D181</f>
        <v>121572456.93</v>
      </c>
      <c r="G181" s="22" t="n">
        <f aca="false">IFERROR(C181/E181,0)</f>
        <v>0</v>
      </c>
      <c r="H181" s="20"/>
      <c r="I181" s="20"/>
      <c r="J181" s="20"/>
      <c r="K181" s="21" t="n">
        <f aca="false">H181+I181</f>
        <v>0</v>
      </c>
      <c r="L181" s="20"/>
      <c r="M181" s="21" t="n">
        <f aca="false">H181-L181</f>
        <v>0</v>
      </c>
      <c r="N181" s="23" t="n">
        <f aca="false">IFERROR(M181/B181*10000,0)</f>
        <v>0</v>
      </c>
      <c r="O181" s="20"/>
      <c r="P181" s="20"/>
      <c r="Q181" s="21" t="n">
        <f aca="false">O181+P181</f>
        <v>0</v>
      </c>
      <c r="R181" s="22" t="n">
        <f aca="false">IF(A181&lt;HlpChangeDate,HlpSharePre,HlpSharePost)</f>
        <v>0.03</v>
      </c>
      <c r="S181" s="21" t="n">
        <f aca="false">Q181*R181/(1-R181)</f>
        <v>0</v>
      </c>
      <c r="T181" s="20"/>
      <c r="U181" s="21" t="n">
        <f aca="false">S181-T181</f>
        <v>0</v>
      </c>
      <c r="V181" s="21" t="n">
        <f aca="false">Y181-O181*R181/(1-R181)</f>
        <v>0</v>
      </c>
      <c r="W181" s="21" t="n">
        <f aca="false">Z181-P181*R181/(1-R181)</f>
        <v>0</v>
      </c>
      <c r="X181" s="21" t="n">
        <f aca="false">S181+V181+W181</f>
        <v>0</v>
      </c>
      <c r="Y181" s="20"/>
      <c r="Z181" s="20"/>
      <c r="AA181" s="19" t="n">
        <v>0</v>
      </c>
      <c r="AB181" s="20"/>
      <c r="AC181" s="20"/>
      <c r="AD181" s="24" t="n">
        <f aca="false">IFERROR(AA181/AC181,0)</f>
        <v>0</v>
      </c>
      <c r="AE181" s="25" t="n">
        <f aca="false">K181-Q181-X181</f>
        <v>0</v>
      </c>
      <c r="AF181" s="25" t="n">
        <f aca="false">Q181-AA181</f>
        <v>0</v>
      </c>
      <c r="AG181" s="20"/>
      <c r="AH181" s="26" t="n">
        <f aca="false">IFERROR(AG181/Q181,0)</f>
        <v>0</v>
      </c>
      <c r="AI181" s="27" t="n">
        <v>0</v>
      </c>
      <c r="AJ181" s="26" t="n">
        <f aca="false">IF(AI181&gt;0,AprCoef/SQRT(AI181),0)</f>
        <v>0</v>
      </c>
      <c r="AK181" s="24" t="n">
        <f aca="false">AI181*AJ181/365</f>
        <v>0</v>
      </c>
      <c r="AL181" s="24" t="n">
        <f aca="false">AD181</f>
        <v>0</v>
      </c>
      <c r="AM181" s="24" t="n">
        <f aca="false">AK181-AL181</f>
        <v>0</v>
      </c>
      <c r="AN181" s="28" t="str">
        <f aca="false">IF(A181&gt;=Hip3LaunchDate,"YES","")</f>
        <v/>
      </c>
      <c r="AO181" s="28" t="str">
        <f aca="false">IF(A181&lt;Hip4LaunchDate,"pre-launch","live (zero-fee)")</f>
        <v>pre-launch</v>
      </c>
      <c r="AP181" s="20"/>
      <c r="AQ181" s="20"/>
      <c r="AR181" s="20"/>
    </row>
    <row r="182" customFormat="false" ht="15" hidden="false" customHeight="false" outlineLevel="0" collapsed="false">
      <c r="A182" s="18" t="n">
        <v>45243</v>
      </c>
      <c r="B182" s="19" t="n">
        <v>141181255.41</v>
      </c>
      <c r="C182" s="19" t="n">
        <v>0</v>
      </c>
      <c r="D182" s="20"/>
      <c r="E182" s="21" t="n">
        <f aca="false">B182+C182</f>
        <v>141181255.41</v>
      </c>
      <c r="F182" s="21" t="n">
        <f aca="false">E182+D182</f>
        <v>141181255.41</v>
      </c>
      <c r="G182" s="22" t="n">
        <f aca="false">IFERROR(C182/E182,0)</f>
        <v>0</v>
      </c>
      <c r="H182" s="20"/>
      <c r="I182" s="20"/>
      <c r="J182" s="20"/>
      <c r="K182" s="21" t="n">
        <f aca="false">H182+I182</f>
        <v>0</v>
      </c>
      <c r="L182" s="20"/>
      <c r="M182" s="21" t="n">
        <f aca="false">H182-L182</f>
        <v>0</v>
      </c>
      <c r="N182" s="23" t="n">
        <f aca="false">IFERROR(M182/B182*10000,0)</f>
        <v>0</v>
      </c>
      <c r="O182" s="20"/>
      <c r="P182" s="20"/>
      <c r="Q182" s="21" t="n">
        <f aca="false">O182+P182</f>
        <v>0</v>
      </c>
      <c r="R182" s="22" t="n">
        <f aca="false">IF(A182&lt;HlpChangeDate,HlpSharePre,HlpSharePost)</f>
        <v>0.03</v>
      </c>
      <c r="S182" s="21" t="n">
        <f aca="false">Q182*R182/(1-R182)</f>
        <v>0</v>
      </c>
      <c r="T182" s="20"/>
      <c r="U182" s="21" t="n">
        <f aca="false">S182-T182</f>
        <v>0</v>
      </c>
      <c r="V182" s="21" t="n">
        <f aca="false">Y182-O182*R182/(1-R182)</f>
        <v>0</v>
      </c>
      <c r="W182" s="21" t="n">
        <f aca="false">Z182-P182*R182/(1-R182)</f>
        <v>0</v>
      </c>
      <c r="X182" s="21" t="n">
        <f aca="false">S182+V182+W182</f>
        <v>0</v>
      </c>
      <c r="Y182" s="20"/>
      <c r="Z182" s="20"/>
      <c r="AA182" s="19" t="n">
        <v>0</v>
      </c>
      <c r="AB182" s="20"/>
      <c r="AC182" s="20"/>
      <c r="AD182" s="24" t="n">
        <f aca="false">IFERROR(AA182/AC182,0)</f>
        <v>0</v>
      </c>
      <c r="AE182" s="25" t="n">
        <f aca="false">K182-Q182-X182</f>
        <v>0</v>
      </c>
      <c r="AF182" s="25" t="n">
        <f aca="false">Q182-AA182</f>
        <v>0</v>
      </c>
      <c r="AG182" s="20"/>
      <c r="AH182" s="26" t="n">
        <f aca="false">IFERROR(AG182/Q182,0)</f>
        <v>0</v>
      </c>
      <c r="AI182" s="27" t="n">
        <v>0</v>
      </c>
      <c r="AJ182" s="26" t="n">
        <f aca="false">IF(AI182&gt;0,AprCoef/SQRT(AI182),0)</f>
        <v>0</v>
      </c>
      <c r="AK182" s="24" t="n">
        <f aca="false">AI182*AJ182/365</f>
        <v>0</v>
      </c>
      <c r="AL182" s="24" t="n">
        <f aca="false">AD182</f>
        <v>0</v>
      </c>
      <c r="AM182" s="24" t="n">
        <f aca="false">AK182-AL182</f>
        <v>0</v>
      </c>
      <c r="AN182" s="28" t="str">
        <f aca="false">IF(A182&gt;=Hip3LaunchDate,"YES","")</f>
        <v/>
      </c>
      <c r="AO182" s="28" t="str">
        <f aca="false">IF(A182&lt;Hip4LaunchDate,"pre-launch","live (zero-fee)")</f>
        <v>pre-launch</v>
      </c>
      <c r="AP182" s="20"/>
      <c r="AQ182" s="20"/>
      <c r="AR182" s="20"/>
    </row>
    <row r="183" customFormat="false" ht="15" hidden="false" customHeight="false" outlineLevel="0" collapsed="false">
      <c r="A183" s="18" t="n">
        <v>45244</v>
      </c>
      <c r="B183" s="19" t="n">
        <v>124288568.77</v>
      </c>
      <c r="C183" s="19" t="n">
        <v>0</v>
      </c>
      <c r="D183" s="20"/>
      <c r="E183" s="21" t="n">
        <f aca="false">B183+C183</f>
        <v>124288568.77</v>
      </c>
      <c r="F183" s="21" t="n">
        <f aca="false">E183+D183</f>
        <v>124288568.77</v>
      </c>
      <c r="G183" s="22" t="n">
        <f aca="false">IFERROR(C183/E183,0)</f>
        <v>0</v>
      </c>
      <c r="H183" s="20"/>
      <c r="I183" s="20"/>
      <c r="J183" s="20"/>
      <c r="K183" s="21" t="n">
        <f aca="false">H183+I183</f>
        <v>0</v>
      </c>
      <c r="L183" s="20"/>
      <c r="M183" s="21" t="n">
        <f aca="false">H183-L183</f>
        <v>0</v>
      </c>
      <c r="N183" s="23" t="n">
        <f aca="false">IFERROR(M183/B183*10000,0)</f>
        <v>0</v>
      </c>
      <c r="O183" s="20"/>
      <c r="P183" s="20"/>
      <c r="Q183" s="21" t="n">
        <f aca="false">O183+P183</f>
        <v>0</v>
      </c>
      <c r="R183" s="22" t="n">
        <f aca="false">IF(A183&lt;HlpChangeDate,HlpSharePre,HlpSharePost)</f>
        <v>0.03</v>
      </c>
      <c r="S183" s="21" t="n">
        <f aca="false">Q183*R183/(1-R183)</f>
        <v>0</v>
      </c>
      <c r="T183" s="20"/>
      <c r="U183" s="21" t="n">
        <f aca="false">S183-T183</f>
        <v>0</v>
      </c>
      <c r="V183" s="21" t="n">
        <f aca="false">Y183-O183*R183/(1-R183)</f>
        <v>0</v>
      </c>
      <c r="W183" s="21" t="n">
        <f aca="false">Z183-P183*R183/(1-R183)</f>
        <v>0</v>
      </c>
      <c r="X183" s="21" t="n">
        <f aca="false">S183+V183+W183</f>
        <v>0</v>
      </c>
      <c r="Y183" s="20"/>
      <c r="Z183" s="20"/>
      <c r="AA183" s="19" t="n">
        <v>0</v>
      </c>
      <c r="AB183" s="20"/>
      <c r="AC183" s="20"/>
      <c r="AD183" s="24" t="n">
        <f aca="false">IFERROR(AA183/AC183,0)</f>
        <v>0</v>
      </c>
      <c r="AE183" s="25" t="n">
        <f aca="false">K183-Q183-X183</f>
        <v>0</v>
      </c>
      <c r="AF183" s="25" t="n">
        <f aca="false">Q183-AA183</f>
        <v>0</v>
      </c>
      <c r="AG183" s="20"/>
      <c r="AH183" s="26" t="n">
        <f aca="false">IFERROR(AG183/Q183,0)</f>
        <v>0</v>
      </c>
      <c r="AI183" s="27" t="n">
        <v>0</v>
      </c>
      <c r="AJ183" s="26" t="n">
        <f aca="false">IF(AI183&gt;0,AprCoef/SQRT(AI183),0)</f>
        <v>0</v>
      </c>
      <c r="AK183" s="24" t="n">
        <f aca="false">AI183*AJ183/365</f>
        <v>0</v>
      </c>
      <c r="AL183" s="24" t="n">
        <f aca="false">AD183</f>
        <v>0</v>
      </c>
      <c r="AM183" s="24" t="n">
        <f aca="false">AK183-AL183</f>
        <v>0</v>
      </c>
      <c r="AN183" s="28" t="str">
        <f aca="false">IF(A183&gt;=Hip3LaunchDate,"YES","")</f>
        <v/>
      </c>
      <c r="AO183" s="28" t="str">
        <f aca="false">IF(A183&lt;Hip4LaunchDate,"pre-launch","live (zero-fee)")</f>
        <v>pre-launch</v>
      </c>
      <c r="AP183" s="20"/>
      <c r="AQ183" s="20"/>
      <c r="AR183" s="20"/>
    </row>
    <row r="184" customFormat="false" ht="15" hidden="false" customHeight="false" outlineLevel="0" collapsed="false">
      <c r="A184" s="18" t="n">
        <v>45245</v>
      </c>
      <c r="B184" s="19" t="n">
        <v>117572100.37</v>
      </c>
      <c r="C184" s="19" t="n">
        <v>0</v>
      </c>
      <c r="D184" s="20"/>
      <c r="E184" s="21" t="n">
        <f aca="false">B184+C184</f>
        <v>117572100.37</v>
      </c>
      <c r="F184" s="21" t="n">
        <f aca="false">E184+D184</f>
        <v>117572100.37</v>
      </c>
      <c r="G184" s="22" t="n">
        <f aca="false">IFERROR(C184/E184,0)</f>
        <v>0</v>
      </c>
      <c r="H184" s="20"/>
      <c r="I184" s="20"/>
      <c r="J184" s="20"/>
      <c r="K184" s="21" t="n">
        <f aca="false">H184+I184</f>
        <v>0</v>
      </c>
      <c r="L184" s="20"/>
      <c r="M184" s="21" t="n">
        <f aca="false">H184-L184</f>
        <v>0</v>
      </c>
      <c r="N184" s="23" t="n">
        <f aca="false">IFERROR(M184/B184*10000,0)</f>
        <v>0</v>
      </c>
      <c r="O184" s="20"/>
      <c r="P184" s="20"/>
      <c r="Q184" s="21" t="n">
        <f aca="false">O184+P184</f>
        <v>0</v>
      </c>
      <c r="R184" s="22" t="n">
        <f aca="false">IF(A184&lt;HlpChangeDate,HlpSharePre,HlpSharePost)</f>
        <v>0.03</v>
      </c>
      <c r="S184" s="21" t="n">
        <f aca="false">Q184*R184/(1-R184)</f>
        <v>0</v>
      </c>
      <c r="T184" s="20"/>
      <c r="U184" s="21" t="n">
        <f aca="false">S184-T184</f>
        <v>0</v>
      </c>
      <c r="V184" s="21" t="n">
        <f aca="false">Y184-O184*R184/(1-R184)</f>
        <v>0</v>
      </c>
      <c r="W184" s="21" t="n">
        <f aca="false">Z184-P184*R184/(1-R184)</f>
        <v>0</v>
      </c>
      <c r="X184" s="21" t="n">
        <f aca="false">S184+V184+W184</f>
        <v>0</v>
      </c>
      <c r="Y184" s="20"/>
      <c r="Z184" s="20"/>
      <c r="AA184" s="19" t="n">
        <v>0</v>
      </c>
      <c r="AB184" s="20"/>
      <c r="AC184" s="20"/>
      <c r="AD184" s="24" t="n">
        <f aca="false">IFERROR(AA184/AC184,0)</f>
        <v>0</v>
      </c>
      <c r="AE184" s="25" t="n">
        <f aca="false">K184-Q184-X184</f>
        <v>0</v>
      </c>
      <c r="AF184" s="25" t="n">
        <f aca="false">Q184-AA184</f>
        <v>0</v>
      </c>
      <c r="AG184" s="20"/>
      <c r="AH184" s="26" t="n">
        <f aca="false">IFERROR(AG184/Q184,0)</f>
        <v>0</v>
      </c>
      <c r="AI184" s="27" t="n">
        <v>0</v>
      </c>
      <c r="AJ184" s="26" t="n">
        <f aca="false">IF(AI184&gt;0,AprCoef/SQRT(AI184),0)</f>
        <v>0</v>
      </c>
      <c r="AK184" s="24" t="n">
        <f aca="false">AI184*AJ184/365</f>
        <v>0</v>
      </c>
      <c r="AL184" s="24" t="n">
        <f aca="false">AD184</f>
        <v>0</v>
      </c>
      <c r="AM184" s="24" t="n">
        <f aca="false">AK184-AL184</f>
        <v>0</v>
      </c>
      <c r="AN184" s="28" t="str">
        <f aca="false">IF(A184&gt;=Hip3LaunchDate,"YES","")</f>
        <v/>
      </c>
      <c r="AO184" s="28" t="str">
        <f aca="false">IF(A184&lt;Hip4LaunchDate,"pre-launch","live (zero-fee)")</f>
        <v>pre-launch</v>
      </c>
      <c r="AP184" s="20"/>
      <c r="AQ184" s="20"/>
      <c r="AR184" s="20"/>
    </row>
    <row r="185" customFormat="false" ht="15" hidden="false" customHeight="false" outlineLevel="0" collapsed="false">
      <c r="A185" s="18" t="n">
        <v>45246</v>
      </c>
      <c r="B185" s="19" t="n">
        <v>161975986.77</v>
      </c>
      <c r="C185" s="19" t="n">
        <v>0</v>
      </c>
      <c r="D185" s="20"/>
      <c r="E185" s="21" t="n">
        <f aca="false">B185+C185</f>
        <v>161975986.77</v>
      </c>
      <c r="F185" s="21" t="n">
        <f aca="false">E185+D185</f>
        <v>161975986.77</v>
      </c>
      <c r="G185" s="22" t="n">
        <f aca="false">IFERROR(C185/E185,0)</f>
        <v>0</v>
      </c>
      <c r="H185" s="20"/>
      <c r="I185" s="20"/>
      <c r="J185" s="20"/>
      <c r="K185" s="21" t="n">
        <f aca="false">H185+I185</f>
        <v>0</v>
      </c>
      <c r="L185" s="20"/>
      <c r="M185" s="21" t="n">
        <f aca="false">H185-L185</f>
        <v>0</v>
      </c>
      <c r="N185" s="23" t="n">
        <f aca="false">IFERROR(M185/B185*10000,0)</f>
        <v>0</v>
      </c>
      <c r="O185" s="20"/>
      <c r="P185" s="20"/>
      <c r="Q185" s="21" t="n">
        <f aca="false">O185+P185</f>
        <v>0</v>
      </c>
      <c r="R185" s="22" t="n">
        <f aca="false">IF(A185&lt;HlpChangeDate,HlpSharePre,HlpSharePost)</f>
        <v>0.03</v>
      </c>
      <c r="S185" s="21" t="n">
        <f aca="false">Q185*R185/(1-R185)</f>
        <v>0</v>
      </c>
      <c r="T185" s="20"/>
      <c r="U185" s="21" t="n">
        <f aca="false">S185-T185</f>
        <v>0</v>
      </c>
      <c r="V185" s="21" t="n">
        <f aca="false">Y185-O185*R185/(1-R185)</f>
        <v>0</v>
      </c>
      <c r="W185" s="21" t="n">
        <f aca="false">Z185-P185*R185/(1-R185)</f>
        <v>0</v>
      </c>
      <c r="X185" s="21" t="n">
        <f aca="false">S185+V185+W185</f>
        <v>0</v>
      </c>
      <c r="Y185" s="20"/>
      <c r="Z185" s="20"/>
      <c r="AA185" s="19" t="n">
        <v>0</v>
      </c>
      <c r="AB185" s="20"/>
      <c r="AC185" s="20"/>
      <c r="AD185" s="24" t="n">
        <f aca="false">IFERROR(AA185/AC185,0)</f>
        <v>0</v>
      </c>
      <c r="AE185" s="25" t="n">
        <f aca="false">K185-Q185-X185</f>
        <v>0</v>
      </c>
      <c r="AF185" s="25" t="n">
        <f aca="false">Q185-AA185</f>
        <v>0</v>
      </c>
      <c r="AG185" s="20"/>
      <c r="AH185" s="26" t="n">
        <f aca="false">IFERROR(AG185/Q185,0)</f>
        <v>0</v>
      </c>
      <c r="AI185" s="27" t="n">
        <v>0</v>
      </c>
      <c r="AJ185" s="26" t="n">
        <f aca="false">IF(AI185&gt;0,AprCoef/SQRT(AI185),0)</f>
        <v>0</v>
      </c>
      <c r="AK185" s="24" t="n">
        <f aca="false">AI185*AJ185/365</f>
        <v>0</v>
      </c>
      <c r="AL185" s="24" t="n">
        <f aca="false">AD185</f>
        <v>0</v>
      </c>
      <c r="AM185" s="24" t="n">
        <f aca="false">AK185-AL185</f>
        <v>0</v>
      </c>
      <c r="AN185" s="28" t="str">
        <f aca="false">IF(A185&gt;=Hip3LaunchDate,"YES","")</f>
        <v/>
      </c>
      <c r="AO185" s="28" t="str">
        <f aca="false">IF(A185&lt;Hip4LaunchDate,"pre-launch","live (zero-fee)")</f>
        <v>pre-launch</v>
      </c>
      <c r="AP185" s="20"/>
      <c r="AQ185" s="20"/>
      <c r="AR185" s="20"/>
    </row>
    <row r="186" customFormat="false" ht="15" hidden="false" customHeight="false" outlineLevel="0" collapsed="false">
      <c r="A186" s="18" t="n">
        <v>45247</v>
      </c>
      <c r="B186" s="19" t="n">
        <v>128840816.35</v>
      </c>
      <c r="C186" s="19" t="n">
        <v>0</v>
      </c>
      <c r="D186" s="20"/>
      <c r="E186" s="21" t="n">
        <f aca="false">B186+C186</f>
        <v>128840816.35</v>
      </c>
      <c r="F186" s="21" t="n">
        <f aca="false">E186+D186</f>
        <v>128840816.35</v>
      </c>
      <c r="G186" s="22" t="n">
        <f aca="false">IFERROR(C186/E186,0)</f>
        <v>0</v>
      </c>
      <c r="H186" s="20"/>
      <c r="I186" s="20"/>
      <c r="J186" s="20"/>
      <c r="K186" s="21" t="n">
        <f aca="false">H186+I186</f>
        <v>0</v>
      </c>
      <c r="L186" s="20"/>
      <c r="M186" s="21" t="n">
        <f aca="false">H186-L186</f>
        <v>0</v>
      </c>
      <c r="N186" s="23" t="n">
        <f aca="false">IFERROR(M186/B186*10000,0)</f>
        <v>0</v>
      </c>
      <c r="O186" s="20"/>
      <c r="P186" s="20"/>
      <c r="Q186" s="21" t="n">
        <f aca="false">O186+P186</f>
        <v>0</v>
      </c>
      <c r="R186" s="22" t="n">
        <f aca="false">IF(A186&lt;HlpChangeDate,HlpSharePre,HlpSharePost)</f>
        <v>0.03</v>
      </c>
      <c r="S186" s="21" t="n">
        <f aca="false">Q186*R186/(1-R186)</f>
        <v>0</v>
      </c>
      <c r="T186" s="20"/>
      <c r="U186" s="21" t="n">
        <f aca="false">S186-T186</f>
        <v>0</v>
      </c>
      <c r="V186" s="21" t="n">
        <f aca="false">Y186-O186*R186/(1-R186)</f>
        <v>0</v>
      </c>
      <c r="W186" s="21" t="n">
        <f aca="false">Z186-P186*R186/(1-R186)</f>
        <v>0</v>
      </c>
      <c r="X186" s="21" t="n">
        <f aca="false">S186+V186+W186</f>
        <v>0</v>
      </c>
      <c r="Y186" s="20"/>
      <c r="Z186" s="20"/>
      <c r="AA186" s="19" t="n">
        <v>0</v>
      </c>
      <c r="AB186" s="20"/>
      <c r="AC186" s="20"/>
      <c r="AD186" s="24" t="n">
        <f aca="false">IFERROR(AA186/AC186,0)</f>
        <v>0</v>
      </c>
      <c r="AE186" s="25" t="n">
        <f aca="false">K186-Q186-X186</f>
        <v>0</v>
      </c>
      <c r="AF186" s="25" t="n">
        <f aca="false">Q186-AA186</f>
        <v>0</v>
      </c>
      <c r="AG186" s="20"/>
      <c r="AH186" s="26" t="n">
        <f aca="false">IFERROR(AG186/Q186,0)</f>
        <v>0</v>
      </c>
      <c r="AI186" s="27" t="n">
        <v>0</v>
      </c>
      <c r="AJ186" s="26" t="n">
        <f aca="false">IF(AI186&gt;0,AprCoef/SQRT(AI186),0)</f>
        <v>0</v>
      </c>
      <c r="AK186" s="24" t="n">
        <f aca="false">AI186*AJ186/365</f>
        <v>0</v>
      </c>
      <c r="AL186" s="24" t="n">
        <f aca="false">AD186</f>
        <v>0</v>
      </c>
      <c r="AM186" s="24" t="n">
        <f aca="false">AK186-AL186</f>
        <v>0</v>
      </c>
      <c r="AN186" s="28" t="str">
        <f aca="false">IF(A186&gt;=Hip3LaunchDate,"YES","")</f>
        <v/>
      </c>
      <c r="AO186" s="28" t="str">
        <f aca="false">IF(A186&lt;Hip4LaunchDate,"pre-launch","live (zero-fee)")</f>
        <v>pre-launch</v>
      </c>
      <c r="AP186" s="20"/>
      <c r="AQ186" s="20"/>
      <c r="AR186" s="20"/>
    </row>
    <row r="187" customFormat="false" ht="15" hidden="false" customHeight="false" outlineLevel="0" collapsed="false">
      <c r="A187" s="18" t="n">
        <v>45248</v>
      </c>
      <c r="B187" s="19" t="n">
        <v>74233353.58</v>
      </c>
      <c r="C187" s="19" t="n">
        <v>0</v>
      </c>
      <c r="D187" s="20"/>
      <c r="E187" s="21" t="n">
        <f aca="false">B187+C187</f>
        <v>74233353.58</v>
      </c>
      <c r="F187" s="21" t="n">
        <f aca="false">E187+D187</f>
        <v>74233353.58</v>
      </c>
      <c r="G187" s="22" t="n">
        <f aca="false">IFERROR(C187/E187,0)</f>
        <v>0</v>
      </c>
      <c r="H187" s="20"/>
      <c r="I187" s="20"/>
      <c r="J187" s="20"/>
      <c r="K187" s="21" t="n">
        <f aca="false">H187+I187</f>
        <v>0</v>
      </c>
      <c r="L187" s="20"/>
      <c r="M187" s="21" t="n">
        <f aca="false">H187-L187</f>
        <v>0</v>
      </c>
      <c r="N187" s="23" t="n">
        <f aca="false">IFERROR(M187/B187*10000,0)</f>
        <v>0</v>
      </c>
      <c r="O187" s="20"/>
      <c r="P187" s="20"/>
      <c r="Q187" s="21" t="n">
        <f aca="false">O187+P187</f>
        <v>0</v>
      </c>
      <c r="R187" s="22" t="n">
        <f aca="false">IF(A187&lt;HlpChangeDate,HlpSharePre,HlpSharePost)</f>
        <v>0.03</v>
      </c>
      <c r="S187" s="21" t="n">
        <f aca="false">Q187*R187/(1-R187)</f>
        <v>0</v>
      </c>
      <c r="T187" s="20"/>
      <c r="U187" s="21" t="n">
        <f aca="false">S187-T187</f>
        <v>0</v>
      </c>
      <c r="V187" s="21" t="n">
        <f aca="false">Y187-O187*R187/(1-R187)</f>
        <v>0</v>
      </c>
      <c r="W187" s="21" t="n">
        <f aca="false">Z187-P187*R187/(1-R187)</f>
        <v>0</v>
      </c>
      <c r="X187" s="21" t="n">
        <f aca="false">S187+V187+W187</f>
        <v>0</v>
      </c>
      <c r="Y187" s="20"/>
      <c r="Z187" s="20"/>
      <c r="AA187" s="19" t="n">
        <v>0</v>
      </c>
      <c r="AB187" s="20"/>
      <c r="AC187" s="20"/>
      <c r="AD187" s="24" t="n">
        <f aca="false">IFERROR(AA187/AC187,0)</f>
        <v>0</v>
      </c>
      <c r="AE187" s="25" t="n">
        <f aca="false">K187-Q187-X187</f>
        <v>0</v>
      </c>
      <c r="AF187" s="25" t="n">
        <f aca="false">Q187-AA187</f>
        <v>0</v>
      </c>
      <c r="AG187" s="20"/>
      <c r="AH187" s="26" t="n">
        <f aca="false">IFERROR(AG187/Q187,0)</f>
        <v>0</v>
      </c>
      <c r="AI187" s="27" t="n">
        <v>0</v>
      </c>
      <c r="AJ187" s="26" t="n">
        <f aca="false">IF(AI187&gt;0,AprCoef/SQRT(AI187),0)</f>
        <v>0</v>
      </c>
      <c r="AK187" s="24" t="n">
        <f aca="false">AI187*AJ187/365</f>
        <v>0</v>
      </c>
      <c r="AL187" s="24" t="n">
        <f aca="false">AD187</f>
        <v>0</v>
      </c>
      <c r="AM187" s="24" t="n">
        <f aca="false">AK187-AL187</f>
        <v>0</v>
      </c>
      <c r="AN187" s="28" t="str">
        <f aca="false">IF(A187&gt;=Hip3LaunchDate,"YES","")</f>
        <v/>
      </c>
      <c r="AO187" s="28" t="str">
        <f aca="false">IF(A187&lt;Hip4LaunchDate,"pre-launch","live (zero-fee)")</f>
        <v>pre-launch</v>
      </c>
      <c r="AP187" s="20"/>
      <c r="AQ187" s="20"/>
      <c r="AR187" s="20"/>
    </row>
    <row r="188" customFormat="false" ht="15" hidden="false" customHeight="false" outlineLevel="0" collapsed="false">
      <c r="A188" s="18" t="n">
        <v>45249</v>
      </c>
      <c r="B188" s="19" t="n">
        <v>78105064.1</v>
      </c>
      <c r="C188" s="19" t="n">
        <v>0</v>
      </c>
      <c r="D188" s="20"/>
      <c r="E188" s="21" t="n">
        <f aca="false">B188+C188</f>
        <v>78105064.1</v>
      </c>
      <c r="F188" s="21" t="n">
        <f aca="false">E188+D188</f>
        <v>78105064.1</v>
      </c>
      <c r="G188" s="22" t="n">
        <f aca="false">IFERROR(C188/E188,0)</f>
        <v>0</v>
      </c>
      <c r="H188" s="20"/>
      <c r="I188" s="20"/>
      <c r="J188" s="20"/>
      <c r="K188" s="21" t="n">
        <f aca="false">H188+I188</f>
        <v>0</v>
      </c>
      <c r="L188" s="20"/>
      <c r="M188" s="21" t="n">
        <f aca="false">H188-L188</f>
        <v>0</v>
      </c>
      <c r="N188" s="23" t="n">
        <f aca="false">IFERROR(M188/B188*10000,0)</f>
        <v>0</v>
      </c>
      <c r="O188" s="20"/>
      <c r="P188" s="20"/>
      <c r="Q188" s="21" t="n">
        <f aca="false">O188+P188</f>
        <v>0</v>
      </c>
      <c r="R188" s="22" t="n">
        <f aca="false">IF(A188&lt;HlpChangeDate,HlpSharePre,HlpSharePost)</f>
        <v>0.03</v>
      </c>
      <c r="S188" s="21" t="n">
        <f aca="false">Q188*R188/(1-R188)</f>
        <v>0</v>
      </c>
      <c r="T188" s="20"/>
      <c r="U188" s="21" t="n">
        <f aca="false">S188-T188</f>
        <v>0</v>
      </c>
      <c r="V188" s="21" t="n">
        <f aca="false">Y188-O188*R188/(1-R188)</f>
        <v>0</v>
      </c>
      <c r="W188" s="21" t="n">
        <f aca="false">Z188-P188*R188/(1-R188)</f>
        <v>0</v>
      </c>
      <c r="X188" s="21" t="n">
        <f aca="false">S188+V188+W188</f>
        <v>0</v>
      </c>
      <c r="Y188" s="20"/>
      <c r="Z188" s="20"/>
      <c r="AA188" s="19" t="n">
        <v>0</v>
      </c>
      <c r="AB188" s="20"/>
      <c r="AC188" s="20"/>
      <c r="AD188" s="24" t="n">
        <f aca="false">IFERROR(AA188/AC188,0)</f>
        <v>0</v>
      </c>
      <c r="AE188" s="25" t="n">
        <f aca="false">K188-Q188-X188</f>
        <v>0</v>
      </c>
      <c r="AF188" s="25" t="n">
        <f aca="false">Q188-AA188</f>
        <v>0</v>
      </c>
      <c r="AG188" s="20"/>
      <c r="AH188" s="26" t="n">
        <f aca="false">IFERROR(AG188/Q188,0)</f>
        <v>0</v>
      </c>
      <c r="AI188" s="27" t="n">
        <v>0</v>
      </c>
      <c r="AJ188" s="26" t="n">
        <f aca="false">IF(AI188&gt;0,AprCoef/SQRT(AI188),0)</f>
        <v>0</v>
      </c>
      <c r="AK188" s="24" t="n">
        <f aca="false">AI188*AJ188/365</f>
        <v>0</v>
      </c>
      <c r="AL188" s="24" t="n">
        <f aca="false">AD188</f>
        <v>0</v>
      </c>
      <c r="AM188" s="24" t="n">
        <f aca="false">AK188-AL188</f>
        <v>0</v>
      </c>
      <c r="AN188" s="28" t="str">
        <f aca="false">IF(A188&gt;=Hip3LaunchDate,"YES","")</f>
        <v/>
      </c>
      <c r="AO188" s="28" t="str">
        <f aca="false">IF(A188&lt;Hip4LaunchDate,"pre-launch","live (zero-fee)")</f>
        <v>pre-launch</v>
      </c>
      <c r="AP188" s="20"/>
      <c r="AQ188" s="20"/>
      <c r="AR188" s="20"/>
    </row>
    <row r="189" customFormat="false" ht="15" hidden="false" customHeight="false" outlineLevel="0" collapsed="false">
      <c r="A189" s="18" t="n">
        <v>45250</v>
      </c>
      <c r="B189" s="19" t="n">
        <v>139628651.28</v>
      </c>
      <c r="C189" s="19" t="n">
        <v>0</v>
      </c>
      <c r="D189" s="20"/>
      <c r="E189" s="21" t="n">
        <f aca="false">B189+C189</f>
        <v>139628651.28</v>
      </c>
      <c r="F189" s="21" t="n">
        <f aca="false">E189+D189</f>
        <v>139628651.28</v>
      </c>
      <c r="G189" s="22" t="n">
        <f aca="false">IFERROR(C189/E189,0)</f>
        <v>0</v>
      </c>
      <c r="H189" s="20"/>
      <c r="I189" s="20"/>
      <c r="J189" s="20"/>
      <c r="K189" s="21" t="n">
        <f aca="false">H189+I189</f>
        <v>0</v>
      </c>
      <c r="L189" s="20"/>
      <c r="M189" s="21" t="n">
        <f aca="false">H189-L189</f>
        <v>0</v>
      </c>
      <c r="N189" s="23" t="n">
        <f aca="false">IFERROR(M189/B189*10000,0)</f>
        <v>0</v>
      </c>
      <c r="O189" s="20"/>
      <c r="P189" s="20"/>
      <c r="Q189" s="21" t="n">
        <f aca="false">O189+P189</f>
        <v>0</v>
      </c>
      <c r="R189" s="22" t="n">
        <f aca="false">IF(A189&lt;HlpChangeDate,HlpSharePre,HlpSharePost)</f>
        <v>0.03</v>
      </c>
      <c r="S189" s="21" t="n">
        <f aca="false">Q189*R189/(1-R189)</f>
        <v>0</v>
      </c>
      <c r="T189" s="20"/>
      <c r="U189" s="21" t="n">
        <f aca="false">S189-T189</f>
        <v>0</v>
      </c>
      <c r="V189" s="21" t="n">
        <f aca="false">Y189-O189*R189/(1-R189)</f>
        <v>0</v>
      </c>
      <c r="W189" s="21" t="n">
        <f aca="false">Z189-P189*R189/(1-R189)</f>
        <v>0</v>
      </c>
      <c r="X189" s="21" t="n">
        <f aca="false">S189+V189+W189</f>
        <v>0</v>
      </c>
      <c r="Y189" s="20"/>
      <c r="Z189" s="20"/>
      <c r="AA189" s="19" t="n">
        <v>0</v>
      </c>
      <c r="AB189" s="20"/>
      <c r="AC189" s="20"/>
      <c r="AD189" s="24" t="n">
        <f aca="false">IFERROR(AA189/AC189,0)</f>
        <v>0</v>
      </c>
      <c r="AE189" s="25" t="n">
        <f aca="false">K189-Q189-X189</f>
        <v>0</v>
      </c>
      <c r="AF189" s="25" t="n">
        <f aca="false">Q189-AA189</f>
        <v>0</v>
      </c>
      <c r="AG189" s="20"/>
      <c r="AH189" s="26" t="n">
        <f aca="false">IFERROR(AG189/Q189,0)</f>
        <v>0</v>
      </c>
      <c r="AI189" s="27" t="n">
        <v>0</v>
      </c>
      <c r="AJ189" s="26" t="n">
        <f aca="false">IF(AI189&gt;0,AprCoef/SQRT(AI189),0)</f>
        <v>0</v>
      </c>
      <c r="AK189" s="24" t="n">
        <f aca="false">AI189*AJ189/365</f>
        <v>0</v>
      </c>
      <c r="AL189" s="24" t="n">
        <f aca="false">AD189</f>
        <v>0</v>
      </c>
      <c r="AM189" s="24" t="n">
        <f aca="false">AK189-AL189</f>
        <v>0</v>
      </c>
      <c r="AN189" s="28" t="str">
        <f aca="false">IF(A189&gt;=Hip3LaunchDate,"YES","")</f>
        <v/>
      </c>
      <c r="AO189" s="28" t="str">
        <f aca="false">IF(A189&lt;Hip4LaunchDate,"pre-launch","live (zero-fee)")</f>
        <v>pre-launch</v>
      </c>
      <c r="AP189" s="20"/>
      <c r="AQ189" s="20"/>
      <c r="AR189" s="20"/>
    </row>
    <row r="190" customFormat="false" ht="15" hidden="false" customHeight="false" outlineLevel="0" collapsed="false">
      <c r="A190" s="18" t="n">
        <v>45251</v>
      </c>
      <c r="B190" s="19" t="n">
        <v>431623690.97</v>
      </c>
      <c r="C190" s="19" t="n">
        <v>0</v>
      </c>
      <c r="D190" s="20"/>
      <c r="E190" s="21" t="n">
        <f aca="false">B190+C190</f>
        <v>431623690.97</v>
      </c>
      <c r="F190" s="21" t="n">
        <f aca="false">E190+D190</f>
        <v>431623690.97</v>
      </c>
      <c r="G190" s="22" t="n">
        <f aca="false">IFERROR(C190/E190,0)</f>
        <v>0</v>
      </c>
      <c r="H190" s="20"/>
      <c r="I190" s="20"/>
      <c r="J190" s="20"/>
      <c r="K190" s="21" t="n">
        <f aca="false">H190+I190</f>
        <v>0</v>
      </c>
      <c r="L190" s="20"/>
      <c r="M190" s="21" t="n">
        <f aca="false">H190-L190</f>
        <v>0</v>
      </c>
      <c r="N190" s="23" t="n">
        <f aca="false">IFERROR(M190/B190*10000,0)</f>
        <v>0</v>
      </c>
      <c r="O190" s="20"/>
      <c r="P190" s="20"/>
      <c r="Q190" s="21" t="n">
        <f aca="false">O190+P190</f>
        <v>0</v>
      </c>
      <c r="R190" s="22" t="n">
        <f aca="false">IF(A190&lt;HlpChangeDate,HlpSharePre,HlpSharePost)</f>
        <v>0.03</v>
      </c>
      <c r="S190" s="21" t="n">
        <f aca="false">Q190*R190/(1-R190)</f>
        <v>0</v>
      </c>
      <c r="T190" s="20"/>
      <c r="U190" s="21" t="n">
        <f aca="false">S190-T190</f>
        <v>0</v>
      </c>
      <c r="V190" s="21" t="n">
        <f aca="false">Y190-O190*R190/(1-R190)</f>
        <v>0</v>
      </c>
      <c r="W190" s="21" t="n">
        <f aca="false">Z190-P190*R190/(1-R190)</f>
        <v>0</v>
      </c>
      <c r="X190" s="21" t="n">
        <f aca="false">S190+V190+W190</f>
        <v>0</v>
      </c>
      <c r="Y190" s="20"/>
      <c r="Z190" s="20"/>
      <c r="AA190" s="19" t="n">
        <v>0</v>
      </c>
      <c r="AB190" s="20"/>
      <c r="AC190" s="20"/>
      <c r="AD190" s="24" t="n">
        <f aca="false">IFERROR(AA190/AC190,0)</f>
        <v>0</v>
      </c>
      <c r="AE190" s="25" t="n">
        <f aca="false">K190-Q190-X190</f>
        <v>0</v>
      </c>
      <c r="AF190" s="25" t="n">
        <f aca="false">Q190-AA190</f>
        <v>0</v>
      </c>
      <c r="AG190" s="20"/>
      <c r="AH190" s="26" t="n">
        <f aca="false">IFERROR(AG190/Q190,0)</f>
        <v>0</v>
      </c>
      <c r="AI190" s="27" t="n">
        <v>0</v>
      </c>
      <c r="AJ190" s="26" t="n">
        <f aca="false">IF(AI190&gt;0,AprCoef/SQRT(AI190),0)</f>
        <v>0</v>
      </c>
      <c r="AK190" s="24" t="n">
        <f aca="false">AI190*AJ190/365</f>
        <v>0</v>
      </c>
      <c r="AL190" s="24" t="n">
        <f aca="false">AD190</f>
        <v>0</v>
      </c>
      <c r="AM190" s="24" t="n">
        <f aca="false">AK190-AL190</f>
        <v>0</v>
      </c>
      <c r="AN190" s="28" t="str">
        <f aca="false">IF(A190&gt;=Hip3LaunchDate,"YES","")</f>
        <v/>
      </c>
      <c r="AO190" s="28" t="str">
        <f aca="false">IF(A190&lt;Hip4LaunchDate,"pre-launch","live (zero-fee)")</f>
        <v>pre-launch</v>
      </c>
      <c r="AP190" s="20"/>
      <c r="AQ190" s="20"/>
      <c r="AR190" s="20"/>
    </row>
    <row r="191" customFormat="false" ht="15" hidden="false" customHeight="false" outlineLevel="0" collapsed="false">
      <c r="A191" s="18" t="n">
        <v>45252</v>
      </c>
      <c r="B191" s="19" t="n">
        <v>137349475.57</v>
      </c>
      <c r="C191" s="19" t="n">
        <v>0</v>
      </c>
      <c r="D191" s="20"/>
      <c r="E191" s="21" t="n">
        <f aca="false">B191+C191</f>
        <v>137349475.57</v>
      </c>
      <c r="F191" s="21" t="n">
        <f aca="false">E191+D191</f>
        <v>137349475.57</v>
      </c>
      <c r="G191" s="22" t="n">
        <f aca="false">IFERROR(C191/E191,0)</f>
        <v>0</v>
      </c>
      <c r="H191" s="20"/>
      <c r="I191" s="20"/>
      <c r="J191" s="20"/>
      <c r="K191" s="21" t="n">
        <f aca="false">H191+I191</f>
        <v>0</v>
      </c>
      <c r="L191" s="20"/>
      <c r="M191" s="21" t="n">
        <f aca="false">H191-L191</f>
        <v>0</v>
      </c>
      <c r="N191" s="23" t="n">
        <f aca="false">IFERROR(M191/B191*10000,0)</f>
        <v>0</v>
      </c>
      <c r="O191" s="20"/>
      <c r="P191" s="20"/>
      <c r="Q191" s="21" t="n">
        <f aca="false">O191+P191</f>
        <v>0</v>
      </c>
      <c r="R191" s="22" t="n">
        <f aca="false">IF(A191&lt;HlpChangeDate,HlpSharePre,HlpSharePost)</f>
        <v>0.03</v>
      </c>
      <c r="S191" s="21" t="n">
        <f aca="false">Q191*R191/(1-R191)</f>
        <v>0</v>
      </c>
      <c r="T191" s="20"/>
      <c r="U191" s="21" t="n">
        <f aca="false">S191-T191</f>
        <v>0</v>
      </c>
      <c r="V191" s="21" t="n">
        <f aca="false">Y191-O191*R191/(1-R191)</f>
        <v>0</v>
      </c>
      <c r="W191" s="21" t="n">
        <f aca="false">Z191-P191*R191/(1-R191)</f>
        <v>0</v>
      </c>
      <c r="X191" s="21" t="n">
        <f aca="false">S191+V191+W191</f>
        <v>0</v>
      </c>
      <c r="Y191" s="20"/>
      <c r="Z191" s="20"/>
      <c r="AA191" s="19" t="n">
        <v>0</v>
      </c>
      <c r="AB191" s="20"/>
      <c r="AC191" s="20"/>
      <c r="AD191" s="24" t="n">
        <f aca="false">IFERROR(AA191/AC191,0)</f>
        <v>0</v>
      </c>
      <c r="AE191" s="25" t="n">
        <f aca="false">K191-Q191-X191</f>
        <v>0</v>
      </c>
      <c r="AF191" s="25" t="n">
        <f aca="false">Q191-AA191</f>
        <v>0</v>
      </c>
      <c r="AG191" s="20"/>
      <c r="AH191" s="26" t="n">
        <f aca="false">IFERROR(AG191/Q191,0)</f>
        <v>0</v>
      </c>
      <c r="AI191" s="27" t="n">
        <v>0</v>
      </c>
      <c r="AJ191" s="26" t="n">
        <f aca="false">IF(AI191&gt;0,AprCoef/SQRT(AI191),0)</f>
        <v>0</v>
      </c>
      <c r="AK191" s="24" t="n">
        <f aca="false">AI191*AJ191/365</f>
        <v>0</v>
      </c>
      <c r="AL191" s="24" t="n">
        <f aca="false">AD191</f>
        <v>0</v>
      </c>
      <c r="AM191" s="24" t="n">
        <f aca="false">AK191-AL191</f>
        <v>0</v>
      </c>
      <c r="AN191" s="28" t="str">
        <f aca="false">IF(A191&gt;=Hip3LaunchDate,"YES","")</f>
        <v/>
      </c>
      <c r="AO191" s="28" t="str">
        <f aca="false">IF(A191&lt;Hip4LaunchDate,"pre-launch","live (zero-fee)")</f>
        <v>pre-launch</v>
      </c>
      <c r="AP191" s="20"/>
      <c r="AQ191" s="20"/>
      <c r="AR191" s="20"/>
    </row>
    <row r="192" customFormat="false" ht="15" hidden="false" customHeight="false" outlineLevel="0" collapsed="false">
      <c r="A192" s="18" t="n">
        <v>45253</v>
      </c>
      <c r="B192" s="19" t="n">
        <v>96407516.61</v>
      </c>
      <c r="C192" s="19" t="n">
        <v>0</v>
      </c>
      <c r="D192" s="20"/>
      <c r="E192" s="21" t="n">
        <f aca="false">B192+C192</f>
        <v>96407516.61</v>
      </c>
      <c r="F192" s="21" t="n">
        <f aca="false">E192+D192</f>
        <v>96407516.61</v>
      </c>
      <c r="G192" s="22" t="n">
        <f aca="false">IFERROR(C192/E192,0)</f>
        <v>0</v>
      </c>
      <c r="H192" s="20"/>
      <c r="I192" s="20"/>
      <c r="J192" s="20"/>
      <c r="K192" s="21" t="n">
        <f aca="false">H192+I192</f>
        <v>0</v>
      </c>
      <c r="L192" s="20"/>
      <c r="M192" s="21" t="n">
        <f aca="false">H192-L192</f>
        <v>0</v>
      </c>
      <c r="N192" s="23" t="n">
        <f aca="false">IFERROR(M192/B192*10000,0)</f>
        <v>0</v>
      </c>
      <c r="O192" s="20"/>
      <c r="P192" s="20"/>
      <c r="Q192" s="21" t="n">
        <f aca="false">O192+P192</f>
        <v>0</v>
      </c>
      <c r="R192" s="22" t="n">
        <f aca="false">IF(A192&lt;HlpChangeDate,HlpSharePre,HlpSharePost)</f>
        <v>0.03</v>
      </c>
      <c r="S192" s="21" t="n">
        <f aca="false">Q192*R192/(1-R192)</f>
        <v>0</v>
      </c>
      <c r="T192" s="20"/>
      <c r="U192" s="21" t="n">
        <f aca="false">S192-T192</f>
        <v>0</v>
      </c>
      <c r="V192" s="21" t="n">
        <f aca="false">Y192-O192*R192/(1-R192)</f>
        <v>0</v>
      </c>
      <c r="W192" s="21" t="n">
        <f aca="false">Z192-P192*R192/(1-R192)</f>
        <v>0</v>
      </c>
      <c r="X192" s="21" t="n">
        <f aca="false">S192+V192+W192</f>
        <v>0</v>
      </c>
      <c r="Y192" s="20"/>
      <c r="Z192" s="20"/>
      <c r="AA192" s="19" t="n">
        <v>0</v>
      </c>
      <c r="AB192" s="20"/>
      <c r="AC192" s="20"/>
      <c r="AD192" s="24" t="n">
        <f aca="false">IFERROR(AA192/AC192,0)</f>
        <v>0</v>
      </c>
      <c r="AE192" s="25" t="n">
        <f aca="false">K192-Q192-X192</f>
        <v>0</v>
      </c>
      <c r="AF192" s="25" t="n">
        <f aca="false">Q192-AA192</f>
        <v>0</v>
      </c>
      <c r="AG192" s="20"/>
      <c r="AH192" s="26" t="n">
        <f aca="false">IFERROR(AG192/Q192,0)</f>
        <v>0</v>
      </c>
      <c r="AI192" s="27" t="n">
        <v>0</v>
      </c>
      <c r="AJ192" s="26" t="n">
        <f aca="false">IF(AI192&gt;0,AprCoef/SQRT(AI192),0)</f>
        <v>0</v>
      </c>
      <c r="AK192" s="24" t="n">
        <f aca="false">AI192*AJ192/365</f>
        <v>0</v>
      </c>
      <c r="AL192" s="24" t="n">
        <f aca="false">AD192</f>
        <v>0</v>
      </c>
      <c r="AM192" s="24" t="n">
        <f aca="false">AK192-AL192</f>
        <v>0</v>
      </c>
      <c r="AN192" s="28" t="str">
        <f aca="false">IF(A192&gt;=Hip3LaunchDate,"YES","")</f>
        <v/>
      </c>
      <c r="AO192" s="28" t="str">
        <f aca="false">IF(A192&lt;Hip4LaunchDate,"pre-launch","live (zero-fee)")</f>
        <v>pre-launch</v>
      </c>
      <c r="AP192" s="20"/>
      <c r="AQ192" s="20"/>
      <c r="AR192" s="20"/>
    </row>
    <row r="193" customFormat="false" ht="15" hidden="false" customHeight="false" outlineLevel="0" collapsed="false">
      <c r="A193" s="18" t="n">
        <v>45254</v>
      </c>
      <c r="B193" s="19" t="n">
        <v>132540165.71</v>
      </c>
      <c r="C193" s="19" t="n">
        <v>0</v>
      </c>
      <c r="D193" s="20"/>
      <c r="E193" s="21" t="n">
        <f aca="false">B193+C193</f>
        <v>132540165.71</v>
      </c>
      <c r="F193" s="21" t="n">
        <f aca="false">E193+D193</f>
        <v>132540165.71</v>
      </c>
      <c r="G193" s="22" t="n">
        <f aca="false">IFERROR(C193/E193,0)</f>
        <v>0</v>
      </c>
      <c r="H193" s="20"/>
      <c r="I193" s="20"/>
      <c r="J193" s="20"/>
      <c r="K193" s="21" t="n">
        <f aca="false">H193+I193</f>
        <v>0</v>
      </c>
      <c r="L193" s="20"/>
      <c r="M193" s="21" t="n">
        <f aca="false">H193-L193</f>
        <v>0</v>
      </c>
      <c r="N193" s="23" t="n">
        <f aca="false">IFERROR(M193/B193*10000,0)</f>
        <v>0</v>
      </c>
      <c r="O193" s="20"/>
      <c r="P193" s="20"/>
      <c r="Q193" s="21" t="n">
        <f aca="false">O193+P193</f>
        <v>0</v>
      </c>
      <c r="R193" s="22" t="n">
        <f aca="false">IF(A193&lt;HlpChangeDate,HlpSharePre,HlpSharePost)</f>
        <v>0.03</v>
      </c>
      <c r="S193" s="21" t="n">
        <f aca="false">Q193*R193/(1-R193)</f>
        <v>0</v>
      </c>
      <c r="T193" s="20"/>
      <c r="U193" s="21" t="n">
        <f aca="false">S193-T193</f>
        <v>0</v>
      </c>
      <c r="V193" s="21" t="n">
        <f aca="false">Y193-O193*R193/(1-R193)</f>
        <v>0</v>
      </c>
      <c r="W193" s="21" t="n">
        <f aca="false">Z193-P193*R193/(1-R193)</f>
        <v>0</v>
      </c>
      <c r="X193" s="21" t="n">
        <f aca="false">S193+V193+W193</f>
        <v>0</v>
      </c>
      <c r="Y193" s="20"/>
      <c r="Z193" s="20"/>
      <c r="AA193" s="19" t="n">
        <v>0</v>
      </c>
      <c r="AB193" s="20"/>
      <c r="AC193" s="20"/>
      <c r="AD193" s="24" t="n">
        <f aca="false">IFERROR(AA193/AC193,0)</f>
        <v>0</v>
      </c>
      <c r="AE193" s="25" t="n">
        <f aca="false">K193-Q193-X193</f>
        <v>0</v>
      </c>
      <c r="AF193" s="25" t="n">
        <f aca="false">Q193-AA193</f>
        <v>0</v>
      </c>
      <c r="AG193" s="20"/>
      <c r="AH193" s="26" t="n">
        <f aca="false">IFERROR(AG193/Q193,0)</f>
        <v>0</v>
      </c>
      <c r="AI193" s="27" t="n">
        <v>0</v>
      </c>
      <c r="AJ193" s="26" t="n">
        <f aca="false">IF(AI193&gt;0,AprCoef/SQRT(AI193),0)</f>
        <v>0</v>
      </c>
      <c r="AK193" s="24" t="n">
        <f aca="false">AI193*AJ193/365</f>
        <v>0</v>
      </c>
      <c r="AL193" s="24" t="n">
        <f aca="false">AD193</f>
        <v>0</v>
      </c>
      <c r="AM193" s="24" t="n">
        <f aca="false">AK193-AL193</f>
        <v>0</v>
      </c>
      <c r="AN193" s="28" t="str">
        <f aca="false">IF(A193&gt;=Hip3LaunchDate,"YES","")</f>
        <v/>
      </c>
      <c r="AO193" s="28" t="str">
        <f aca="false">IF(A193&lt;Hip4LaunchDate,"pre-launch","live (zero-fee)")</f>
        <v>pre-launch</v>
      </c>
      <c r="AP193" s="20"/>
      <c r="AQ193" s="20"/>
      <c r="AR193" s="20"/>
    </row>
    <row r="194" customFormat="false" ht="15" hidden="false" customHeight="false" outlineLevel="0" collapsed="false">
      <c r="A194" s="18" t="n">
        <v>45255</v>
      </c>
      <c r="B194" s="19" t="n">
        <v>83141660.8</v>
      </c>
      <c r="C194" s="19" t="n">
        <v>0</v>
      </c>
      <c r="D194" s="20"/>
      <c r="E194" s="21" t="n">
        <f aca="false">B194+C194</f>
        <v>83141660.8</v>
      </c>
      <c r="F194" s="21" t="n">
        <f aca="false">E194+D194</f>
        <v>83141660.8</v>
      </c>
      <c r="G194" s="22" t="n">
        <f aca="false">IFERROR(C194/E194,0)</f>
        <v>0</v>
      </c>
      <c r="H194" s="20"/>
      <c r="I194" s="20"/>
      <c r="J194" s="20"/>
      <c r="K194" s="21" t="n">
        <f aca="false">H194+I194</f>
        <v>0</v>
      </c>
      <c r="L194" s="20"/>
      <c r="M194" s="21" t="n">
        <f aca="false">H194-L194</f>
        <v>0</v>
      </c>
      <c r="N194" s="23" t="n">
        <f aca="false">IFERROR(M194/B194*10000,0)</f>
        <v>0</v>
      </c>
      <c r="O194" s="20"/>
      <c r="P194" s="20"/>
      <c r="Q194" s="21" t="n">
        <f aca="false">O194+P194</f>
        <v>0</v>
      </c>
      <c r="R194" s="22" t="n">
        <f aca="false">IF(A194&lt;HlpChangeDate,HlpSharePre,HlpSharePost)</f>
        <v>0.03</v>
      </c>
      <c r="S194" s="21" t="n">
        <f aca="false">Q194*R194/(1-R194)</f>
        <v>0</v>
      </c>
      <c r="T194" s="20"/>
      <c r="U194" s="21" t="n">
        <f aca="false">S194-T194</f>
        <v>0</v>
      </c>
      <c r="V194" s="21" t="n">
        <f aca="false">Y194-O194*R194/(1-R194)</f>
        <v>0</v>
      </c>
      <c r="W194" s="21" t="n">
        <f aca="false">Z194-P194*R194/(1-R194)</f>
        <v>0</v>
      </c>
      <c r="X194" s="21" t="n">
        <f aca="false">S194+V194+W194</f>
        <v>0</v>
      </c>
      <c r="Y194" s="20"/>
      <c r="Z194" s="20"/>
      <c r="AA194" s="19" t="n">
        <v>0</v>
      </c>
      <c r="AB194" s="20"/>
      <c r="AC194" s="20"/>
      <c r="AD194" s="24" t="n">
        <f aca="false">IFERROR(AA194/AC194,0)</f>
        <v>0</v>
      </c>
      <c r="AE194" s="25" t="n">
        <f aca="false">K194-Q194-X194</f>
        <v>0</v>
      </c>
      <c r="AF194" s="25" t="n">
        <f aca="false">Q194-AA194</f>
        <v>0</v>
      </c>
      <c r="AG194" s="20"/>
      <c r="AH194" s="26" t="n">
        <f aca="false">IFERROR(AG194/Q194,0)</f>
        <v>0</v>
      </c>
      <c r="AI194" s="27" t="n">
        <v>0</v>
      </c>
      <c r="AJ194" s="26" t="n">
        <f aca="false">IF(AI194&gt;0,AprCoef/SQRT(AI194),0)</f>
        <v>0</v>
      </c>
      <c r="AK194" s="24" t="n">
        <f aca="false">AI194*AJ194/365</f>
        <v>0</v>
      </c>
      <c r="AL194" s="24" t="n">
        <f aca="false">AD194</f>
        <v>0</v>
      </c>
      <c r="AM194" s="24" t="n">
        <f aca="false">AK194-AL194</f>
        <v>0</v>
      </c>
      <c r="AN194" s="28" t="str">
        <f aca="false">IF(A194&gt;=Hip3LaunchDate,"YES","")</f>
        <v/>
      </c>
      <c r="AO194" s="28" t="str">
        <f aca="false">IF(A194&lt;Hip4LaunchDate,"pre-launch","live (zero-fee)")</f>
        <v>pre-launch</v>
      </c>
      <c r="AP194" s="20"/>
      <c r="AQ194" s="20"/>
      <c r="AR194" s="20"/>
    </row>
    <row r="195" customFormat="false" ht="15" hidden="false" customHeight="false" outlineLevel="0" collapsed="false">
      <c r="A195" s="18" t="n">
        <v>45256</v>
      </c>
      <c r="B195" s="19" t="n">
        <v>129484428.04</v>
      </c>
      <c r="C195" s="19" t="n">
        <v>0</v>
      </c>
      <c r="D195" s="20"/>
      <c r="E195" s="21" t="n">
        <f aca="false">B195+C195</f>
        <v>129484428.04</v>
      </c>
      <c r="F195" s="21" t="n">
        <f aca="false">E195+D195</f>
        <v>129484428.04</v>
      </c>
      <c r="G195" s="22" t="n">
        <f aca="false">IFERROR(C195/E195,0)</f>
        <v>0</v>
      </c>
      <c r="H195" s="20"/>
      <c r="I195" s="20"/>
      <c r="J195" s="20"/>
      <c r="K195" s="21" t="n">
        <f aca="false">H195+I195</f>
        <v>0</v>
      </c>
      <c r="L195" s="20"/>
      <c r="M195" s="21" t="n">
        <f aca="false">H195-L195</f>
        <v>0</v>
      </c>
      <c r="N195" s="23" t="n">
        <f aca="false">IFERROR(M195/B195*10000,0)</f>
        <v>0</v>
      </c>
      <c r="O195" s="20"/>
      <c r="P195" s="20"/>
      <c r="Q195" s="21" t="n">
        <f aca="false">O195+P195</f>
        <v>0</v>
      </c>
      <c r="R195" s="22" t="n">
        <f aca="false">IF(A195&lt;HlpChangeDate,HlpSharePre,HlpSharePost)</f>
        <v>0.03</v>
      </c>
      <c r="S195" s="21" t="n">
        <f aca="false">Q195*R195/(1-R195)</f>
        <v>0</v>
      </c>
      <c r="T195" s="20"/>
      <c r="U195" s="21" t="n">
        <f aca="false">S195-T195</f>
        <v>0</v>
      </c>
      <c r="V195" s="21" t="n">
        <f aca="false">Y195-O195*R195/(1-R195)</f>
        <v>0</v>
      </c>
      <c r="W195" s="21" t="n">
        <f aca="false">Z195-P195*R195/(1-R195)</f>
        <v>0</v>
      </c>
      <c r="X195" s="21" t="n">
        <f aca="false">S195+V195+W195</f>
        <v>0</v>
      </c>
      <c r="Y195" s="20"/>
      <c r="Z195" s="20"/>
      <c r="AA195" s="19" t="n">
        <v>0</v>
      </c>
      <c r="AB195" s="20"/>
      <c r="AC195" s="20"/>
      <c r="AD195" s="24" t="n">
        <f aca="false">IFERROR(AA195/AC195,0)</f>
        <v>0</v>
      </c>
      <c r="AE195" s="25" t="n">
        <f aca="false">K195-Q195-X195</f>
        <v>0</v>
      </c>
      <c r="AF195" s="25" t="n">
        <f aca="false">Q195-AA195</f>
        <v>0</v>
      </c>
      <c r="AG195" s="20"/>
      <c r="AH195" s="26" t="n">
        <f aca="false">IFERROR(AG195/Q195,0)</f>
        <v>0</v>
      </c>
      <c r="AI195" s="27" t="n">
        <v>0</v>
      </c>
      <c r="AJ195" s="26" t="n">
        <f aca="false">IF(AI195&gt;0,AprCoef/SQRT(AI195),0)</f>
        <v>0</v>
      </c>
      <c r="AK195" s="24" t="n">
        <f aca="false">AI195*AJ195/365</f>
        <v>0</v>
      </c>
      <c r="AL195" s="24" t="n">
        <f aca="false">AD195</f>
        <v>0</v>
      </c>
      <c r="AM195" s="24" t="n">
        <f aca="false">AK195-AL195</f>
        <v>0</v>
      </c>
      <c r="AN195" s="28" t="str">
        <f aca="false">IF(A195&gt;=Hip3LaunchDate,"YES","")</f>
        <v/>
      </c>
      <c r="AO195" s="28" t="str">
        <f aca="false">IF(A195&lt;Hip4LaunchDate,"pre-launch","live (zero-fee)")</f>
        <v>pre-launch</v>
      </c>
      <c r="AP195" s="20"/>
      <c r="AQ195" s="20"/>
      <c r="AR195" s="20"/>
    </row>
    <row r="196" customFormat="false" ht="15" hidden="false" customHeight="false" outlineLevel="0" collapsed="false">
      <c r="A196" s="18" t="n">
        <v>45257</v>
      </c>
      <c r="B196" s="19" t="n">
        <v>126816249.5</v>
      </c>
      <c r="C196" s="19" t="n">
        <v>0</v>
      </c>
      <c r="D196" s="20"/>
      <c r="E196" s="21" t="n">
        <f aca="false">B196+C196</f>
        <v>126816249.5</v>
      </c>
      <c r="F196" s="21" t="n">
        <f aca="false">E196+D196</f>
        <v>126816249.5</v>
      </c>
      <c r="G196" s="22" t="n">
        <f aca="false">IFERROR(C196/E196,0)</f>
        <v>0</v>
      </c>
      <c r="H196" s="20"/>
      <c r="I196" s="20"/>
      <c r="J196" s="20"/>
      <c r="K196" s="21" t="n">
        <f aca="false">H196+I196</f>
        <v>0</v>
      </c>
      <c r="L196" s="20"/>
      <c r="M196" s="21" t="n">
        <f aca="false">H196-L196</f>
        <v>0</v>
      </c>
      <c r="N196" s="23" t="n">
        <f aca="false">IFERROR(M196/B196*10000,0)</f>
        <v>0</v>
      </c>
      <c r="O196" s="20"/>
      <c r="P196" s="20"/>
      <c r="Q196" s="21" t="n">
        <f aca="false">O196+P196</f>
        <v>0</v>
      </c>
      <c r="R196" s="22" t="n">
        <f aca="false">IF(A196&lt;HlpChangeDate,HlpSharePre,HlpSharePost)</f>
        <v>0.03</v>
      </c>
      <c r="S196" s="21" t="n">
        <f aca="false">Q196*R196/(1-R196)</f>
        <v>0</v>
      </c>
      <c r="T196" s="20"/>
      <c r="U196" s="21" t="n">
        <f aca="false">S196-T196</f>
        <v>0</v>
      </c>
      <c r="V196" s="21" t="n">
        <f aca="false">Y196-O196*R196/(1-R196)</f>
        <v>0</v>
      </c>
      <c r="W196" s="21" t="n">
        <f aca="false">Z196-P196*R196/(1-R196)</f>
        <v>0</v>
      </c>
      <c r="X196" s="21" t="n">
        <f aca="false">S196+V196+W196</f>
        <v>0</v>
      </c>
      <c r="Y196" s="20"/>
      <c r="Z196" s="20"/>
      <c r="AA196" s="19" t="n">
        <v>0</v>
      </c>
      <c r="AB196" s="20"/>
      <c r="AC196" s="20"/>
      <c r="AD196" s="24" t="n">
        <f aca="false">IFERROR(AA196/AC196,0)</f>
        <v>0</v>
      </c>
      <c r="AE196" s="25" t="n">
        <f aca="false">K196-Q196-X196</f>
        <v>0</v>
      </c>
      <c r="AF196" s="25" t="n">
        <f aca="false">Q196-AA196</f>
        <v>0</v>
      </c>
      <c r="AG196" s="20"/>
      <c r="AH196" s="26" t="n">
        <f aca="false">IFERROR(AG196/Q196,0)</f>
        <v>0</v>
      </c>
      <c r="AI196" s="27" t="n">
        <v>0</v>
      </c>
      <c r="AJ196" s="26" t="n">
        <f aca="false">IF(AI196&gt;0,AprCoef/SQRT(AI196),0)</f>
        <v>0</v>
      </c>
      <c r="AK196" s="24" t="n">
        <f aca="false">AI196*AJ196/365</f>
        <v>0</v>
      </c>
      <c r="AL196" s="24" t="n">
        <f aca="false">AD196</f>
        <v>0</v>
      </c>
      <c r="AM196" s="24" t="n">
        <f aca="false">AK196-AL196</f>
        <v>0</v>
      </c>
      <c r="AN196" s="28" t="str">
        <f aca="false">IF(A196&gt;=Hip3LaunchDate,"YES","")</f>
        <v/>
      </c>
      <c r="AO196" s="28" t="str">
        <f aca="false">IF(A196&lt;Hip4LaunchDate,"pre-launch","live (zero-fee)")</f>
        <v>pre-launch</v>
      </c>
      <c r="AP196" s="20"/>
      <c r="AQ196" s="20"/>
      <c r="AR196" s="20"/>
    </row>
    <row r="197" customFormat="false" ht="15" hidden="false" customHeight="false" outlineLevel="0" collapsed="false">
      <c r="A197" s="18" t="n">
        <v>45258</v>
      </c>
      <c r="B197" s="19" t="n">
        <v>130827558.27</v>
      </c>
      <c r="C197" s="19" t="n">
        <v>0</v>
      </c>
      <c r="D197" s="20"/>
      <c r="E197" s="21" t="n">
        <f aca="false">B197+C197</f>
        <v>130827558.27</v>
      </c>
      <c r="F197" s="21" t="n">
        <f aca="false">E197+D197</f>
        <v>130827558.27</v>
      </c>
      <c r="G197" s="22" t="n">
        <f aca="false">IFERROR(C197/E197,0)</f>
        <v>0</v>
      </c>
      <c r="H197" s="20"/>
      <c r="I197" s="20"/>
      <c r="J197" s="20"/>
      <c r="K197" s="21" t="n">
        <f aca="false">H197+I197</f>
        <v>0</v>
      </c>
      <c r="L197" s="20"/>
      <c r="M197" s="21" t="n">
        <f aca="false">H197-L197</f>
        <v>0</v>
      </c>
      <c r="N197" s="23" t="n">
        <f aca="false">IFERROR(M197/B197*10000,0)</f>
        <v>0</v>
      </c>
      <c r="O197" s="20"/>
      <c r="P197" s="20"/>
      <c r="Q197" s="21" t="n">
        <f aca="false">O197+P197</f>
        <v>0</v>
      </c>
      <c r="R197" s="22" t="n">
        <f aca="false">IF(A197&lt;HlpChangeDate,HlpSharePre,HlpSharePost)</f>
        <v>0.03</v>
      </c>
      <c r="S197" s="21" t="n">
        <f aca="false">Q197*R197/(1-R197)</f>
        <v>0</v>
      </c>
      <c r="T197" s="20"/>
      <c r="U197" s="21" t="n">
        <f aca="false">S197-T197</f>
        <v>0</v>
      </c>
      <c r="V197" s="21" t="n">
        <f aca="false">Y197-O197*R197/(1-R197)</f>
        <v>0</v>
      </c>
      <c r="W197" s="21" t="n">
        <f aca="false">Z197-P197*R197/(1-R197)</f>
        <v>0</v>
      </c>
      <c r="X197" s="21" t="n">
        <f aca="false">S197+V197+W197</f>
        <v>0</v>
      </c>
      <c r="Y197" s="20"/>
      <c r="Z197" s="20"/>
      <c r="AA197" s="19" t="n">
        <v>0</v>
      </c>
      <c r="AB197" s="20"/>
      <c r="AC197" s="20"/>
      <c r="AD197" s="24" t="n">
        <f aca="false">IFERROR(AA197/AC197,0)</f>
        <v>0</v>
      </c>
      <c r="AE197" s="25" t="n">
        <f aca="false">K197-Q197-X197</f>
        <v>0</v>
      </c>
      <c r="AF197" s="25" t="n">
        <f aca="false">Q197-AA197</f>
        <v>0</v>
      </c>
      <c r="AG197" s="20"/>
      <c r="AH197" s="26" t="n">
        <f aca="false">IFERROR(AG197/Q197,0)</f>
        <v>0</v>
      </c>
      <c r="AI197" s="27" t="n">
        <v>0</v>
      </c>
      <c r="AJ197" s="26" t="n">
        <f aca="false">IF(AI197&gt;0,AprCoef/SQRT(AI197),0)</f>
        <v>0</v>
      </c>
      <c r="AK197" s="24" t="n">
        <f aca="false">AI197*AJ197/365</f>
        <v>0</v>
      </c>
      <c r="AL197" s="24" t="n">
        <f aca="false">AD197</f>
        <v>0</v>
      </c>
      <c r="AM197" s="24" t="n">
        <f aca="false">AK197-AL197</f>
        <v>0</v>
      </c>
      <c r="AN197" s="28" t="str">
        <f aca="false">IF(A197&gt;=Hip3LaunchDate,"YES","")</f>
        <v/>
      </c>
      <c r="AO197" s="28" t="str">
        <f aca="false">IF(A197&lt;Hip4LaunchDate,"pre-launch","live (zero-fee)")</f>
        <v>pre-launch</v>
      </c>
      <c r="AP197" s="20"/>
      <c r="AQ197" s="20"/>
      <c r="AR197" s="20"/>
    </row>
    <row r="198" customFormat="false" ht="15" hidden="false" customHeight="false" outlineLevel="0" collapsed="false">
      <c r="A198" s="18" t="n">
        <v>45259</v>
      </c>
      <c r="B198" s="19" t="n">
        <v>114768775.52</v>
      </c>
      <c r="C198" s="19" t="n">
        <v>0</v>
      </c>
      <c r="D198" s="20"/>
      <c r="E198" s="21" t="n">
        <f aca="false">B198+C198</f>
        <v>114768775.52</v>
      </c>
      <c r="F198" s="21" t="n">
        <f aca="false">E198+D198</f>
        <v>114768775.52</v>
      </c>
      <c r="G198" s="22" t="n">
        <f aca="false">IFERROR(C198/E198,0)</f>
        <v>0</v>
      </c>
      <c r="H198" s="20"/>
      <c r="I198" s="20"/>
      <c r="J198" s="20"/>
      <c r="K198" s="21" t="n">
        <f aca="false">H198+I198</f>
        <v>0</v>
      </c>
      <c r="L198" s="20"/>
      <c r="M198" s="21" t="n">
        <f aca="false">H198-L198</f>
        <v>0</v>
      </c>
      <c r="N198" s="23" t="n">
        <f aca="false">IFERROR(M198/B198*10000,0)</f>
        <v>0</v>
      </c>
      <c r="O198" s="20"/>
      <c r="P198" s="20"/>
      <c r="Q198" s="21" t="n">
        <f aca="false">O198+P198</f>
        <v>0</v>
      </c>
      <c r="R198" s="22" t="n">
        <f aca="false">IF(A198&lt;HlpChangeDate,HlpSharePre,HlpSharePost)</f>
        <v>0.03</v>
      </c>
      <c r="S198" s="21" t="n">
        <f aca="false">Q198*R198/(1-R198)</f>
        <v>0</v>
      </c>
      <c r="T198" s="20"/>
      <c r="U198" s="21" t="n">
        <f aca="false">S198-T198</f>
        <v>0</v>
      </c>
      <c r="V198" s="21" t="n">
        <f aca="false">Y198-O198*R198/(1-R198)</f>
        <v>0</v>
      </c>
      <c r="W198" s="21" t="n">
        <f aca="false">Z198-P198*R198/(1-R198)</f>
        <v>0</v>
      </c>
      <c r="X198" s="21" t="n">
        <f aca="false">S198+V198+W198</f>
        <v>0</v>
      </c>
      <c r="Y198" s="20"/>
      <c r="Z198" s="20"/>
      <c r="AA198" s="19" t="n">
        <v>0</v>
      </c>
      <c r="AB198" s="20"/>
      <c r="AC198" s="20"/>
      <c r="AD198" s="24" t="n">
        <f aca="false">IFERROR(AA198/AC198,0)</f>
        <v>0</v>
      </c>
      <c r="AE198" s="25" t="n">
        <f aca="false">K198-Q198-X198</f>
        <v>0</v>
      </c>
      <c r="AF198" s="25" t="n">
        <f aca="false">Q198-AA198</f>
        <v>0</v>
      </c>
      <c r="AG198" s="20"/>
      <c r="AH198" s="26" t="n">
        <f aca="false">IFERROR(AG198/Q198,0)</f>
        <v>0</v>
      </c>
      <c r="AI198" s="27" t="n">
        <v>0</v>
      </c>
      <c r="AJ198" s="26" t="n">
        <f aca="false">IF(AI198&gt;0,AprCoef/SQRT(AI198),0)</f>
        <v>0</v>
      </c>
      <c r="AK198" s="24" t="n">
        <f aca="false">AI198*AJ198/365</f>
        <v>0</v>
      </c>
      <c r="AL198" s="24" t="n">
        <f aca="false">AD198</f>
        <v>0</v>
      </c>
      <c r="AM198" s="24" t="n">
        <f aca="false">AK198-AL198</f>
        <v>0</v>
      </c>
      <c r="AN198" s="28" t="str">
        <f aca="false">IF(A198&gt;=Hip3LaunchDate,"YES","")</f>
        <v/>
      </c>
      <c r="AO198" s="28" t="str">
        <f aca="false">IF(A198&lt;Hip4LaunchDate,"pre-launch","live (zero-fee)")</f>
        <v>pre-launch</v>
      </c>
      <c r="AP198" s="20"/>
      <c r="AQ198" s="20"/>
      <c r="AR198" s="20"/>
    </row>
    <row r="199" customFormat="false" ht="15" hidden="false" customHeight="false" outlineLevel="0" collapsed="false">
      <c r="A199" s="18" t="n">
        <v>45260</v>
      </c>
      <c r="B199" s="19" t="n">
        <v>106269237.57</v>
      </c>
      <c r="C199" s="19" t="n">
        <v>0</v>
      </c>
      <c r="D199" s="20"/>
      <c r="E199" s="21" t="n">
        <f aca="false">B199+C199</f>
        <v>106269237.57</v>
      </c>
      <c r="F199" s="21" t="n">
        <f aca="false">E199+D199</f>
        <v>106269237.57</v>
      </c>
      <c r="G199" s="22" t="n">
        <f aca="false">IFERROR(C199/E199,0)</f>
        <v>0</v>
      </c>
      <c r="H199" s="20"/>
      <c r="I199" s="20"/>
      <c r="J199" s="20"/>
      <c r="K199" s="21" t="n">
        <f aca="false">H199+I199</f>
        <v>0</v>
      </c>
      <c r="L199" s="20"/>
      <c r="M199" s="21" t="n">
        <f aca="false">H199-L199</f>
        <v>0</v>
      </c>
      <c r="N199" s="23" t="n">
        <f aca="false">IFERROR(M199/B199*10000,0)</f>
        <v>0</v>
      </c>
      <c r="O199" s="20"/>
      <c r="P199" s="20"/>
      <c r="Q199" s="21" t="n">
        <f aca="false">O199+P199</f>
        <v>0</v>
      </c>
      <c r="R199" s="22" t="n">
        <f aca="false">IF(A199&lt;HlpChangeDate,HlpSharePre,HlpSharePost)</f>
        <v>0.03</v>
      </c>
      <c r="S199" s="21" t="n">
        <f aca="false">Q199*R199/(1-R199)</f>
        <v>0</v>
      </c>
      <c r="T199" s="20"/>
      <c r="U199" s="21" t="n">
        <f aca="false">S199-T199</f>
        <v>0</v>
      </c>
      <c r="V199" s="21" t="n">
        <f aca="false">Y199-O199*R199/(1-R199)</f>
        <v>0</v>
      </c>
      <c r="W199" s="21" t="n">
        <f aca="false">Z199-P199*R199/(1-R199)</f>
        <v>0</v>
      </c>
      <c r="X199" s="21" t="n">
        <f aca="false">S199+V199+W199</f>
        <v>0</v>
      </c>
      <c r="Y199" s="20"/>
      <c r="Z199" s="20"/>
      <c r="AA199" s="19" t="n">
        <v>0</v>
      </c>
      <c r="AB199" s="20"/>
      <c r="AC199" s="20"/>
      <c r="AD199" s="24" t="n">
        <f aca="false">IFERROR(AA199/AC199,0)</f>
        <v>0</v>
      </c>
      <c r="AE199" s="25" t="n">
        <f aca="false">K199-Q199-X199</f>
        <v>0</v>
      </c>
      <c r="AF199" s="25" t="n">
        <f aca="false">Q199-AA199</f>
        <v>0</v>
      </c>
      <c r="AG199" s="20"/>
      <c r="AH199" s="26" t="n">
        <f aca="false">IFERROR(AG199/Q199,0)</f>
        <v>0</v>
      </c>
      <c r="AI199" s="27" t="n">
        <v>0</v>
      </c>
      <c r="AJ199" s="26" t="n">
        <f aca="false">IF(AI199&gt;0,AprCoef/SQRT(AI199),0)</f>
        <v>0</v>
      </c>
      <c r="AK199" s="24" t="n">
        <f aca="false">AI199*AJ199/365</f>
        <v>0</v>
      </c>
      <c r="AL199" s="24" t="n">
        <f aca="false">AD199</f>
        <v>0</v>
      </c>
      <c r="AM199" s="24" t="n">
        <f aca="false">AK199-AL199</f>
        <v>0</v>
      </c>
      <c r="AN199" s="28" t="str">
        <f aca="false">IF(A199&gt;=Hip3LaunchDate,"YES","")</f>
        <v/>
      </c>
      <c r="AO199" s="28" t="str">
        <f aca="false">IF(A199&lt;Hip4LaunchDate,"pre-launch","live (zero-fee)")</f>
        <v>pre-launch</v>
      </c>
      <c r="AP199" s="20"/>
      <c r="AQ199" s="20"/>
      <c r="AR199" s="20"/>
    </row>
    <row r="200" customFormat="false" ht="15" hidden="false" customHeight="false" outlineLevel="0" collapsed="false">
      <c r="A200" s="18" t="n">
        <v>45261</v>
      </c>
      <c r="B200" s="19" t="n">
        <v>143317195.67</v>
      </c>
      <c r="C200" s="19" t="n">
        <v>0</v>
      </c>
      <c r="D200" s="20"/>
      <c r="E200" s="21" t="n">
        <f aca="false">B200+C200</f>
        <v>143317195.67</v>
      </c>
      <c r="F200" s="21" t="n">
        <f aca="false">E200+D200</f>
        <v>143317195.67</v>
      </c>
      <c r="G200" s="22" t="n">
        <f aca="false">IFERROR(C200/E200,0)</f>
        <v>0</v>
      </c>
      <c r="H200" s="20"/>
      <c r="I200" s="20"/>
      <c r="J200" s="20"/>
      <c r="K200" s="21" t="n">
        <f aca="false">H200+I200</f>
        <v>0</v>
      </c>
      <c r="L200" s="20"/>
      <c r="M200" s="21" t="n">
        <f aca="false">H200-L200</f>
        <v>0</v>
      </c>
      <c r="N200" s="23" t="n">
        <f aca="false">IFERROR(M200/B200*10000,0)</f>
        <v>0</v>
      </c>
      <c r="O200" s="20"/>
      <c r="P200" s="20"/>
      <c r="Q200" s="21" t="n">
        <f aca="false">O200+P200</f>
        <v>0</v>
      </c>
      <c r="R200" s="22" t="n">
        <f aca="false">IF(A200&lt;HlpChangeDate,HlpSharePre,HlpSharePost)</f>
        <v>0.03</v>
      </c>
      <c r="S200" s="21" t="n">
        <f aca="false">Q200*R200/(1-R200)</f>
        <v>0</v>
      </c>
      <c r="T200" s="20"/>
      <c r="U200" s="21" t="n">
        <f aca="false">S200-T200</f>
        <v>0</v>
      </c>
      <c r="V200" s="21" t="n">
        <f aca="false">Y200-O200*R200/(1-R200)</f>
        <v>0</v>
      </c>
      <c r="W200" s="21" t="n">
        <f aca="false">Z200-P200*R200/(1-R200)</f>
        <v>0</v>
      </c>
      <c r="X200" s="21" t="n">
        <f aca="false">S200+V200+W200</f>
        <v>0</v>
      </c>
      <c r="Y200" s="20"/>
      <c r="Z200" s="20"/>
      <c r="AA200" s="19" t="n">
        <v>0</v>
      </c>
      <c r="AB200" s="20"/>
      <c r="AC200" s="20"/>
      <c r="AD200" s="24" t="n">
        <f aca="false">IFERROR(AA200/AC200,0)</f>
        <v>0</v>
      </c>
      <c r="AE200" s="25" t="n">
        <f aca="false">K200-Q200-X200</f>
        <v>0</v>
      </c>
      <c r="AF200" s="25" t="n">
        <f aca="false">Q200-AA200</f>
        <v>0</v>
      </c>
      <c r="AG200" s="20"/>
      <c r="AH200" s="26" t="n">
        <f aca="false">IFERROR(AG200/Q200,0)</f>
        <v>0</v>
      </c>
      <c r="AI200" s="27" t="n">
        <v>0</v>
      </c>
      <c r="AJ200" s="26" t="n">
        <f aca="false">IF(AI200&gt;0,AprCoef/SQRT(AI200),0)</f>
        <v>0</v>
      </c>
      <c r="AK200" s="24" t="n">
        <f aca="false">AI200*AJ200/365</f>
        <v>0</v>
      </c>
      <c r="AL200" s="24" t="n">
        <f aca="false">AD200</f>
        <v>0</v>
      </c>
      <c r="AM200" s="24" t="n">
        <f aca="false">AK200-AL200</f>
        <v>0</v>
      </c>
      <c r="AN200" s="28" t="str">
        <f aca="false">IF(A200&gt;=Hip3LaunchDate,"YES","")</f>
        <v/>
      </c>
      <c r="AO200" s="28" t="str">
        <f aca="false">IF(A200&lt;Hip4LaunchDate,"pre-launch","live (zero-fee)")</f>
        <v>pre-launch</v>
      </c>
      <c r="AP200" s="20"/>
      <c r="AQ200" s="20"/>
      <c r="AR200" s="20"/>
    </row>
    <row r="201" customFormat="false" ht="15" hidden="false" customHeight="false" outlineLevel="0" collapsed="false">
      <c r="A201" s="18" t="n">
        <v>45262</v>
      </c>
      <c r="B201" s="19" t="n">
        <v>203606540.77</v>
      </c>
      <c r="C201" s="19" t="n">
        <v>0</v>
      </c>
      <c r="D201" s="20"/>
      <c r="E201" s="21" t="n">
        <f aca="false">B201+C201</f>
        <v>203606540.77</v>
      </c>
      <c r="F201" s="21" t="n">
        <f aca="false">E201+D201</f>
        <v>203606540.77</v>
      </c>
      <c r="G201" s="22" t="n">
        <f aca="false">IFERROR(C201/E201,0)</f>
        <v>0</v>
      </c>
      <c r="H201" s="20"/>
      <c r="I201" s="20"/>
      <c r="J201" s="20"/>
      <c r="K201" s="21" t="n">
        <f aca="false">H201+I201</f>
        <v>0</v>
      </c>
      <c r="L201" s="20"/>
      <c r="M201" s="21" t="n">
        <f aca="false">H201-L201</f>
        <v>0</v>
      </c>
      <c r="N201" s="23" t="n">
        <f aca="false">IFERROR(M201/B201*10000,0)</f>
        <v>0</v>
      </c>
      <c r="O201" s="20"/>
      <c r="P201" s="20"/>
      <c r="Q201" s="21" t="n">
        <f aca="false">O201+P201</f>
        <v>0</v>
      </c>
      <c r="R201" s="22" t="n">
        <f aca="false">IF(A201&lt;HlpChangeDate,HlpSharePre,HlpSharePost)</f>
        <v>0.03</v>
      </c>
      <c r="S201" s="21" t="n">
        <f aca="false">Q201*R201/(1-R201)</f>
        <v>0</v>
      </c>
      <c r="T201" s="20"/>
      <c r="U201" s="21" t="n">
        <f aca="false">S201-T201</f>
        <v>0</v>
      </c>
      <c r="V201" s="21" t="n">
        <f aca="false">Y201-O201*R201/(1-R201)</f>
        <v>0</v>
      </c>
      <c r="W201" s="21" t="n">
        <f aca="false">Z201-P201*R201/(1-R201)</f>
        <v>0</v>
      </c>
      <c r="X201" s="21" t="n">
        <f aca="false">S201+V201+W201</f>
        <v>0</v>
      </c>
      <c r="Y201" s="20"/>
      <c r="Z201" s="20"/>
      <c r="AA201" s="19" t="n">
        <v>0</v>
      </c>
      <c r="AB201" s="20"/>
      <c r="AC201" s="20"/>
      <c r="AD201" s="24" t="n">
        <f aca="false">IFERROR(AA201/AC201,0)</f>
        <v>0</v>
      </c>
      <c r="AE201" s="25" t="n">
        <f aca="false">K201-Q201-X201</f>
        <v>0</v>
      </c>
      <c r="AF201" s="25" t="n">
        <f aca="false">Q201-AA201</f>
        <v>0</v>
      </c>
      <c r="AG201" s="20"/>
      <c r="AH201" s="26" t="n">
        <f aca="false">IFERROR(AG201/Q201,0)</f>
        <v>0</v>
      </c>
      <c r="AI201" s="27" t="n">
        <v>0</v>
      </c>
      <c r="AJ201" s="26" t="n">
        <f aca="false">IF(AI201&gt;0,AprCoef/SQRT(AI201),0)</f>
        <v>0</v>
      </c>
      <c r="AK201" s="24" t="n">
        <f aca="false">AI201*AJ201/365</f>
        <v>0</v>
      </c>
      <c r="AL201" s="24" t="n">
        <f aca="false">AD201</f>
        <v>0</v>
      </c>
      <c r="AM201" s="24" t="n">
        <f aca="false">AK201-AL201</f>
        <v>0</v>
      </c>
      <c r="AN201" s="28" t="str">
        <f aca="false">IF(A201&gt;=Hip3LaunchDate,"YES","")</f>
        <v/>
      </c>
      <c r="AO201" s="28" t="str">
        <f aca="false">IF(A201&lt;Hip4LaunchDate,"pre-launch","live (zero-fee)")</f>
        <v>pre-launch</v>
      </c>
      <c r="AP201" s="20"/>
      <c r="AQ201" s="20"/>
      <c r="AR201" s="20"/>
    </row>
    <row r="202" customFormat="false" ht="15" hidden="false" customHeight="false" outlineLevel="0" collapsed="false">
      <c r="A202" s="18" t="n">
        <v>45263</v>
      </c>
      <c r="B202" s="19" t="n">
        <v>219698560.42</v>
      </c>
      <c r="C202" s="19" t="n">
        <v>0</v>
      </c>
      <c r="D202" s="20"/>
      <c r="E202" s="21" t="n">
        <f aca="false">B202+C202</f>
        <v>219698560.42</v>
      </c>
      <c r="F202" s="21" t="n">
        <f aca="false">E202+D202</f>
        <v>219698560.42</v>
      </c>
      <c r="G202" s="22" t="n">
        <f aca="false">IFERROR(C202/E202,0)</f>
        <v>0</v>
      </c>
      <c r="H202" s="20"/>
      <c r="I202" s="20"/>
      <c r="J202" s="20"/>
      <c r="K202" s="21" t="n">
        <f aca="false">H202+I202</f>
        <v>0</v>
      </c>
      <c r="L202" s="20"/>
      <c r="M202" s="21" t="n">
        <f aca="false">H202-L202</f>
        <v>0</v>
      </c>
      <c r="N202" s="23" t="n">
        <f aca="false">IFERROR(M202/B202*10000,0)</f>
        <v>0</v>
      </c>
      <c r="O202" s="20"/>
      <c r="P202" s="20"/>
      <c r="Q202" s="21" t="n">
        <f aca="false">O202+P202</f>
        <v>0</v>
      </c>
      <c r="R202" s="22" t="n">
        <f aca="false">IF(A202&lt;HlpChangeDate,HlpSharePre,HlpSharePost)</f>
        <v>0.03</v>
      </c>
      <c r="S202" s="21" t="n">
        <f aca="false">Q202*R202/(1-R202)</f>
        <v>0</v>
      </c>
      <c r="T202" s="20"/>
      <c r="U202" s="21" t="n">
        <f aca="false">S202-T202</f>
        <v>0</v>
      </c>
      <c r="V202" s="21" t="n">
        <f aca="false">Y202-O202*R202/(1-R202)</f>
        <v>0</v>
      </c>
      <c r="W202" s="21" t="n">
        <f aca="false">Z202-P202*R202/(1-R202)</f>
        <v>0</v>
      </c>
      <c r="X202" s="21" t="n">
        <f aca="false">S202+V202+W202</f>
        <v>0</v>
      </c>
      <c r="Y202" s="20"/>
      <c r="Z202" s="20"/>
      <c r="AA202" s="19" t="n">
        <v>0</v>
      </c>
      <c r="AB202" s="20"/>
      <c r="AC202" s="20"/>
      <c r="AD202" s="24" t="n">
        <f aca="false">IFERROR(AA202/AC202,0)</f>
        <v>0</v>
      </c>
      <c r="AE202" s="25" t="n">
        <f aca="false">K202-Q202-X202</f>
        <v>0</v>
      </c>
      <c r="AF202" s="25" t="n">
        <f aca="false">Q202-AA202</f>
        <v>0</v>
      </c>
      <c r="AG202" s="20"/>
      <c r="AH202" s="26" t="n">
        <f aca="false">IFERROR(AG202/Q202,0)</f>
        <v>0</v>
      </c>
      <c r="AI202" s="27" t="n">
        <v>0</v>
      </c>
      <c r="AJ202" s="26" t="n">
        <f aca="false">IF(AI202&gt;0,AprCoef/SQRT(AI202),0)</f>
        <v>0</v>
      </c>
      <c r="AK202" s="24" t="n">
        <f aca="false">AI202*AJ202/365</f>
        <v>0</v>
      </c>
      <c r="AL202" s="24" t="n">
        <f aca="false">AD202</f>
        <v>0</v>
      </c>
      <c r="AM202" s="24" t="n">
        <f aca="false">AK202-AL202</f>
        <v>0</v>
      </c>
      <c r="AN202" s="28" t="str">
        <f aca="false">IF(A202&gt;=Hip3LaunchDate,"YES","")</f>
        <v/>
      </c>
      <c r="AO202" s="28" t="str">
        <f aca="false">IF(A202&lt;Hip4LaunchDate,"pre-launch","live (zero-fee)")</f>
        <v>pre-launch</v>
      </c>
      <c r="AP202" s="20"/>
      <c r="AQ202" s="20"/>
      <c r="AR202" s="20"/>
    </row>
    <row r="203" customFormat="false" ht="15" hidden="false" customHeight="false" outlineLevel="0" collapsed="false">
      <c r="A203" s="18" t="n">
        <v>45264</v>
      </c>
      <c r="B203" s="19" t="n">
        <v>391276417.79</v>
      </c>
      <c r="C203" s="19" t="n">
        <v>0</v>
      </c>
      <c r="D203" s="20"/>
      <c r="E203" s="21" t="n">
        <f aca="false">B203+C203</f>
        <v>391276417.79</v>
      </c>
      <c r="F203" s="21" t="n">
        <f aca="false">E203+D203</f>
        <v>391276417.79</v>
      </c>
      <c r="G203" s="22" t="n">
        <f aca="false">IFERROR(C203/E203,0)</f>
        <v>0</v>
      </c>
      <c r="H203" s="20"/>
      <c r="I203" s="20"/>
      <c r="J203" s="20"/>
      <c r="K203" s="21" t="n">
        <f aca="false">H203+I203</f>
        <v>0</v>
      </c>
      <c r="L203" s="20"/>
      <c r="M203" s="21" t="n">
        <f aca="false">H203-L203</f>
        <v>0</v>
      </c>
      <c r="N203" s="23" t="n">
        <f aca="false">IFERROR(M203/B203*10000,0)</f>
        <v>0</v>
      </c>
      <c r="O203" s="20"/>
      <c r="P203" s="20"/>
      <c r="Q203" s="21" t="n">
        <f aca="false">O203+P203</f>
        <v>0</v>
      </c>
      <c r="R203" s="22" t="n">
        <f aca="false">IF(A203&lt;HlpChangeDate,HlpSharePre,HlpSharePost)</f>
        <v>0.03</v>
      </c>
      <c r="S203" s="21" t="n">
        <f aca="false">Q203*R203/(1-R203)</f>
        <v>0</v>
      </c>
      <c r="T203" s="20"/>
      <c r="U203" s="21" t="n">
        <f aca="false">S203-T203</f>
        <v>0</v>
      </c>
      <c r="V203" s="21" t="n">
        <f aca="false">Y203-O203*R203/(1-R203)</f>
        <v>0</v>
      </c>
      <c r="W203" s="21" t="n">
        <f aca="false">Z203-P203*R203/(1-R203)</f>
        <v>0</v>
      </c>
      <c r="X203" s="21" t="n">
        <f aca="false">S203+V203+W203</f>
        <v>0</v>
      </c>
      <c r="Y203" s="20"/>
      <c r="Z203" s="20"/>
      <c r="AA203" s="19" t="n">
        <v>0</v>
      </c>
      <c r="AB203" s="20"/>
      <c r="AC203" s="20"/>
      <c r="AD203" s="24" t="n">
        <f aca="false">IFERROR(AA203/AC203,0)</f>
        <v>0</v>
      </c>
      <c r="AE203" s="25" t="n">
        <f aca="false">K203-Q203-X203</f>
        <v>0</v>
      </c>
      <c r="AF203" s="25" t="n">
        <f aca="false">Q203-AA203</f>
        <v>0</v>
      </c>
      <c r="AG203" s="20"/>
      <c r="AH203" s="26" t="n">
        <f aca="false">IFERROR(AG203/Q203,0)</f>
        <v>0</v>
      </c>
      <c r="AI203" s="27" t="n">
        <v>0</v>
      </c>
      <c r="AJ203" s="26" t="n">
        <f aca="false">IF(AI203&gt;0,AprCoef/SQRT(AI203),0)</f>
        <v>0</v>
      </c>
      <c r="AK203" s="24" t="n">
        <f aca="false">AI203*AJ203/365</f>
        <v>0</v>
      </c>
      <c r="AL203" s="24" t="n">
        <f aca="false">AD203</f>
        <v>0</v>
      </c>
      <c r="AM203" s="24" t="n">
        <f aca="false">AK203-AL203</f>
        <v>0</v>
      </c>
      <c r="AN203" s="28" t="str">
        <f aca="false">IF(A203&gt;=Hip3LaunchDate,"YES","")</f>
        <v/>
      </c>
      <c r="AO203" s="28" t="str">
        <f aca="false">IF(A203&lt;Hip4LaunchDate,"pre-launch","live (zero-fee)")</f>
        <v>pre-launch</v>
      </c>
      <c r="AP203" s="20"/>
      <c r="AQ203" s="20"/>
      <c r="AR203" s="20"/>
    </row>
    <row r="204" customFormat="false" ht="15" hidden="false" customHeight="false" outlineLevel="0" collapsed="false">
      <c r="A204" s="18" t="n">
        <v>45265</v>
      </c>
      <c r="B204" s="19" t="n">
        <v>364237787.23</v>
      </c>
      <c r="C204" s="19" t="n">
        <v>0</v>
      </c>
      <c r="D204" s="20"/>
      <c r="E204" s="21" t="n">
        <f aca="false">B204+C204</f>
        <v>364237787.23</v>
      </c>
      <c r="F204" s="21" t="n">
        <f aca="false">E204+D204</f>
        <v>364237787.23</v>
      </c>
      <c r="G204" s="22" t="n">
        <f aca="false">IFERROR(C204/E204,0)</f>
        <v>0</v>
      </c>
      <c r="H204" s="20"/>
      <c r="I204" s="20"/>
      <c r="J204" s="20"/>
      <c r="K204" s="21" t="n">
        <f aca="false">H204+I204</f>
        <v>0</v>
      </c>
      <c r="L204" s="20"/>
      <c r="M204" s="21" t="n">
        <f aca="false">H204-L204</f>
        <v>0</v>
      </c>
      <c r="N204" s="23" t="n">
        <f aca="false">IFERROR(M204/B204*10000,0)</f>
        <v>0</v>
      </c>
      <c r="O204" s="20"/>
      <c r="P204" s="20"/>
      <c r="Q204" s="21" t="n">
        <f aca="false">O204+P204</f>
        <v>0</v>
      </c>
      <c r="R204" s="22" t="n">
        <f aca="false">IF(A204&lt;HlpChangeDate,HlpSharePre,HlpSharePost)</f>
        <v>0.03</v>
      </c>
      <c r="S204" s="21" t="n">
        <f aca="false">Q204*R204/(1-R204)</f>
        <v>0</v>
      </c>
      <c r="T204" s="20"/>
      <c r="U204" s="21" t="n">
        <f aca="false">S204-T204</f>
        <v>0</v>
      </c>
      <c r="V204" s="21" t="n">
        <f aca="false">Y204-O204*R204/(1-R204)</f>
        <v>0</v>
      </c>
      <c r="W204" s="21" t="n">
        <f aca="false">Z204-P204*R204/(1-R204)</f>
        <v>0</v>
      </c>
      <c r="X204" s="21" t="n">
        <f aca="false">S204+V204+W204</f>
        <v>0</v>
      </c>
      <c r="Y204" s="20"/>
      <c r="Z204" s="20"/>
      <c r="AA204" s="19" t="n">
        <v>0</v>
      </c>
      <c r="AB204" s="20"/>
      <c r="AC204" s="20"/>
      <c r="AD204" s="24" t="n">
        <f aca="false">IFERROR(AA204/AC204,0)</f>
        <v>0</v>
      </c>
      <c r="AE204" s="25" t="n">
        <f aca="false">K204-Q204-X204</f>
        <v>0</v>
      </c>
      <c r="AF204" s="25" t="n">
        <f aca="false">Q204-AA204</f>
        <v>0</v>
      </c>
      <c r="AG204" s="20"/>
      <c r="AH204" s="26" t="n">
        <f aca="false">IFERROR(AG204/Q204,0)</f>
        <v>0</v>
      </c>
      <c r="AI204" s="27" t="n">
        <v>0</v>
      </c>
      <c r="AJ204" s="26" t="n">
        <f aca="false">IF(AI204&gt;0,AprCoef/SQRT(AI204),0)</f>
        <v>0</v>
      </c>
      <c r="AK204" s="24" t="n">
        <f aca="false">AI204*AJ204/365</f>
        <v>0</v>
      </c>
      <c r="AL204" s="24" t="n">
        <f aca="false">AD204</f>
        <v>0</v>
      </c>
      <c r="AM204" s="24" t="n">
        <f aca="false">AK204-AL204</f>
        <v>0</v>
      </c>
      <c r="AN204" s="28" t="str">
        <f aca="false">IF(A204&gt;=Hip3LaunchDate,"YES","")</f>
        <v/>
      </c>
      <c r="AO204" s="28" t="str">
        <f aca="false">IF(A204&lt;Hip4LaunchDate,"pre-launch","live (zero-fee)")</f>
        <v>pre-launch</v>
      </c>
      <c r="AP204" s="20"/>
      <c r="AQ204" s="20"/>
      <c r="AR204" s="20"/>
    </row>
    <row r="205" customFormat="false" ht="15" hidden="false" customHeight="false" outlineLevel="0" collapsed="false">
      <c r="A205" s="18" t="n">
        <v>45266</v>
      </c>
      <c r="B205" s="19" t="n">
        <v>357723524.69</v>
      </c>
      <c r="C205" s="19" t="n">
        <v>0</v>
      </c>
      <c r="D205" s="20"/>
      <c r="E205" s="21" t="n">
        <f aca="false">B205+C205</f>
        <v>357723524.69</v>
      </c>
      <c r="F205" s="21" t="n">
        <f aca="false">E205+D205</f>
        <v>357723524.69</v>
      </c>
      <c r="G205" s="22" t="n">
        <f aca="false">IFERROR(C205/E205,0)</f>
        <v>0</v>
      </c>
      <c r="H205" s="20"/>
      <c r="I205" s="20"/>
      <c r="J205" s="20"/>
      <c r="K205" s="21" t="n">
        <f aca="false">H205+I205</f>
        <v>0</v>
      </c>
      <c r="L205" s="20"/>
      <c r="M205" s="21" t="n">
        <f aca="false">H205-L205</f>
        <v>0</v>
      </c>
      <c r="N205" s="23" t="n">
        <f aca="false">IFERROR(M205/B205*10000,0)</f>
        <v>0</v>
      </c>
      <c r="O205" s="20"/>
      <c r="P205" s="20"/>
      <c r="Q205" s="21" t="n">
        <f aca="false">O205+P205</f>
        <v>0</v>
      </c>
      <c r="R205" s="22" t="n">
        <f aca="false">IF(A205&lt;HlpChangeDate,HlpSharePre,HlpSharePost)</f>
        <v>0.03</v>
      </c>
      <c r="S205" s="21" t="n">
        <f aca="false">Q205*R205/(1-R205)</f>
        <v>0</v>
      </c>
      <c r="T205" s="20"/>
      <c r="U205" s="21" t="n">
        <f aca="false">S205-T205</f>
        <v>0</v>
      </c>
      <c r="V205" s="21" t="n">
        <f aca="false">Y205-O205*R205/(1-R205)</f>
        <v>0</v>
      </c>
      <c r="W205" s="21" t="n">
        <f aca="false">Z205-P205*R205/(1-R205)</f>
        <v>0</v>
      </c>
      <c r="X205" s="21" t="n">
        <f aca="false">S205+V205+W205</f>
        <v>0</v>
      </c>
      <c r="Y205" s="20"/>
      <c r="Z205" s="20"/>
      <c r="AA205" s="19" t="n">
        <v>0</v>
      </c>
      <c r="AB205" s="20"/>
      <c r="AC205" s="20"/>
      <c r="AD205" s="24" t="n">
        <f aca="false">IFERROR(AA205/AC205,0)</f>
        <v>0</v>
      </c>
      <c r="AE205" s="25" t="n">
        <f aca="false">K205-Q205-X205</f>
        <v>0</v>
      </c>
      <c r="AF205" s="25" t="n">
        <f aca="false">Q205-AA205</f>
        <v>0</v>
      </c>
      <c r="AG205" s="20"/>
      <c r="AH205" s="26" t="n">
        <f aca="false">IFERROR(AG205/Q205,0)</f>
        <v>0</v>
      </c>
      <c r="AI205" s="27" t="n">
        <v>0</v>
      </c>
      <c r="AJ205" s="26" t="n">
        <f aca="false">IF(AI205&gt;0,AprCoef/SQRT(AI205),0)</f>
        <v>0</v>
      </c>
      <c r="AK205" s="24" t="n">
        <f aca="false">AI205*AJ205/365</f>
        <v>0</v>
      </c>
      <c r="AL205" s="24" t="n">
        <f aca="false">AD205</f>
        <v>0</v>
      </c>
      <c r="AM205" s="24" t="n">
        <f aca="false">AK205-AL205</f>
        <v>0</v>
      </c>
      <c r="AN205" s="28" t="str">
        <f aca="false">IF(A205&gt;=Hip3LaunchDate,"YES","")</f>
        <v/>
      </c>
      <c r="AO205" s="28" t="str">
        <f aca="false">IF(A205&lt;Hip4LaunchDate,"pre-launch","live (zero-fee)")</f>
        <v>pre-launch</v>
      </c>
      <c r="AP205" s="20"/>
      <c r="AQ205" s="20"/>
      <c r="AR205" s="20"/>
    </row>
    <row r="206" customFormat="false" ht="15" hidden="false" customHeight="false" outlineLevel="0" collapsed="false">
      <c r="A206" s="18" t="n">
        <v>45267</v>
      </c>
      <c r="B206" s="19" t="n">
        <v>366405352.41</v>
      </c>
      <c r="C206" s="19" t="n">
        <v>0</v>
      </c>
      <c r="D206" s="20"/>
      <c r="E206" s="21" t="n">
        <f aca="false">B206+C206</f>
        <v>366405352.41</v>
      </c>
      <c r="F206" s="21" t="n">
        <f aca="false">E206+D206</f>
        <v>366405352.41</v>
      </c>
      <c r="G206" s="22" t="n">
        <f aca="false">IFERROR(C206/E206,0)</f>
        <v>0</v>
      </c>
      <c r="H206" s="20"/>
      <c r="I206" s="20"/>
      <c r="J206" s="20"/>
      <c r="K206" s="21" t="n">
        <f aca="false">H206+I206</f>
        <v>0</v>
      </c>
      <c r="L206" s="20"/>
      <c r="M206" s="21" t="n">
        <f aca="false">H206-L206</f>
        <v>0</v>
      </c>
      <c r="N206" s="23" t="n">
        <f aca="false">IFERROR(M206/B206*10000,0)</f>
        <v>0</v>
      </c>
      <c r="O206" s="20"/>
      <c r="P206" s="20"/>
      <c r="Q206" s="21" t="n">
        <f aca="false">O206+P206</f>
        <v>0</v>
      </c>
      <c r="R206" s="22" t="n">
        <f aca="false">IF(A206&lt;HlpChangeDate,HlpSharePre,HlpSharePost)</f>
        <v>0.03</v>
      </c>
      <c r="S206" s="21" t="n">
        <f aca="false">Q206*R206/(1-R206)</f>
        <v>0</v>
      </c>
      <c r="T206" s="20"/>
      <c r="U206" s="21" t="n">
        <f aca="false">S206-T206</f>
        <v>0</v>
      </c>
      <c r="V206" s="21" t="n">
        <f aca="false">Y206-O206*R206/(1-R206)</f>
        <v>0</v>
      </c>
      <c r="W206" s="21" t="n">
        <f aca="false">Z206-P206*R206/(1-R206)</f>
        <v>0</v>
      </c>
      <c r="X206" s="21" t="n">
        <f aca="false">S206+V206+W206</f>
        <v>0</v>
      </c>
      <c r="Y206" s="20"/>
      <c r="Z206" s="20"/>
      <c r="AA206" s="19" t="n">
        <v>0</v>
      </c>
      <c r="AB206" s="20"/>
      <c r="AC206" s="20"/>
      <c r="AD206" s="24" t="n">
        <f aca="false">IFERROR(AA206/AC206,0)</f>
        <v>0</v>
      </c>
      <c r="AE206" s="25" t="n">
        <f aca="false">K206-Q206-X206</f>
        <v>0</v>
      </c>
      <c r="AF206" s="25" t="n">
        <f aca="false">Q206-AA206</f>
        <v>0</v>
      </c>
      <c r="AG206" s="20"/>
      <c r="AH206" s="26" t="n">
        <f aca="false">IFERROR(AG206/Q206,0)</f>
        <v>0</v>
      </c>
      <c r="AI206" s="27" t="n">
        <v>0</v>
      </c>
      <c r="AJ206" s="26" t="n">
        <f aca="false">IF(AI206&gt;0,AprCoef/SQRT(AI206),0)</f>
        <v>0</v>
      </c>
      <c r="AK206" s="24" t="n">
        <f aca="false">AI206*AJ206/365</f>
        <v>0</v>
      </c>
      <c r="AL206" s="24" t="n">
        <f aca="false">AD206</f>
        <v>0</v>
      </c>
      <c r="AM206" s="24" t="n">
        <f aca="false">AK206-AL206</f>
        <v>0</v>
      </c>
      <c r="AN206" s="28" t="str">
        <f aca="false">IF(A206&gt;=Hip3LaunchDate,"YES","")</f>
        <v/>
      </c>
      <c r="AO206" s="28" t="str">
        <f aca="false">IF(A206&lt;Hip4LaunchDate,"pre-launch","live (zero-fee)")</f>
        <v>pre-launch</v>
      </c>
      <c r="AP206" s="20"/>
      <c r="AQ206" s="20"/>
      <c r="AR206" s="20"/>
    </row>
    <row r="207" customFormat="false" ht="15" hidden="false" customHeight="false" outlineLevel="0" collapsed="false">
      <c r="A207" s="18" t="n">
        <v>45268</v>
      </c>
      <c r="B207" s="19" t="n">
        <v>276904561.44</v>
      </c>
      <c r="C207" s="19" t="n">
        <v>0</v>
      </c>
      <c r="D207" s="20"/>
      <c r="E207" s="21" t="n">
        <f aca="false">B207+C207</f>
        <v>276904561.44</v>
      </c>
      <c r="F207" s="21" t="n">
        <f aca="false">E207+D207</f>
        <v>276904561.44</v>
      </c>
      <c r="G207" s="22" t="n">
        <f aca="false">IFERROR(C207/E207,0)</f>
        <v>0</v>
      </c>
      <c r="H207" s="20"/>
      <c r="I207" s="20"/>
      <c r="J207" s="20"/>
      <c r="K207" s="21" t="n">
        <f aca="false">H207+I207</f>
        <v>0</v>
      </c>
      <c r="L207" s="20"/>
      <c r="M207" s="21" t="n">
        <f aca="false">H207-L207</f>
        <v>0</v>
      </c>
      <c r="N207" s="23" t="n">
        <f aca="false">IFERROR(M207/B207*10000,0)</f>
        <v>0</v>
      </c>
      <c r="O207" s="20"/>
      <c r="P207" s="20"/>
      <c r="Q207" s="21" t="n">
        <f aca="false">O207+P207</f>
        <v>0</v>
      </c>
      <c r="R207" s="22" t="n">
        <f aca="false">IF(A207&lt;HlpChangeDate,HlpSharePre,HlpSharePost)</f>
        <v>0.03</v>
      </c>
      <c r="S207" s="21" t="n">
        <f aca="false">Q207*R207/(1-R207)</f>
        <v>0</v>
      </c>
      <c r="T207" s="20"/>
      <c r="U207" s="21" t="n">
        <f aca="false">S207-T207</f>
        <v>0</v>
      </c>
      <c r="V207" s="21" t="n">
        <f aca="false">Y207-O207*R207/(1-R207)</f>
        <v>0</v>
      </c>
      <c r="W207" s="21" t="n">
        <f aca="false">Z207-P207*R207/(1-R207)</f>
        <v>0</v>
      </c>
      <c r="X207" s="21" t="n">
        <f aca="false">S207+V207+W207</f>
        <v>0</v>
      </c>
      <c r="Y207" s="20"/>
      <c r="Z207" s="20"/>
      <c r="AA207" s="19" t="n">
        <v>0</v>
      </c>
      <c r="AB207" s="20"/>
      <c r="AC207" s="20"/>
      <c r="AD207" s="24" t="n">
        <f aca="false">IFERROR(AA207/AC207,0)</f>
        <v>0</v>
      </c>
      <c r="AE207" s="25" t="n">
        <f aca="false">K207-Q207-X207</f>
        <v>0</v>
      </c>
      <c r="AF207" s="25" t="n">
        <f aca="false">Q207-AA207</f>
        <v>0</v>
      </c>
      <c r="AG207" s="20"/>
      <c r="AH207" s="26" t="n">
        <f aca="false">IFERROR(AG207/Q207,0)</f>
        <v>0</v>
      </c>
      <c r="AI207" s="27" t="n">
        <v>0</v>
      </c>
      <c r="AJ207" s="26" t="n">
        <f aca="false">IF(AI207&gt;0,AprCoef/SQRT(AI207),0)</f>
        <v>0</v>
      </c>
      <c r="AK207" s="24" t="n">
        <f aca="false">AI207*AJ207/365</f>
        <v>0</v>
      </c>
      <c r="AL207" s="24" t="n">
        <f aca="false">AD207</f>
        <v>0</v>
      </c>
      <c r="AM207" s="24" t="n">
        <f aca="false">AK207-AL207</f>
        <v>0</v>
      </c>
      <c r="AN207" s="28" t="str">
        <f aca="false">IF(A207&gt;=Hip3LaunchDate,"YES","")</f>
        <v/>
      </c>
      <c r="AO207" s="28" t="str">
        <f aca="false">IF(A207&lt;Hip4LaunchDate,"pre-launch","live (zero-fee)")</f>
        <v>pre-launch</v>
      </c>
      <c r="AP207" s="20"/>
      <c r="AQ207" s="20"/>
      <c r="AR207" s="20"/>
    </row>
    <row r="208" customFormat="false" ht="15" hidden="false" customHeight="false" outlineLevel="0" collapsed="false">
      <c r="A208" s="18" t="n">
        <v>45269</v>
      </c>
      <c r="B208" s="19" t="n">
        <v>420426305.3</v>
      </c>
      <c r="C208" s="19" t="n">
        <v>0</v>
      </c>
      <c r="D208" s="20"/>
      <c r="E208" s="21" t="n">
        <f aca="false">B208+C208</f>
        <v>420426305.3</v>
      </c>
      <c r="F208" s="21" t="n">
        <f aca="false">E208+D208</f>
        <v>420426305.3</v>
      </c>
      <c r="G208" s="22" t="n">
        <f aca="false">IFERROR(C208/E208,0)</f>
        <v>0</v>
      </c>
      <c r="H208" s="20"/>
      <c r="I208" s="20"/>
      <c r="J208" s="20"/>
      <c r="K208" s="21" t="n">
        <f aca="false">H208+I208</f>
        <v>0</v>
      </c>
      <c r="L208" s="20"/>
      <c r="M208" s="21" t="n">
        <f aca="false">H208-L208</f>
        <v>0</v>
      </c>
      <c r="N208" s="23" t="n">
        <f aca="false">IFERROR(M208/B208*10000,0)</f>
        <v>0</v>
      </c>
      <c r="O208" s="20"/>
      <c r="P208" s="20"/>
      <c r="Q208" s="21" t="n">
        <f aca="false">O208+P208</f>
        <v>0</v>
      </c>
      <c r="R208" s="22" t="n">
        <f aca="false">IF(A208&lt;HlpChangeDate,HlpSharePre,HlpSharePost)</f>
        <v>0.03</v>
      </c>
      <c r="S208" s="21" t="n">
        <f aca="false">Q208*R208/(1-R208)</f>
        <v>0</v>
      </c>
      <c r="T208" s="20"/>
      <c r="U208" s="21" t="n">
        <f aca="false">S208-T208</f>
        <v>0</v>
      </c>
      <c r="V208" s="21" t="n">
        <f aca="false">Y208-O208*R208/(1-R208)</f>
        <v>0</v>
      </c>
      <c r="W208" s="21" t="n">
        <f aca="false">Z208-P208*R208/(1-R208)</f>
        <v>0</v>
      </c>
      <c r="X208" s="21" t="n">
        <f aca="false">S208+V208+W208</f>
        <v>0</v>
      </c>
      <c r="Y208" s="20"/>
      <c r="Z208" s="20"/>
      <c r="AA208" s="19" t="n">
        <v>0</v>
      </c>
      <c r="AB208" s="20"/>
      <c r="AC208" s="20"/>
      <c r="AD208" s="24" t="n">
        <f aca="false">IFERROR(AA208/AC208,0)</f>
        <v>0</v>
      </c>
      <c r="AE208" s="25" t="n">
        <f aca="false">K208-Q208-X208</f>
        <v>0</v>
      </c>
      <c r="AF208" s="25" t="n">
        <f aca="false">Q208-AA208</f>
        <v>0</v>
      </c>
      <c r="AG208" s="20"/>
      <c r="AH208" s="26" t="n">
        <f aca="false">IFERROR(AG208/Q208,0)</f>
        <v>0</v>
      </c>
      <c r="AI208" s="27" t="n">
        <v>0</v>
      </c>
      <c r="AJ208" s="26" t="n">
        <f aca="false">IF(AI208&gt;0,AprCoef/SQRT(AI208),0)</f>
        <v>0</v>
      </c>
      <c r="AK208" s="24" t="n">
        <f aca="false">AI208*AJ208/365</f>
        <v>0</v>
      </c>
      <c r="AL208" s="24" t="n">
        <f aca="false">AD208</f>
        <v>0</v>
      </c>
      <c r="AM208" s="24" t="n">
        <f aca="false">AK208-AL208</f>
        <v>0</v>
      </c>
      <c r="AN208" s="28" t="str">
        <f aca="false">IF(A208&gt;=Hip3LaunchDate,"YES","")</f>
        <v/>
      </c>
      <c r="AO208" s="28" t="str">
        <f aca="false">IF(A208&lt;Hip4LaunchDate,"pre-launch","live (zero-fee)")</f>
        <v>pre-launch</v>
      </c>
      <c r="AP208" s="20"/>
      <c r="AQ208" s="20"/>
      <c r="AR208" s="20"/>
    </row>
    <row r="209" customFormat="false" ht="15" hidden="false" customHeight="false" outlineLevel="0" collapsed="false">
      <c r="A209" s="18" t="n">
        <v>45270</v>
      </c>
      <c r="B209" s="19" t="n">
        <v>225304526.35</v>
      </c>
      <c r="C209" s="19" t="n">
        <v>0</v>
      </c>
      <c r="D209" s="20"/>
      <c r="E209" s="21" t="n">
        <f aca="false">B209+C209</f>
        <v>225304526.35</v>
      </c>
      <c r="F209" s="21" t="n">
        <f aca="false">E209+D209</f>
        <v>225304526.35</v>
      </c>
      <c r="G209" s="22" t="n">
        <f aca="false">IFERROR(C209/E209,0)</f>
        <v>0</v>
      </c>
      <c r="H209" s="20"/>
      <c r="I209" s="20"/>
      <c r="J209" s="20"/>
      <c r="K209" s="21" t="n">
        <f aca="false">H209+I209</f>
        <v>0</v>
      </c>
      <c r="L209" s="20"/>
      <c r="M209" s="21" t="n">
        <f aca="false">H209-L209</f>
        <v>0</v>
      </c>
      <c r="N209" s="23" t="n">
        <f aca="false">IFERROR(M209/B209*10000,0)</f>
        <v>0</v>
      </c>
      <c r="O209" s="20"/>
      <c r="P209" s="20"/>
      <c r="Q209" s="21" t="n">
        <f aca="false">O209+P209</f>
        <v>0</v>
      </c>
      <c r="R209" s="22" t="n">
        <f aca="false">IF(A209&lt;HlpChangeDate,HlpSharePre,HlpSharePost)</f>
        <v>0.03</v>
      </c>
      <c r="S209" s="21" t="n">
        <f aca="false">Q209*R209/(1-R209)</f>
        <v>0</v>
      </c>
      <c r="T209" s="20"/>
      <c r="U209" s="21" t="n">
        <f aca="false">S209-T209</f>
        <v>0</v>
      </c>
      <c r="V209" s="21" t="n">
        <f aca="false">Y209-O209*R209/(1-R209)</f>
        <v>0</v>
      </c>
      <c r="W209" s="21" t="n">
        <f aca="false">Z209-P209*R209/(1-R209)</f>
        <v>0</v>
      </c>
      <c r="X209" s="21" t="n">
        <f aca="false">S209+V209+W209</f>
        <v>0</v>
      </c>
      <c r="Y209" s="20"/>
      <c r="Z209" s="20"/>
      <c r="AA209" s="19" t="n">
        <v>0</v>
      </c>
      <c r="AB209" s="20"/>
      <c r="AC209" s="20"/>
      <c r="AD209" s="24" t="n">
        <f aca="false">IFERROR(AA209/AC209,0)</f>
        <v>0</v>
      </c>
      <c r="AE209" s="25" t="n">
        <f aca="false">K209-Q209-X209</f>
        <v>0</v>
      </c>
      <c r="AF209" s="25" t="n">
        <f aca="false">Q209-AA209</f>
        <v>0</v>
      </c>
      <c r="AG209" s="20"/>
      <c r="AH209" s="26" t="n">
        <f aca="false">IFERROR(AG209/Q209,0)</f>
        <v>0</v>
      </c>
      <c r="AI209" s="27" t="n">
        <v>0</v>
      </c>
      <c r="AJ209" s="26" t="n">
        <f aca="false">IF(AI209&gt;0,AprCoef/SQRT(AI209),0)</f>
        <v>0</v>
      </c>
      <c r="AK209" s="24" t="n">
        <f aca="false">AI209*AJ209/365</f>
        <v>0</v>
      </c>
      <c r="AL209" s="24" t="n">
        <f aca="false">AD209</f>
        <v>0</v>
      </c>
      <c r="AM209" s="24" t="n">
        <f aca="false">AK209-AL209</f>
        <v>0</v>
      </c>
      <c r="AN209" s="28" t="str">
        <f aca="false">IF(A209&gt;=Hip3LaunchDate,"YES","")</f>
        <v/>
      </c>
      <c r="AO209" s="28" t="str">
        <f aca="false">IF(A209&lt;Hip4LaunchDate,"pre-launch","live (zero-fee)")</f>
        <v>pre-launch</v>
      </c>
      <c r="AP209" s="20"/>
      <c r="AQ209" s="20"/>
      <c r="AR209" s="20"/>
    </row>
    <row r="210" customFormat="false" ht="15" hidden="false" customHeight="false" outlineLevel="0" collapsed="false">
      <c r="A210" s="18" t="n">
        <v>45271</v>
      </c>
      <c r="B210" s="19" t="n">
        <v>998574499.93</v>
      </c>
      <c r="C210" s="19" t="n">
        <v>0</v>
      </c>
      <c r="D210" s="20"/>
      <c r="E210" s="21" t="n">
        <f aca="false">B210+C210</f>
        <v>998574499.93</v>
      </c>
      <c r="F210" s="21" t="n">
        <f aca="false">E210+D210</f>
        <v>998574499.93</v>
      </c>
      <c r="G210" s="22" t="n">
        <f aca="false">IFERROR(C210/E210,0)</f>
        <v>0</v>
      </c>
      <c r="H210" s="20"/>
      <c r="I210" s="20"/>
      <c r="J210" s="20"/>
      <c r="K210" s="21" t="n">
        <f aca="false">H210+I210</f>
        <v>0</v>
      </c>
      <c r="L210" s="20"/>
      <c r="M210" s="21" t="n">
        <f aca="false">H210-L210</f>
        <v>0</v>
      </c>
      <c r="N210" s="23" t="n">
        <f aca="false">IFERROR(M210/B210*10000,0)</f>
        <v>0</v>
      </c>
      <c r="O210" s="20"/>
      <c r="P210" s="20"/>
      <c r="Q210" s="21" t="n">
        <f aca="false">O210+P210</f>
        <v>0</v>
      </c>
      <c r="R210" s="22" t="n">
        <f aca="false">IF(A210&lt;HlpChangeDate,HlpSharePre,HlpSharePost)</f>
        <v>0.03</v>
      </c>
      <c r="S210" s="21" t="n">
        <f aca="false">Q210*R210/(1-R210)</f>
        <v>0</v>
      </c>
      <c r="T210" s="20"/>
      <c r="U210" s="21" t="n">
        <f aca="false">S210-T210</f>
        <v>0</v>
      </c>
      <c r="V210" s="21" t="n">
        <f aca="false">Y210-O210*R210/(1-R210)</f>
        <v>0</v>
      </c>
      <c r="W210" s="21" t="n">
        <f aca="false">Z210-P210*R210/(1-R210)</f>
        <v>0</v>
      </c>
      <c r="X210" s="21" t="n">
        <f aca="false">S210+V210+W210</f>
        <v>0</v>
      </c>
      <c r="Y210" s="20"/>
      <c r="Z210" s="20"/>
      <c r="AA210" s="19" t="n">
        <v>0</v>
      </c>
      <c r="AB210" s="20"/>
      <c r="AC210" s="20"/>
      <c r="AD210" s="24" t="n">
        <f aca="false">IFERROR(AA210/AC210,0)</f>
        <v>0</v>
      </c>
      <c r="AE210" s="25" t="n">
        <f aca="false">K210-Q210-X210</f>
        <v>0</v>
      </c>
      <c r="AF210" s="25" t="n">
        <f aca="false">Q210-AA210</f>
        <v>0</v>
      </c>
      <c r="AG210" s="20"/>
      <c r="AH210" s="26" t="n">
        <f aca="false">IFERROR(AG210/Q210,0)</f>
        <v>0</v>
      </c>
      <c r="AI210" s="27" t="n">
        <v>0</v>
      </c>
      <c r="AJ210" s="26" t="n">
        <f aca="false">IF(AI210&gt;0,AprCoef/SQRT(AI210),0)</f>
        <v>0</v>
      </c>
      <c r="AK210" s="24" t="n">
        <f aca="false">AI210*AJ210/365</f>
        <v>0</v>
      </c>
      <c r="AL210" s="24" t="n">
        <f aca="false">AD210</f>
        <v>0</v>
      </c>
      <c r="AM210" s="24" t="n">
        <f aca="false">AK210-AL210</f>
        <v>0</v>
      </c>
      <c r="AN210" s="28" t="str">
        <f aca="false">IF(A210&gt;=Hip3LaunchDate,"YES","")</f>
        <v/>
      </c>
      <c r="AO210" s="28" t="str">
        <f aca="false">IF(A210&lt;Hip4LaunchDate,"pre-launch","live (zero-fee)")</f>
        <v>pre-launch</v>
      </c>
      <c r="AP210" s="20"/>
      <c r="AQ210" s="20"/>
      <c r="AR210" s="20"/>
    </row>
    <row r="211" customFormat="false" ht="15" hidden="false" customHeight="false" outlineLevel="0" collapsed="false">
      <c r="A211" s="18" t="n">
        <v>45272</v>
      </c>
      <c r="B211" s="19" t="n">
        <v>374478039.65</v>
      </c>
      <c r="C211" s="19" t="n">
        <v>0</v>
      </c>
      <c r="D211" s="20"/>
      <c r="E211" s="21" t="n">
        <f aca="false">B211+C211</f>
        <v>374478039.65</v>
      </c>
      <c r="F211" s="21" t="n">
        <f aca="false">E211+D211</f>
        <v>374478039.65</v>
      </c>
      <c r="G211" s="22" t="n">
        <f aca="false">IFERROR(C211/E211,0)</f>
        <v>0</v>
      </c>
      <c r="H211" s="20"/>
      <c r="I211" s="20"/>
      <c r="J211" s="20"/>
      <c r="K211" s="21" t="n">
        <f aca="false">H211+I211</f>
        <v>0</v>
      </c>
      <c r="L211" s="20"/>
      <c r="M211" s="21" t="n">
        <f aca="false">H211-L211</f>
        <v>0</v>
      </c>
      <c r="N211" s="23" t="n">
        <f aca="false">IFERROR(M211/B211*10000,0)</f>
        <v>0</v>
      </c>
      <c r="O211" s="20"/>
      <c r="P211" s="20"/>
      <c r="Q211" s="21" t="n">
        <f aca="false">O211+P211</f>
        <v>0</v>
      </c>
      <c r="R211" s="22" t="n">
        <f aca="false">IF(A211&lt;HlpChangeDate,HlpSharePre,HlpSharePost)</f>
        <v>0.03</v>
      </c>
      <c r="S211" s="21" t="n">
        <f aca="false">Q211*R211/(1-R211)</f>
        <v>0</v>
      </c>
      <c r="T211" s="20"/>
      <c r="U211" s="21" t="n">
        <f aca="false">S211-T211</f>
        <v>0</v>
      </c>
      <c r="V211" s="21" t="n">
        <f aca="false">Y211-O211*R211/(1-R211)</f>
        <v>0</v>
      </c>
      <c r="W211" s="21" t="n">
        <f aca="false">Z211-P211*R211/(1-R211)</f>
        <v>0</v>
      </c>
      <c r="X211" s="21" t="n">
        <f aca="false">S211+V211+W211</f>
        <v>0</v>
      </c>
      <c r="Y211" s="20"/>
      <c r="Z211" s="20"/>
      <c r="AA211" s="19" t="n">
        <v>0</v>
      </c>
      <c r="AB211" s="20"/>
      <c r="AC211" s="20"/>
      <c r="AD211" s="24" t="n">
        <f aca="false">IFERROR(AA211/AC211,0)</f>
        <v>0</v>
      </c>
      <c r="AE211" s="25" t="n">
        <f aca="false">K211-Q211-X211</f>
        <v>0</v>
      </c>
      <c r="AF211" s="25" t="n">
        <f aca="false">Q211-AA211</f>
        <v>0</v>
      </c>
      <c r="AG211" s="20"/>
      <c r="AH211" s="26" t="n">
        <f aca="false">IFERROR(AG211/Q211,0)</f>
        <v>0</v>
      </c>
      <c r="AI211" s="27" t="n">
        <v>0</v>
      </c>
      <c r="AJ211" s="26" t="n">
        <f aca="false">IF(AI211&gt;0,AprCoef/SQRT(AI211),0)</f>
        <v>0</v>
      </c>
      <c r="AK211" s="24" t="n">
        <f aca="false">AI211*AJ211/365</f>
        <v>0</v>
      </c>
      <c r="AL211" s="24" t="n">
        <f aca="false">AD211</f>
        <v>0</v>
      </c>
      <c r="AM211" s="24" t="n">
        <f aca="false">AK211-AL211</f>
        <v>0</v>
      </c>
      <c r="AN211" s="28" t="str">
        <f aca="false">IF(A211&gt;=Hip3LaunchDate,"YES","")</f>
        <v/>
      </c>
      <c r="AO211" s="28" t="str">
        <f aca="false">IF(A211&lt;Hip4LaunchDate,"pre-launch","live (zero-fee)")</f>
        <v>pre-launch</v>
      </c>
      <c r="AP211" s="20"/>
      <c r="AQ211" s="20"/>
      <c r="AR211" s="20"/>
    </row>
    <row r="212" customFormat="false" ht="15" hidden="false" customHeight="false" outlineLevel="0" collapsed="false">
      <c r="A212" s="18" t="n">
        <v>45273</v>
      </c>
      <c r="B212" s="19" t="n">
        <v>378069087.57</v>
      </c>
      <c r="C212" s="19" t="n">
        <v>0</v>
      </c>
      <c r="D212" s="20"/>
      <c r="E212" s="21" t="n">
        <f aca="false">B212+C212</f>
        <v>378069087.57</v>
      </c>
      <c r="F212" s="21" t="n">
        <f aca="false">E212+D212</f>
        <v>378069087.57</v>
      </c>
      <c r="G212" s="22" t="n">
        <f aca="false">IFERROR(C212/E212,0)</f>
        <v>0</v>
      </c>
      <c r="H212" s="20"/>
      <c r="I212" s="20"/>
      <c r="J212" s="20"/>
      <c r="K212" s="21" t="n">
        <f aca="false">H212+I212</f>
        <v>0</v>
      </c>
      <c r="L212" s="20"/>
      <c r="M212" s="21" t="n">
        <f aca="false">H212-L212</f>
        <v>0</v>
      </c>
      <c r="N212" s="23" t="n">
        <f aca="false">IFERROR(M212/B212*10000,0)</f>
        <v>0</v>
      </c>
      <c r="O212" s="20"/>
      <c r="P212" s="20"/>
      <c r="Q212" s="21" t="n">
        <f aca="false">O212+P212</f>
        <v>0</v>
      </c>
      <c r="R212" s="22" t="n">
        <f aca="false">IF(A212&lt;HlpChangeDate,HlpSharePre,HlpSharePost)</f>
        <v>0.03</v>
      </c>
      <c r="S212" s="21" t="n">
        <f aca="false">Q212*R212/(1-R212)</f>
        <v>0</v>
      </c>
      <c r="T212" s="20"/>
      <c r="U212" s="21" t="n">
        <f aca="false">S212-T212</f>
        <v>0</v>
      </c>
      <c r="V212" s="21" t="n">
        <f aca="false">Y212-O212*R212/(1-R212)</f>
        <v>0</v>
      </c>
      <c r="W212" s="21" t="n">
        <f aca="false">Z212-P212*R212/(1-R212)</f>
        <v>0</v>
      </c>
      <c r="X212" s="21" t="n">
        <f aca="false">S212+V212+W212</f>
        <v>0</v>
      </c>
      <c r="Y212" s="20"/>
      <c r="Z212" s="20"/>
      <c r="AA212" s="19" t="n">
        <v>0</v>
      </c>
      <c r="AB212" s="20"/>
      <c r="AC212" s="20"/>
      <c r="AD212" s="24" t="n">
        <f aca="false">IFERROR(AA212/AC212,0)</f>
        <v>0</v>
      </c>
      <c r="AE212" s="25" t="n">
        <f aca="false">K212-Q212-X212</f>
        <v>0</v>
      </c>
      <c r="AF212" s="25" t="n">
        <f aca="false">Q212-AA212</f>
        <v>0</v>
      </c>
      <c r="AG212" s="20"/>
      <c r="AH212" s="26" t="n">
        <f aca="false">IFERROR(AG212/Q212,0)</f>
        <v>0</v>
      </c>
      <c r="AI212" s="27" t="n">
        <v>0</v>
      </c>
      <c r="AJ212" s="26" t="n">
        <f aca="false">IF(AI212&gt;0,AprCoef/SQRT(AI212),0)</f>
        <v>0</v>
      </c>
      <c r="AK212" s="24" t="n">
        <f aca="false">AI212*AJ212/365</f>
        <v>0</v>
      </c>
      <c r="AL212" s="24" t="n">
        <f aca="false">AD212</f>
        <v>0</v>
      </c>
      <c r="AM212" s="24" t="n">
        <f aca="false">AK212-AL212</f>
        <v>0</v>
      </c>
      <c r="AN212" s="28" t="str">
        <f aca="false">IF(A212&gt;=Hip3LaunchDate,"YES","")</f>
        <v/>
      </c>
      <c r="AO212" s="28" t="str">
        <f aca="false">IF(A212&lt;Hip4LaunchDate,"pre-launch","live (zero-fee)")</f>
        <v>pre-launch</v>
      </c>
      <c r="AP212" s="20"/>
      <c r="AQ212" s="20"/>
      <c r="AR212" s="20"/>
    </row>
    <row r="213" customFormat="false" ht="15" hidden="false" customHeight="false" outlineLevel="0" collapsed="false">
      <c r="A213" s="18" t="n">
        <v>45274</v>
      </c>
      <c r="B213" s="19" t="n">
        <v>429353967.67</v>
      </c>
      <c r="C213" s="19" t="n">
        <v>0</v>
      </c>
      <c r="D213" s="20"/>
      <c r="E213" s="21" t="n">
        <f aca="false">B213+C213</f>
        <v>429353967.67</v>
      </c>
      <c r="F213" s="21" t="n">
        <f aca="false">E213+D213</f>
        <v>429353967.67</v>
      </c>
      <c r="G213" s="22" t="n">
        <f aca="false">IFERROR(C213/E213,0)</f>
        <v>0</v>
      </c>
      <c r="H213" s="20"/>
      <c r="I213" s="20"/>
      <c r="J213" s="20"/>
      <c r="K213" s="21" t="n">
        <f aca="false">H213+I213</f>
        <v>0</v>
      </c>
      <c r="L213" s="20"/>
      <c r="M213" s="21" t="n">
        <f aca="false">H213-L213</f>
        <v>0</v>
      </c>
      <c r="N213" s="23" t="n">
        <f aca="false">IFERROR(M213/B213*10000,0)</f>
        <v>0</v>
      </c>
      <c r="O213" s="20"/>
      <c r="P213" s="20"/>
      <c r="Q213" s="21" t="n">
        <f aca="false">O213+P213</f>
        <v>0</v>
      </c>
      <c r="R213" s="22" t="n">
        <f aca="false">IF(A213&lt;HlpChangeDate,HlpSharePre,HlpSharePost)</f>
        <v>0.03</v>
      </c>
      <c r="S213" s="21" t="n">
        <f aca="false">Q213*R213/(1-R213)</f>
        <v>0</v>
      </c>
      <c r="T213" s="20"/>
      <c r="U213" s="21" t="n">
        <f aca="false">S213-T213</f>
        <v>0</v>
      </c>
      <c r="V213" s="21" t="n">
        <f aca="false">Y213-O213*R213/(1-R213)</f>
        <v>0</v>
      </c>
      <c r="W213" s="21" t="n">
        <f aca="false">Z213-P213*R213/(1-R213)</f>
        <v>0</v>
      </c>
      <c r="X213" s="21" t="n">
        <f aca="false">S213+V213+W213</f>
        <v>0</v>
      </c>
      <c r="Y213" s="20"/>
      <c r="Z213" s="20"/>
      <c r="AA213" s="19" t="n">
        <v>0</v>
      </c>
      <c r="AB213" s="20"/>
      <c r="AC213" s="20"/>
      <c r="AD213" s="24" t="n">
        <f aca="false">IFERROR(AA213/AC213,0)</f>
        <v>0</v>
      </c>
      <c r="AE213" s="25" t="n">
        <f aca="false">K213-Q213-X213</f>
        <v>0</v>
      </c>
      <c r="AF213" s="25" t="n">
        <f aca="false">Q213-AA213</f>
        <v>0</v>
      </c>
      <c r="AG213" s="20"/>
      <c r="AH213" s="26" t="n">
        <f aca="false">IFERROR(AG213/Q213,0)</f>
        <v>0</v>
      </c>
      <c r="AI213" s="27" t="n">
        <v>0</v>
      </c>
      <c r="AJ213" s="26" t="n">
        <f aca="false">IF(AI213&gt;0,AprCoef/SQRT(AI213),0)</f>
        <v>0</v>
      </c>
      <c r="AK213" s="24" t="n">
        <f aca="false">AI213*AJ213/365</f>
        <v>0</v>
      </c>
      <c r="AL213" s="24" t="n">
        <f aca="false">AD213</f>
        <v>0</v>
      </c>
      <c r="AM213" s="24" t="n">
        <f aca="false">AK213-AL213</f>
        <v>0</v>
      </c>
      <c r="AN213" s="28" t="str">
        <f aca="false">IF(A213&gt;=Hip3LaunchDate,"YES","")</f>
        <v/>
      </c>
      <c r="AO213" s="28" t="str">
        <f aca="false">IF(A213&lt;Hip4LaunchDate,"pre-launch","live (zero-fee)")</f>
        <v>pre-launch</v>
      </c>
      <c r="AP213" s="20"/>
      <c r="AQ213" s="20"/>
      <c r="AR213" s="20"/>
    </row>
    <row r="214" customFormat="false" ht="15" hidden="false" customHeight="false" outlineLevel="0" collapsed="false">
      <c r="A214" s="18" t="n">
        <v>45275</v>
      </c>
      <c r="B214" s="19" t="n">
        <v>297849877.87</v>
      </c>
      <c r="C214" s="19" t="n">
        <v>0</v>
      </c>
      <c r="D214" s="20"/>
      <c r="E214" s="21" t="n">
        <f aca="false">B214+C214</f>
        <v>297849877.87</v>
      </c>
      <c r="F214" s="21" t="n">
        <f aca="false">E214+D214</f>
        <v>297849877.87</v>
      </c>
      <c r="G214" s="22" t="n">
        <f aca="false">IFERROR(C214/E214,0)</f>
        <v>0</v>
      </c>
      <c r="H214" s="20"/>
      <c r="I214" s="20"/>
      <c r="J214" s="20"/>
      <c r="K214" s="21" t="n">
        <f aca="false">H214+I214</f>
        <v>0</v>
      </c>
      <c r="L214" s="20"/>
      <c r="M214" s="21" t="n">
        <f aca="false">H214-L214</f>
        <v>0</v>
      </c>
      <c r="N214" s="23" t="n">
        <f aca="false">IFERROR(M214/B214*10000,0)</f>
        <v>0</v>
      </c>
      <c r="O214" s="20"/>
      <c r="P214" s="20"/>
      <c r="Q214" s="21" t="n">
        <f aca="false">O214+P214</f>
        <v>0</v>
      </c>
      <c r="R214" s="22" t="n">
        <f aca="false">IF(A214&lt;HlpChangeDate,HlpSharePre,HlpSharePost)</f>
        <v>0.03</v>
      </c>
      <c r="S214" s="21" t="n">
        <f aca="false">Q214*R214/(1-R214)</f>
        <v>0</v>
      </c>
      <c r="T214" s="20"/>
      <c r="U214" s="21" t="n">
        <f aca="false">S214-T214</f>
        <v>0</v>
      </c>
      <c r="V214" s="21" t="n">
        <f aca="false">Y214-O214*R214/(1-R214)</f>
        <v>0</v>
      </c>
      <c r="W214" s="21" t="n">
        <f aca="false">Z214-P214*R214/(1-R214)</f>
        <v>0</v>
      </c>
      <c r="X214" s="21" t="n">
        <f aca="false">S214+V214+W214</f>
        <v>0</v>
      </c>
      <c r="Y214" s="20"/>
      <c r="Z214" s="20"/>
      <c r="AA214" s="19" t="n">
        <v>0</v>
      </c>
      <c r="AB214" s="20"/>
      <c r="AC214" s="20"/>
      <c r="AD214" s="24" t="n">
        <f aca="false">IFERROR(AA214/AC214,0)</f>
        <v>0</v>
      </c>
      <c r="AE214" s="25" t="n">
        <f aca="false">K214-Q214-X214</f>
        <v>0</v>
      </c>
      <c r="AF214" s="25" t="n">
        <f aca="false">Q214-AA214</f>
        <v>0</v>
      </c>
      <c r="AG214" s="20"/>
      <c r="AH214" s="26" t="n">
        <f aca="false">IFERROR(AG214/Q214,0)</f>
        <v>0</v>
      </c>
      <c r="AI214" s="27" t="n">
        <v>0</v>
      </c>
      <c r="AJ214" s="26" t="n">
        <f aca="false">IF(AI214&gt;0,AprCoef/SQRT(AI214),0)</f>
        <v>0</v>
      </c>
      <c r="AK214" s="24" t="n">
        <f aca="false">AI214*AJ214/365</f>
        <v>0</v>
      </c>
      <c r="AL214" s="24" t="n">
        <f aca="false">AD214</f>
        <v>0</v>
      </c>
      <c r="AM214" s="24" t="n">
        <f aca="false">AK214-AL214</f>
        <v>0</v>
      </c>
      <c r="AN214" s="28" t="str">
        <f aca="false">IF(A214&gt;=Hip3LaunchDate,"YES","")</f>
        <v/>
      </c>
      <c r="AO214" s="28" t="str">
        <f aca="false">IF(A214&lt;Hip4LaunchDate,"pre-launch","live (zero-fee)")</f>
        <v>pre-launch</v>
      </c>
      <c r="AP214" s="20"/>
      <c r="AQ214" s="20"/>
      <c r="AR214" s="20"/>
    </row>
    <row r="215" customFormat="false" ht="15" hidden="false" customHeight="false" outlineLevel="0" collapsed="false">
      <c r="A215" s="18" t="n">
        <v>45276</v>
      </c>
      <c r="B215" s="19" t="n">
        <v>214925917.74</v>
      </c>
      <c r="C215" s="19" t="n">
        <v>0</v>
      </c>
      <c r="D215" s="20"/>
      <c r="E215" s="21" t="n">
        <f aca="false">B215+C215</f>
        <v>214925917.74</v>
      </c>
      <c r="F215" s="21" t="n">
        <f aca="false">E215+D215</f>
        <v>214925917.74</v>
      </c>
      <c r="G215" s="22" t="n">
        <f aca="false">IFERROR(C215/E215,0)</f>
        <v>0</v>
      </c>
      <c r="H215" s="20"/>
      <c r="I215" s="20"/>
      <c r="J215" s="20"/>
      <c r="K215" s="21" t="n">
        <f aca="false">H215+I215</f>
        <v>0</v>
      </c>
      <c r="L215" s="20"/>
      <c r="M215" s="21" t="n">
        <f aca="false">H215-L215</f>
        <v>0</v>
      </c>
      <c r="N215" s="23" t="n">
        <f aca="false">IFERROR(M215/B215*10000,0)</f>
        <v>0</v>
      </c>
      <c r="O215" s="20"/>
      <c r="P215" s="20"/>
      <c r="Q215" s="21" t="n">
        <f aca="false">O215+P215</f>
        <v>0</v>
      </c>
      <c r="R215" s="22" t="n">
        <f aca="false">IF(A215&lt;HlpChangeDate,HlpSharePre,HlpSharePost)</f>
        <v>0.03</v>
      </c>
      <c r="S215" s="21" t="n">
        <f aca="false">Q215*R215/(1-R215)</f>
        <v>0</v>
      </c>
      <c r="T215" s="20"/>
      <c r="U215" s="21" t="n">
        <f aca="false">S215-T215</f>
        <v>0</v>
      </c>
      <c r="V215" s="21" t="n">
        <f aca="false">Y215-O215*R215/(1-R215)</f>
        <v>0</v>
      </c>
      <c r="W215" s="21" t="n">
        <f aca="false">Z215-P215*R215/(1-R215)</f>
        <v>0</v>
      </c>
      <c r="X215" s="21" t="n">
        <f aca="false">S215+V215+W215</f>
        <v>0</v>
      </c>
      <c r="Y215" s="20"/>
      <c r="Z215" s="20"/>
      <c r="AA215" s="19" t="n">
        <v>0</v>
      </c>
      <c r="AB215" s="20"/>
      <c r="AC215" s="20"/>
      <c r="AD215" s="24" t="n">
        <f aca="false">IFERROR(AA215/AC215,0)</f>
        <v>0</v>
      </c>
      <c r="AE215" s="25" t="n">
        <f aca="false">K215-Q215-X215</f>
        <v>0</v>
      </c>
      <c r="AF215" s="25" t="n">
        <f aca="false">Q215-AA215</f>
        <v>0</v>
      </c>
      <c r="AG215" s="20"/>
      <c r="AH215" s="26" t="n">
        <f aca="false">IFERROR(AG215/Q215,0)</f>
        <v>0</v>
      </c>
      <c r="AI215" s="27" t="n">
        <v>0</v>
      </c>
      <c r="AJ215" s="26" t="n">
        <f aca="false">IF(AI215&gt;0,AprCoef/SQRT(AI215),0)</f>
        <v>0</v>
      </c>
      <c r="AK215" s="24" t="n">
        <f aca="false">AI215*AJ215/365</f>
        <v>0</v>
      </c>
      <c r="AL215" s="24" t="n">
        <f aca="false">AD215</f>
        <v>0</v>
      </c>
      <c r="AM215" s="24" t="n">
        <f aca="false">AK215-AL215</f>
        <v>0</v>
      </c>
      <c r="AN215" s="28" t="str">
        <f aca="false">IF(A215&gt;=Hip3LaunchDate,"YES","")</f>
        <v/>
      </c>
      <c r="AO215" s="28" t="str">
        <f aca="false">IF(A215&lt;Hip4LaunchDate,"pre-launch","live (zero-fee)")</f>
        <v>pre-launch</v>
      </c>
      <c r="AP215" s="20"/>
      <c r="AQ215" s="20"/>
      <c r="AR215" s="20"/>
    </row>
    <row r="216" customFormat="false" ht="15" hidden="false" customHeight="false" outlineLevel="0" collapsed="false">
      <c r="A216" s="18" t="n">
        <v>45277</v>
      </c>
      <c r="B216" s="19" t="n">
        <v>212845397.09</v>
      </c>
      <c r="C216" s="19" t="n">
        <v>0</v>
      </c>
      <c r="D216" s="20"/>
      <c r="E216" s="21" t="n">
        <f aca="false">B216+C216</f>
        <v>212845397.09</v>
      </c>
      <c r="F216" s="21" t="n">
        <f aca="false">E216+D216</f>
        <v>212845397.09</v>
      </c>
      <c r="G216" s="22" t="n">
        <f aca="false">IFERROR(C216/E216,0)</f>
        <v>0</v>
      </c>
      <c r="H216" s="20"/>
      <c r="I216" s="20"/>
      <c r="J216" s="20"/>
      <c r="K216" s="21" t="n">
        <f aca="false">H216+I216</f>
        <v>0</v>
      </c>
      <c r="L216" s="20"/>
      <c r="M216" s="21" t="n">
        <f aca="false">H216-L216</f>
        <v>0</v>
      </c>
      <c r="N216" s="23" t="n">
        <f aca="false">IFERROR(M216/B216*10000,0)</f>
        <v>0</v>
      </c>
      <c r="O216" s="20"/>
      <c r="P216" s="20"/>
      <c r="Q216" s="21" t="n">
        <f aca="false">O216+P216</f>
        <v>0</v>
      </c>
      <c r="R216" s="22" t="n">
        <f aca="false">IF(A216&lt;HlpChangeDate,HlpSharePre,HlpSharePost)</f>
        <v>0.03</v>
      </c>
      <c r="S216" s="21" t="n">
        <f aca="false">Q216*R216/(1-R216)</f>
        <v>0</v>
      </c>
      <c r="T216" s="20"/>
      <c r="U216" s="21" t="n">
        <f aca="false">S216-T216</f>
        <v>0</v>
      </c>
      <c r="V216" s="21" t="n">
        <f aca="false">Y216-O216*R216/(1-R216)</f>
        <v>0</v>
      </c>
      <c r="W216" s="21" t="n">
        <f aca="false">Z216-P216*R216/(1-R216)</f>
        <v>0</v>
      </c>
      <c r="X216" s="21" t="n">
        <f aca="false">S216+V216+W216</f>
        <v>0</v>
      </c>
      <c r="Y216" s="20"/>
      <c r="Z216" s="20"/>
      <c r="AA216" s="19" t="n">
        <v>0</v>
      </c>
      <c r="AB216" s="20"/>
      <c r="AC216" s="20"/>
      <c r="AD216" s="24" t="n">
        <f aca="false">IFERROR(AA216/AC216,0)</f>
        <v>0</v>
      </c>
      <c r="AE216" s="25" t="n">
        <f aca="false">K216-Q216-X216</f>
        <v>0</v>
      </c>
      <c r="AF216" s="25" t="n">
        <f aca="false">Q216-AA216</f>
        <v>0</v>
      </c>
      <c r="AG216" s="20"/>
      <c r="AH216" s="26" t="n">
        <f aca="false">IFERROR(AG216/Q216,0)</f>
        <v>0</v>
      </c>
      <c r="AI216" s="27" t="n">
        <v>0</v>
      </c>
      <c r="AJ216" s="26" t="n">
        <f aca="false">IF(AI216&gt;0,AprCoef/SQRT(AI216),0)</f>
        <v>0</v>
      </c>
      <c r="AK216" s="24" t="n">
        <f aca="false">AI216*AJ216/365</f>
        <v>0</v>
      </c>
      <c r="AL216" s="24" t="n">
        <f aca="false">AD216</f>
        <v>0</v>
      </c>
      <c r="AM216" s="24" t="n">
        <f aca="false">AK216-AL216</f>
        <v>0</v>
      </c>
      <c r="AN216" s="28" t="str">
        <f aca="false">IF(A216&gt;=Hip3LaunchDate,"YES","")</f>
        <v/>
      </c>
      <c r="AO216" s="28" t="str">
        <f aca="false">IF(A216&lt;Hip4LaunchDate,"pre-launch","live (zero-fee)")</f>
        <v>pre-launch</v>
      </c>
      <c r="AP216" s="20"/>
      <c r="AQ216" s="20"/>
      <c r="AR216" s="20"/>
    </row>
    <row r="217" customFormat="false" ht="15" hidden="false" customHeight="false" outlineLevel="0" collapsed="false">
      <c r="A217" s="18" t="n">
        <v>45278</v>
      </c>
      <c r="B217" s="19" t="n">
        <v>355925648.38</v>
      </c>
      <c r="C217" s="19" t="n">
        <v>0</v>
      </c>
      <c r="D217" s="20"/>
      <c r="E217" s="21" t="n">
        <f aca="false">B217+C217</f>
        <v>355925648.38</v>
      </c>
      <c r="F217" s="21" t="n">
        <f aca="false">E217+D217</f>
        <v>355925648.38</v>
      </c>
      <c r="G217" s="22" t="n">
        <f aca="false">IFERROR(C217/E217,0)</f>
        <v>0</v>
      </c>
      <c r="H217" s="20"/>
      <c r="I217" s="20"/>
      <c r="J217" s="20"/>
      <c r="K217" s="21" t="n">
        <f aca="false">H217+I217</f>
        <v>0</v>
      </c>
      <c r="L217" s="20"/>
      <c r="M217" s="21" t="n">
        <f aca="false">H217-L217</f>
        <v>0</v>
      </c>
      <c r="N217" s="23" t="n">
        <f aca="false">IFERROR(M217/B217*10000,0)</f>
        <v>0</v>
      </c>
      <c r="O217" s="20"/>
      <c r="P217" s="20"/>
      <c r="Q217" s="21" t="n">
        <f aca="false">O217+P217</f>
        <v>0</v>
      </c>
      <c r="R217" s="22" t="n">
        <f aca="false">IF(A217&lt;HlpChangeDate,HlpSharePre,HlpSharePost)</f>
        <v>0.03</v>
      </c>
      <c r="S217" s="21" t="n">
        <f aca="false">Q217*R217/(1-R217)</f>
        <v>0</v>
      </c>
      <c r="T217" s="20"/>
      <c r="U217" s="21" t="n">
        <f aca="false">S217-T217</f>
        <v>0</v>
      </c>
      <c r="V217" s="21" t="n">
        <f aca="false">Y217-O217*R217/(1-R217)</f>
        <v>0</v>
      </c>
      <c r="W217" s="21" t="n">
        <f aca="false">Z217-P217*R217/(1-R217)</f>
        <v>0</v>
      </c>
      <c r="X217" s="21" t="n">
        <f aca="false">S217+V217+W217</f>
        <v>0</v>
      </c>
      <c r="Y217" s="20"/>
      <c r="Z217" s="20"/>
      <c r="AA217" s="19" t="n">
        <v>0</v>
      </c>
      <c r="AB217" s="20"/>
      <c r="AC217" s="20"/>
      <c r="AD217" s="24" t="n">
        <f aca="false">IFERROR(AA217/AC217,0)</f>
        <v>0</v>
      </c>
      <c r="AE217" s="25" t="n">
        <f aca="false">K217-Q217-X217</f>
        <v>0</v>
      </c>
      <c r="AF217" s="25" t="n">
        <f aca="false">Q217-AA217</f>
        <v>0</v>
      </c>
      <c r="AG217" s="20"/>
      <c r="AH217" s="26" t="n">
        <f aca="false">IFERROR(AG217/Q217,0)</f>
        <v>0</v>
      </c>
      <c r="AI217" s="27" t="n">
        <v>0</v>
      </c>
      <c r="AJ217" s="26" t="n">
        <f aca="false">IF(AI217&gt;0,AprCoef/SQRT(AI217),0)</f>
        <v>0</v>
      </c>
      <c r="AK217" s="24" t="n">
        <f aca="false">AI217*AJ217/365</f>
        <v>0</v>
      </c>
      <c r="AL217" s="24" t="n">
        <f aca="false">AD217</f>
        <v>0</v>
      </c>
      <c r="AM217" s="24" t="n">
        <f aca="false">AK217-AL217</f>
        <v>0</v>
      </c>
      <c r="AN217" s="28" t="str">
        <f aca="false">IF(A217&gt;=Hip3LaunchDate,"YES","")</f>
        <v/>
      </c>
      <c r="AO217" s="28" t="str">
        <f aca="false">IF(A217&lt;Hip4LaunchDate,"pre-launch","live (zero-fee)")</f>
        <v>pre-launch</v>
      </c>
      <c r="AP217" s="20"/>
      <c r="AQ217" s="20"/>
      <c r="AR217" s="20"/>
    </row>
    <row r="218" customFormat="false" ht="15" hidden="false" customHeight="false" outlineLevel="0" collapsed="false">
      <c r="A218" s="18" t="n">
        <v>45279</v>
      </c>
      <c r="B218" s="19" t="n">
        <v>256377965.68</v>
      </c>
      <c r="C218" s="19" t="n">
        <v>0</v>
      </c>
      <c r="D218" s="20"/>
      <c r="E218" s="21" t="n">
        <f aca="false">B218+C218</f>
        <v>256377965.68</v>
      </c>
      <c r="F218" s="21" t="n">
        <f aca="false">E218+D218</f>
        <v>256377965.68</v>
      </c>
      <c r="G218" s="22" t="n">
        <f aca="false">IFERROR(C218/E218,0)</f>
        <v>0</v>
      </c>
      <c r="H218" s="20"/>
      <c r="I218" s="20"/>
      <c r="J218" s="20"/>
      <c r="K218" s="21" t="n">
        <f aca="false">H218+I218</f>
        <v>0</v>
      </c>
      <c r="L218" s="20"/>
      <c r="M218" s="21" t="n">
        <f aca="false">H218-L218</f>
        <v>0</v>
      </c>
      <c r="N218" s="23" t="n">
        <f aca="false">IFERROR(M218/B218*10000,0)</f>
        <v>0</v>
      </c>
      <c r="O218" s="20"/>
      <c r="P218" s="20"/>
      <c r="Q218" s="21" t="n">
        <f aca="false">O218+P218</f>
        <v>0</v>
      </c>
      <c r="R218" s="22" t="n">
        <f aca="false">IF(A218&lt;HlpChangeDate,HlpSharePre,HlpSharePost)</f>
        <v>0.03</v>
      </c>
      <c r="S218" s="21" t="n">
        <f aca="false">Q218*R218/(1-R218)</f>
        <v>0</v>
      </c>
      <c r="T218" s="20"/>
      <c r="U218" s="21" t="n">
        <f aca="false">S218-T218</f>
        <v>0</v>
      </c>
      <c r="V218" s="21" t="n">
        <f aca="false">Y218-O218*R218/(1-R218)</f>
        <v>0</v>
      </c>
      <c r="W218" s="21" t="n">
        <f aca="false">Z218-P218*R218/(1-R218)</f>
        <v>0</v>
      </c>
      <c r="X218" s="21" t="n">
        <f aca="false">S218+V218+W218</f>
        <v>0</v>
      </c>
      <c r="Y218" s="20"/>
      <c r="Z218" s="20"/>
      <c r="AA218" s="19" t="n">
        <v>0</v>
      </c>
      <c r="AB218" s="20"/>
      <c r="AC218" s="20"/>
      <c r="AD218" s="24" t="n">
        <f aca="false">IFERROR(AA218/AC218,0)</f>
        <v>0</v>
      </c>
      <c r="AE218" s="25" t="n">
        <f aca="false">K218-Q218-X218</f>
        <v>0</v>
      </c>
      <c r="AF218" s="25" t="n">
        <f aca="false">Q218-AA218</f>
        <v>0</v>
      </c>
      <c r="AG218" s="20"/>
      <c r="AH218" s="26" t="n">
        <f aca="false">IFERROR(AG218/Q218,0)</f>
        <v>0</v>
      </c>
      <c r="AI218" s="27" t="n">
        <v>0</v>
      </c>
      <c r="AJ218" s="26" t="n">
        <f aca="false">IF(AI218&gt;0,AprCoef/SQRT(AI218),0)</f>
        <v>0</v>
      </c>
      <c r="AK218" s="24" t="n">
        <f aca="false">AI218*AJ218/365</f>
        <v>0</v>
      </c>
      <c r="AL218" s="24" t="n">
        <f aca="false">AD218</f>
        <v>0</v>
      </c>
      <c r="AM218" s="24" t="n">
        <f aca="false">AK218-AL218</f>
        <v>0</v>
      </c>
      <c r="AN218" s="28" t="str">
        <f aca="false">IF(A218&gt;=Hip3LaunchDate,"YES","")</f>
        <v/>
      </c>
      <c r="AO218" s="28" t="str">
        <f aca="false">IF(A218&lt;Hip4LaunchDate,"pre-launch","live (zero-fee)")</f>
        <v>pre-launch</v>
      </c>
      <c r="AP218" s="20"/>
      <c r="AQ218" s="20"/>
      <c r="AR218" s="20"/>
    </row>
    <row r="219" customFormat="false" ht="15" hidden="false" customHeight="false" outlineLevel="0" collapsed="false">
      <c r="A219" s="18" t="n">
        <v>45280</v>
      </c>
      <c r="B219" s="19" t="n">
        <v>347076656.26</v>
      </c>
      <c r="C219" s="19" t="n">
        <v>0</v>
      </c>
      <c r="D219" s="20"/>
      <c r="E219" s="21" t="n">
        <f aca="false">B219+C219</f>
        <v>347076656.26</v>
      </c>
      <c r="F219" s="21" t="n">
        <f aca="false">E219+D219</f>
        <v>347076656.26</v>
      </c>
      <c r="G219" s="22" t="n">
        <f aca="false">IFERROR(C219/E219,0)</f>
        <v>0</v>
      </c>
      <c r="H219" s="20"/>
      <c r="I219" s="20"/>
      <c r="J219" s="20"/>
      <c r="K219" s="21" t="n">
        <f aca="false">H219+I219</f>
        <v>0</v>
      </c>
      <c r="L219" s="20"/>
      <c r="M219" s="21" t="n">
        <f aca="false">H219-L219</f>
        <v>0</v>
      </c>
      <c r="N219" s="23" t="n">
        <f aca="false">IFERROR(M219/B219*10000,0)</f>
        <v>0</v>
      </c>
      <c r="O219" s="20"/>
      <c r="P219" s="20"/>
      <c r="Q219" s="21" t="n">
        <f aca="false">O219+P219</f>
        <v>0</v>
      </c>
      <c r="R219" s="22" t="n">
        <f aca="false">IF(A219&lt;HlpChangeDate,HlpSharePre,HlpSharePost)</f>
        <v>0.03</v>
      </c>
      <c r="S219" s="21" t="n">
        <f aca="false">Q219*R219/(1-R219)</f>
        <v>0</v>
      </c>
      <c r="T219" s="20"/>
      <c r="U219" s="21" t="n">
        <f aca="false">S219-T219</f>
        <v>0</v>
      </c>
      <c r="V219" s="21" t="n">
        <f aca="false">Y219-O219*R219/(1-R219)</f>
        <v>0</v>
      </c>
      <c r="W219" s="21" t="n">
        <f aca="false">Z219-P219*R219/(1-R219)</f>
        <v>0</v>
      </c>
      <c r="X219" s="21" t="n">
        <f aca="false">S219+V219+W219</f>
        <v>0</v>
      </c>
      <c r="Y219" s="20"/>
      <c r="Z219" s="20"/>
      <c r="AA219" s="19" t="n">
        <v>0</v>
      </c>
      <c r="AB219" s="20"/>
      <c r="AC219" s="20"/>
      <c r="AD219" s="24" t="n">
        <f aca="false">IFERROR(AA219/AC219,0)</f>
        <v>0</v>
      </c>
      <c r="AE219" s="25" t="n">
        <f aca="false">K219-Q219-X219</f>
        <v>0</v>
      </c>
      <c r="AF219" s="25" t="n">
        <f aca="false">Q219-AA219</f>
        <v>0</v>
      </c>
      <c r="AG219" s="20"/>
      <c r="AH219" s="26" t="n">
        <f aca="false">IFERROR(AG219/Q219,0)</f>
        <v>0</v>
      </c>
      <c r="AI219" s="27" t="n">
        <v>0</v>
      </c>
      <c r="AJ219" s="26" t="n">
        <f aca="false">IF(AI219&gt;0,AprCoef/SQRT(AI219),0)</f>
        <v>0</v>
      </c>
      <c r="AK219" s="24" t="n">
        <f aca="false">AI219*AJ219/365</f>
        <v>0</v>
      </c>
      <c r="AL219" s="24" t="n">
        <f aca="false">AD219</f>
        <v>0</v>
      </c>
      <c r="AM219" s="24" t="n">
        <f aca="false">AK219-AL219</f>
        <v>0</v>
      </c>
      <c r="AN219" s="28" t="str">
        <f aca="false">IF(A219&gt;=Hip3LaunchDate,"YES","")</f>
        <v/>
      </c>
      <c r="AO219" s="28" t="str">
        <f aca="false">IF(A219&lt;Hip4LaunchDate,"pre-launch","live (zero-fee)")</f>
        <v>pre-launch</v>
      </c>
      <c r="AP219" s="20"/>
      <c r="AQ219" s="20"/>
      <c r="AR219" s="20"/>
    </row>
    <row r="220" customFormat="false" ht="15" hidden="false" customHeight="false" outlineLevel="0" collapsed="false">
      <c r="A220" s="18" t="n">
        <v>45281</v>
      </c>
      <c r="B220" s="19" t="n">
        <v>251448211.55</v>
      </c>
      <c r="C220" s="19" t="n">
        <v>0</v>
      </c>
      <c r="D220" s="20"/>
      <c r="E220" s="21" t="n">
        <f aca="false">B220+C220</f>
        <v>251448211.55</v>
      </c>
      <c r="F220" s="21" t="n">
        <f aca="false">E220+D220</f>
        <v>251448211.55</v>
      </c>
      <c r="G220" s="22" t="n">
        <f aca="false">IFERROR(C220/E220,0)</f>
        <v>0</v>
      </c>
      <c r="H220" s="20"/>
      <c r="I220" s="20"/>
      <c r="J220" s="20"/>
      <c r="K220" s="21" t="n">
        <f aca="false">H220+I220</f>
        <v>0</v>
      </c>
      <c r="L220" s="20"/>
      <c r="M220" s="21" t="n">
        <f aca="false">H220-L220</f>
        <v>0</v>
      </c>
      <c r="N220" s="23" t="n">
        <f aca="false">IFERROR(M220/B220*10000,0)</f>
        <v>0</v>
      </c>
      <c r="O220" s="20"/>
      <c r="P220" s="20"/>
      <c r="Q220" s="21" t="n">
        <f aca="false">O220+P220</f>
        <v>0</v>
      </c>
      <c r="R220" s="22" t="n">
        <f aca="false">IF(A220&lt;HlpChangeDate,HlpSharePre,HlpSharePost)</f>
        <v>0.03</v>
      </c>
      <c r="S220" s="21" t="n">
        <f aca="false">Q220*R220/(1-R220)</f>
        <v>0</v>
      </c>
      <c r="T220" s="20"/>
      <c r="U220" s="21" t="n">
        <f aca="false">S220-T220</f>
        <v>0</v>
      </c>
      <c r="V220" s="21" t="n">
        <f aca="false">Y220-O220*R220/(1-R220)</f>
        <v>0</v>
      </c>
      <c r="W220" s="21" t="n">
        <f aca="false">Z220-P220*R220/(1-R220)</f>
        <v>0</v>
      </c>
      <c r="X220" s="21" t="n">
        <f aca="false">S220+V220+W220</f>
        <v>0</v>
      </c>
      <c r="Y220" s="20"/>
      <c r="Z220" s="20"/>
      <c r="AA220" s="19" t="n">
        <v>0</v>
      </c>
      <c r="AB220" s="20"/>
      <c r="AC220" s="20"/>
      <c r="AD220" s="24" t="n">
        <f aca="false">IFERROR(AA220/AC220,0)</f>
        <v>0</v>
      </c>
      <c r="AE220" s="25" t="n">
        <f aca="false">K220-Q220-X220</f>
        <v>0</v>
      </c>
      <c r="AF220" s="25" t="n">
        <f aca="false">Q220-AA220</f>
        <v>0</v>
      </c>
      <c r="AG220" s="20"/>
      <c r="AH220" s="26" t="n">
        <f aca="false">IFERROR(AG220/Q220,0)</f>
        <v>0</v>
      </c>
      <c r="AI220" s="27" t="n">
        <v>0</v>
      </c>
      <c r="AJ220" s="26" t="n">
        <f aca="false">IF(AI220&gt;0,AprCoef/SQRT(AI220),0)</f>
        <v>0</v>
      </c>
      <c r="AK220" s="24" t="n">
        <f aca="false">AI220*AJ220/365</f>
        <v>0</v>
      </c>
      <c r="AL220" s="24" t="n">
        <f aca="false">AD220</f>
        <v>0</v>
      </c>
      <c r="AM220" s="24" t="n">
        <f aca="false">AK220-AL220</f>
        <v>0</v>
      </c>
      <c r="AN220" s="28" t="str">
        <f aca="false">IF(A220&gt;=Hip3LaunchDate,"YES","")</f>
        <v/>
      </c>
      <c r="AO220" s="28" t="str">
        <f aca="false">IF(A220&lt;Hip4LaunchDate,"pre-launch","live (zero-fee)")</f>
        <v>pre-launch</v>
      </c>
      <c r="AP220" s="20"/>
      <c r="AQ220" s="20"/>
      <c r="AR220" s="20"/>
    </row>
    <row r="221" customFormat="false" ht="15" hidden="false" customHeight="false" outlineLevel="0" collapsed="false">
      <c r="A221" s="18" t="n">
        <v>45282</v>
      </c>
      <c r="B221" s="19" t="n">
        <v>307616846.87</v>
      </c>
      <c r="C221" s="19" t="n">
        <v>0</v>
      </c>
      <c r="D221" s="20"/>
      <c r="E221" s="21" t="n">
        <f aca="false">B221+C221</f>
        <v>307616846.87</v>
      </c>
      <c r="F221" s="21" t="n">
        <f aca="false">E221+D221</f>
        <v>307616846.87</v>
      </c>
      <c r="G221" s="22" t="n">
        <f aca="false">IFERROR(C221/E221,0)</f>
        <v>0</v>
      </c>
      <c r="H221" s="20"/>
      <c r="I221" s="20"/>
      <c r="J221" s="20"/>
      <c r="K221" s="21" t="n">
        <f aca="false">H221+I221</f>
        <v>0</v>
      </c>
      <c r="L221" s="20"/>
      <c r="M221" s="21" t="n">
        <f aca="false">H221-L221</f>
        <v>0</v>
      </c>
      <c r="N221" s="23" t="n">
        <f aca="false">IFERROR(M221/B221*10000,0)</f>
        <v>0</v>
      </c>
      <c r="O221" s="20"/>
      <c r="P221" s="20"/>
      <c r="Q221" s="21" t="n">
        <f aca="false">O221+P221</f>
        <v>0</v>
      </c>
      <c r="R221" s="22" t="n">
        <f aca="false">IF(A221&lt;HlpChangeDate,HlpSharePre,HlpSharePost)</f>
        <v>0.03</v>
      </c>
      <c r="S221" s="21" t="n">
        <f aca="false">Q221*R221/(1-R221)</f>
        <v>0</v>
      </c>
      <c r="T221" s="20"/>
      <c r="U221" s="21" t="n">
        <f aca="false">S221-T221</f>
        <v>0</v>
      </c>
      <c r="V221" s="21" t="n">
        <f aca="false">Y221-O221*R221/(1-R221)</f>
        <v>0</v>
      </c>
      <c r="W221" s="21" t="n">
        <f aca="false">Z221-P221*R221/(1-R221)</f>
        <v>0</v>
      </c>
      <c r="X221" s="21" t="n">
        <f aca="false">S221+V221+W221</f>
        <v>0</v>
      </c>
      <c r="Y221" s="20"/>
      <c r="Z221" s="20"/>
      <c r="AA221" s="19" t="n">
        <v>0</v>
      </c>
      <c r="AB221" s="20"/>
      <c r="AC221" s="20"/>
      <c r="AD221" s="24" t="n">
        <f aca="false">IFERROR(AA221/AC221,0)</f>
        <v>0</v>
      </c>
      <c r="AE221" s="25" t="n">
        <f aca="false">K221-Q221-X221</f>
        <v>0</v>
      </c>
      <c r="AF221" s="25" t="n">
        <f aca="false">Q221-AA221</f>
        <v>0</v>
      </c>
      <c r="AG221" s="20"/>
      <c r="AH221" s="26" t="n">
        <f aca="false">IFERROR(AG221/Q221,0)</f>
        <v>0</v>
      </c>
      <c r="AI221" s="27" t="n">
        <v>0</v>
      </c>
      <c r="AJ221" s="26" t="n">
        <f aca="false">IF(AI221&gt;0,AprCoef/SQRT(AI221),0)</f>
        <v>0</v>
      </c>
      <c r="AK221" s="24" t="n">
        <f aca="false">AI221*AJ221/365</f>
        <v>0</v>
      </c>
      <c r="AL221" s="24" t="n">
        <f aca="false">AD221</f>
        <v>0</v>
      </c>
      <c r="AM221" s="24" t="n">
        <f aca="false">AK221-AL221</f>
        <v>0</v>
      </c>
      <c r="AN221" s="28" t="str">
        <f aca="false">IF(A221&gt;=Hip3LaunchDate,"YES","")</f>
        <v/>
      </c>
      <c r="AO221" s="28" t="str">
        <f aca="false">IF(A221&lt;Hip4LaunchDate,"pre-launch","live (zero-fee)")</f>
        <v>pre-launch</v>
      </c>
      <c r="AP221" s="20"/>
      <c r="AQ221" s="20"/>
      <c r="AR221" s="20"/>
    </row>
    <row r="222" customFormat="false" ht="15" hidden="false" customHeight="false" outlineLevel="0" collapsed="false">
      <c r="A222" s="18" t="n">
        <v>45283</v>
      </c>
      <c r="B222" s="19" t="n">
        <v>210086175.48</v>
      </c>
      <c r="C222" s="19" t="n">
        <v>0</v>
      </c>
      <c r="D222" s="20"/>
      <c r="E222" s="21" t="n">
        <f aca="false">B222+C222</f>
        <v>210086175.48</v>
      </c>
      <c r="F222" s="21" t="n">
        <f aca="false">E222+D222</f>
        <v>210086175.48</v>
      </c>
      <c r="G222" s="22" t="n">
        <f aca="false">IFERROR(C222/E222,0)</f>
        <v>0</v>
      </c>
      <c r="H222" s="20"/>
      <c r="I222" s="20"/>
      <c r="J222" s="20"/>
      <c r="K222" s="21" t="n">
        <f aca="false">H222+I222</f>
        <v>0</v>
      </c>
      <c r="L222" s="20"/>
      <c r="M222" s="21" t="n">
        <f aca="false">H222-L222</f>
        <v>0</v>
      </c>
      <c r="N222" s="23" t="n">
        <f aca="false">IFERROR(M222/B222*10000,0)</f>
        <v>0</v>
      </c>
      <c r="O222" s="20"/>
      <c r="P222" s="20"/>
      <c r="Q222" s="21" t="n">
        <f aca="false">O222+P222</f>
        <v>0</v>
      </c>
      <c r="R222" s="22" t="n">
        <f aca="false">IF(A222&lt;HlpChangeDate,HlpSharePre,HlpSharePost)</f>
        <v>0.03</v>
      </c>
      <c r="S222" s="21" t="n">
        <f aca="false">Q222*R222/(1-R222)</f>
        <v>0</v>
      </c>
      <c r="T222" s="20"/>
      <c r="U222" s="21" t="n">
        <f aca="false">S222-T222</f>
        <v>0</v>
      </c>
      <c r="V222" s="21" t="n">
        <f aca="false">Y222-O222*R222/(1-R222)</f>
        <v>0</v>
      </c>
      <c r="W222" s="21" t="n">
        <f aca="false">Z222-P222*R222/(1-R222)</f>
        <v>0</v>
      </c>
      <c r="X222" s="21" t="n">
        <f aca="false">S222+V222+W222</f>
        <v>0</v>
      </c>
      <c r="Y222" s="20"/>
      <c r="Z222" s="20"/>
      <c r="AA222" s="19" t="n">
        <v>0</v>
      </c>
      <c r="AB222" s="20"/>
      <c r="AC222" s="20"/>
      <c r="AD222" s="24" t="n">
        <f aca="false">IFERROR(AA222/AC222,0)</f>
        <v>0</v>
      </c>
      <c r="AE222" s="25" t="n">
        <f aca="false">K222-Q222-X222</f>
        <v>0</v>
      </c>
      <c r="AF222" s="25" t="n">
        <f aca="false">Q222-AA222</f>
        <v>0</v>
      </c>
      <c r="AG222" s="20"/>
      <c r="AH222" s="26" t="n">
        <f aca="false">IFERROR(AG222/Q222,0)</f>
        <v>0</v>
      </c>
      <c r="AI222" s="27" t="n">
        <v>0</v>
      </c>
      <c r="AJ222" s="26" t="n">
        <f aca="false">IF(AI222&gt;0,AprCoef/SQRT(AI222),0)</f>
        <v>0</v>
      </c>
      <c r="AK222" s="24" t="n">
        <f aca="false">AI222*AJ222/365</f>
        <v>0</v>
      </c>
      <c r="AL222" s="24" t="n">
        <f aca="false">AD222</f>
        <v>0</v>
      </c>
      <c r="AM222" s="24" t="n">
        <f aca="false">AK222-AL222</f>
        <v>0</v>
      </c>
      <c r="AN222" s="28" t="str">
        <f aca="false">IF(A222&gt;=Hip3LaunchDate,"YES","")</f>
        <v/>
      </c>
      <c r="AO222" s="28" t="str">
        <f aca="false">IF(A222&lt;Hip4LaunchDate,"pre-launch","live (zero-fee)")</f>
        <v>pre-launch</v>
      </c>
      <c r="AP222" s="20"/>
      <c r="AQ222" s="20"/>
      <c r="AR222" s="20"/>
    </row>
    <row r="223" customFormat="false" ht="15" hidden="false" customHeight="false" outlineLevel="0" collapsed="false">
      <c r="A223" s="18" t="n">
        <v>45284</v>
      </c>
      <c r="B223" s="19" t="n">
        <v>288838605.28</v>
      </c>
      <c r="C223" s="19" t="n">
        <v>0</v>
      </c>
      <c r="D223" s="20"/>
      <c r="E223" s="21" t="n">
        <f aca="false">B223+C223</f>
        <v>288838605.28</v>
      </c>
      <c r="F223" s="21" t="n">
        <f aca="false">E223+D223</f>
        <v>288838605.28</v>
      </c>
      <c r="G223" s="22" t="n">
        <f aca="false">IFERROR(C223/E223,0)</f>
        <v>0</v>
      </c>
      <c r="H223" s="20"/>
      <c r="I223" s="20"/>
      <c r="J223" s="20"/>
      <c r="K223" s="21" t="n">
        <f aca="false">H223+I223</f>
        <v>0</v>
      </c>
      <c r="L223" s="20"/>
      <c r="M223" s="21" t="n">
        <f aca="false">H223-L223</f>
        <v>0</v>
      </c>
      <c r="N223" s="23" t="n">
        <f aca="false">IFERROR(M223/B223*10000,0)</f>
        <v>0</v>
      </c>
      <c r="O223" s="20"/>
      <c r="P223" s="20"/>
      <c r="Q223" s="21" t="n">
        <f aca="false">O223+P223</f>
        <v>0</v>
      </c>
      <c r="R223" s="22" t="n">
        <f aca="false">IF(A223&lt;HlpChangeDate,HlpSharePre,HlpSharePost)</f>
        <v>0.03</v>
      </c>
      <c r="S223" s="21" t="n">
        <f aca="false">Q223*R223/(1-R223)</f>
        <v>0</v>
      </c>
      <c r="T223" s="20"/>
      <c r="U223" s="21" t="n">
        <f aca="false">S223-T223</f>
        <v>0</v>
      </c>
      <c r="V223" s="21" t="n">
        <f aca="false">Y223-O223*R223/(1-R223)</f>
        <v>0</v>
      </c>
      <c r="W223" s="21" t="n">
        <f aca="false">Z223-P223*R223/(1-R223)</f>
        <v>0</v>
      </c>
      <c r="X223" s="21" t="n">
        <f aca="false">S223+V223+W223</f>
        <v>0</v>
      </c>
      <c r="Y223" s="20"/>
      <c r="Z223" s="20"/>
      <c r="AA223" s="19" t="n">
        <v>0</v>
      </c>
      <c r="AB223" s="20"/>
      <c r="AC223" s="20"/>
      <c r="AD223" s="24" t="n">
        <f aca="false">IFERROR(AA223/AC223,0)</f>
        <v>0</v>
      </c>
      <c r="AE223" s="25" t="n">
        <f aca="false">K223-Q223-X223</f>
        <v>0</v>
      </c>
      <c r="AF223" s="25" t="n">
        <f aca="false">Q223-AA223</f>
        <v>0</v>
      </c>
      <c r="AG223" s="20"/>
      <c r="AH223" s="26" t="n">
        <f aca="false">IFERROR(AG223/Q223,0)</f>
        <v>0</v>
      </c>
      <c r="AI223" s="27" t="n">
        <v>0</v>
      </c>
      <c r="AJ223" s="26" t="n">
        <f aca="false">IF(AI223&gt;0,AprCoef/SQRT(AI223),0)</f>
        <v>0</v>
      </c>
      <c r="AK223" s="24" t="n">
        <f aca="false">AI223*AJ223/365</f>
        <v>0</v>
      </c>
      <c r="AL223" s="24" t="n">
        <f aca="false">AD223</f>
        <v>0</v>
      </c>
      <c r="AM223" s="24" t="n">
        <f aca="false">AK223-AL223</f>
        <v>0</v>
      </c>
      <c r="AN223" s="28" t="str">
        <f aca="false">IF(A223&gt;=Hip3LaunchDate,"YES","")</f>
        <v/>
      </c>
      <c r="AO223" s="28" t="str">
        <f aca="false">IF(A223&lt;Hip4LaunchDate,"pre-launch","live (zero-fee)")</f>
        <v>pre-launch</v>
      </c>
      <c r="AP223" s="20"/>
      <c r="AQ223" s="20"/>
      <c r="AR223" s="20"/>
    </row>
    <row r="224" customFormat="false" ht="15" hidden="false" customHeight="false" outlineLevel="0" collapsed="false">
      <c r="A224" s="18" t="n">
        <v>45285</v>
      </c>
      <c r="B224" s="19" t="n">
        <v>260951489.86</v>
      </c>
      <c r="C224" s="19" t="n">
        <v>0</v>
      </c>
      <c r="D224" s="20"/>
      <c r="E224" s="21" t="n">
        <f aca="false">B224+C224</f>
        <v>260951489.86</v>
      </c>
      <c r="F224" s="21" t="n">
        <f aca="false">E224+D224</f>
        <v>260951489.86</v>
      </c>
      <c r="G224" s="22" t="n">
        <f aca="false">IFERROR(C224/E224,0)</f>
        <v>0</v>
      </c>
      <c r="H224" s="20"/>
      <c r="I224" s="20"/>
      <c r="J224" s="20"/>
      <c r="K224" s="21" t="n">
        <f aca="false">H224+I224</f>
        <v>0</v>
      </c>
      <c r="L224" s="20"/>
      <c r="M224" s="21" t="n">
        <f aca="false">H224-L224</f>
        <v>0</v>
      </c>
      <c r="N224" s="23" t="n">
        <f aca="false">IFERROR(M224/B224*10000,0)</f>
        <v>0</v>
      </c>
      <c r="O224" s="20"/>
      <c r="P224" s="20"/>
      <c r="Q224" s="21" t="n">
        <f aca="false">O224+P224</f>
        <v>0</v>
      </c>
      <c r="R224" s="22" t="n">
        <f aca="false">IF(A224&lt;HlpChangeDate,HlpSharePre,HlpSharePost)</f>
        <v>0.03</v>
      </c>
      <c r="S224" s="21" t="n">
        <f aca="false">Q224*R224/(1-R224)</f>
        <v>0</v>
      </c>
      <c r="T224" s="20"/>
      <c r="U224" s="21" t="n">
        <f aca="false">S224-T224</f>
        <v>0</v>
      </c>
      <c r="V224" s="21" t="n">
        <f aca="false">Y224-O224*R224/(1-R224)</f>
        <v>0</v>
      </c>
      <c r="W224" s="21" t="n">
        <f aca="false">Z224-P224*R224/(1-R224)</f>
        <v>0</v>
      </c>
      <c r="X224" s="21" t="n">
        <f aca="false">S224+V224+W224</f>
        <v>0</v>
      </c>
      <c r="Y224" s="20"/>
      <c r="Z224" s="20"/>
      <c r="AA224" s="19" t="n">
        <v>0</v>
      </c>
      <c r="AB224" s="20"/>
      <c r="AC224" s="20"/>
      <c r="AD224" s="24" t="n">
        <f aca="false">IFERROR(AA224/AC224,0)</f>
        <v>0</v>
      </c>
      <c r="AE224" s="25" t="n">
        <f aca="false">K224-Q224-X224</f>
        <v>0</v>
      </c>
      <c r="AF224" s="25" t="n">
        <f aca="false">Q224-AA224</f>
        <v>0</v>
      </c>
      <c r="AG224" s="20"/>
      <c r="AH224" s="26" t="n">
        <f aca="false">IFERROR(AG224/Q224,0)</f>
        <v>0</v>
      </c>
      <c r="AI224" s="27" t="n">
        <v>0</v>
      </c>
      <c r="AJ224" s="26" t="n">
        <f aca="false">IF(AI224&gt;0,AprCoef/SQRT(AI224),0)</f>
        <v>0</v>
      </c>
      <c r="AK224" s="24" t="n">
        <f aca="false">AI224*AJ224/365</f>
        <v>0</v>
      </c>
      <c r="AL224" s="24" t="n">
        <f aca="false">AD224</f>
        <v>0</v>
      </c>
      <c r="AM224" s="24" t="n">
        <f aca="false">AK224-AL224</f>
        <v>0</v>
      </c>
      <c r="AN224" s="28" t="str">
        <f aca="false">IF(A224&gt;=Hip3LaunchDate,"YES","")</f>
        <v/>
      </c>
      <c r="AO224" s="28" t="str">
        <f aca="false">IF(A224&lt;Hip4LaunchDate,"pre-launch","live (zero-fee)")</f>
        <v>pre-launch</v>
      </c>
      <c r="AP224" s="20"/>
      <c r="AQ224" s="20"/>
      <c r="AR224" s="20"/>
    </row>
    <row r="225" customFormat="false" ht="15" hidden="false" customHeight="false" outlineLevel="0" collapsed="false">
      <c r="A225" s="18" t="n">
        <v>45286</v>
      </c>
      <c r="B225" s="19" t="n">
        <v>395415651.94</v>
      </c>
      <c r="C225" s="19" t="n">
        <v>0</v>
      </c>
      <c r="D225" s="20"/>
      <c r="E225" s="21" t="n">
        <f aca="false">B225+C225</f>
        <v>395415651.94</v>
      </c>
      <c r="F225" s="21" t="n">
        <f aca="false">E225+D225</f>
        <v>395415651.94</v>
      </c>
      <c r="G225" s="22" t="n">
        <f aca="false">IFERROR(C225/E225,0)</f>
        <v>0</v>
      </c>
      <c r="H225" s="20"/>
      <c r="I225" s="20"/>
      <c r="J225" s="20"/>
      <c r="K225" s="21" t="n">
        <f aca="false">H225+I225</f>
        <v>0</v>
      </c>
      <c r="L225" s="20"/>
      <c r="M225" s="21" t="n">
        <f aca="false">H225-L225</f>
        <v>0</v>
      </c>
      <c r="N225" s="23" t="n">
        <f aca="false">IFERROR(M225/B225*10000,0)</f>
        <v>0</v>
      </c>
      <c r="O225" s="20"/>
      <c r="P225" s="20"/>
      <c r="Q225" s="21" t="n">
        <f aca="false">O225+P225</f>
        <v>0</v>
      </c>
      <c r="R225" s="22" t="n">
        <f aca="false">IF(A225&lt;HlpChangeDate,HlpSharePre,HlpSharePost)</f>
        <v>0.03</v>
      </c>
      <c r="S225" s="21" t="n">
        <f aca="false">Q225*R225/(1-R225)</f>
        <v>0</v>
      </c>
      <c r="T225" s="20"/>
      <c r="U225" s="21" t="n">
        <f aca="false">S225-T225</f>
        <v>0</v>
      </c>
      <c r="V225" s="21" t="n">
        <f aca="false">Y225-O225*R225/(1-R225)</f>
        <v>0</v>
      </c>
      <c r="W225" s="21" t="n">
        <f aca="false">Z225-P225*R225/(1-R225)</f>
        <v>0</v>
      </c>
      <c r="X225" s="21" t="n">
        <f aca="false">S225+V225+W225</f>
        <v>0</v>
      </c>
      <c r="Y225" s="20"/>
      <c r="Z225" s="20"/>
      <c r="AA225" s="19" t="n">
        <v>0</v>
      </c>
      <c r="AB225" s="20"/>
      <c r="AC225" s="20"/>
      <c r="AD225" s="24" t="n">
        <f aca="false">IFERROR(AA225/AC225,0)</f>
        <v>0</v>
      </c>
      <c r="AE225" s="25" t="n">
        <f aca="false">K225-Q225-X225</f>
        <v>0</v>
      </c>
      <c r="AF225" s="25" t="n">
        <f aca="false">Q225-AA225</f>
        <v>0</v>
      </c>
      <c r="AG225" s="20"/>
      <c r="AH225" s="26" t="n">
        <f aca="false">IFERROR(AG225/Q225,0)</f>
        <v>0</v>
      </c>
      <c r="AI225" s="27" t="n">
        <v>0</v>
      </c>
      <c r="AJ225" s="26" t="n">
        <f aca="false">IF(AI225&gt;0,AprCoef/SQRT(AI225),0)</f>
        <v>0</v>
      </c>
      <c r="AK225" s="24" t="n">
        <f aca="false">AI225*AJ225/365</f>
        <v>0</v>
      </c>
      <c r="AL225" s="24" t="n">
        <f aca="false">AD225</f>
        <v>0</v>
      </c>
      <c r="AM225" s="24" t="n">
        <f aca="false">AK225-AL225</f>
        <v>0</v>
      </c>
      <c r="AN225" s="28" t="str">
        <f aca="false">IF(A225&gt;=Hip3LaunchDate,"YES","")</f>
        <v/>
      </c>
      <c r="AO225" s="28" t="str">
        <f aca="false">IF(A225&lt;Hip4LaunchDate,"pre-launch","live (zero-fee)")</f>
        <v>pre-launch</v>
      </c>
      <c r="AP225" s="20"/>
      <c r="AQ225" s="20"/>
      <c r="AR225" s="20"/>
    </row>
    <row r="226" customFormat="false" ht="15" hidden="false" customHeight="false" outlineLevel="0" collapsed="false">
      <c r="A226" s="18" t="n">
        <v>45287</v>
      </c>
      <c r="B226" s="19" t="n">
        <v>312324062.33</v>
      </c>
      <c r="C226" s="19" t="n">
        <v>0</v>
      </c>
      <c r="D226" s="20"/>
      <c r="E226" s="21" t="n">
        <f aca="false">B226+C226</f>
        <v>312324062.33</v>
      </c>
      <c r="F226" s="21" t="n">
        <f aca="false">E226+D226</f>
        <v>312324062.33</v>
      </c>
      <c r="G226" s="22" t="n">
        <f aca="false">IFERROR(C226/E226,0)</f>
        <v>0</v>
      </c>
      <c r="H226" s="20"/>
      <c r="I226" s="20"/>
      <c r="J226" s="20"/>
      <c r="K226" s="21" t="n">
        <f aca="false">H226+I226</f>
        <v>0</v>
      </c>
      <c r="L226" s="20"/>
      <c r="M226" s="21" t="n">
        <f aca="false">H226-L226</f>
        <v>0</v>
      </c>
      <c r="N226" s="23" t="n">
        <f aca="false">IFERROR(M226/B226*10000,0)</f>
        <v>0</v>
      </c>
      <c r="O226" s="20"/>
      <c r="P226" s="20"/>
      <c r="Q226" s="21" t="n">
        <f aca="false">O226+P226</f>
        <v>0</v>
      </c>
      <c r="R226" s="22" t="n">
        <f aca="false">IF(A226&lt;HlpChangeDate,HlpSharePre,HlpSharePost)</f>
        <v>0.03</v>
      </c>
      <c r="S226" s="21" t="n">
        <f aca="false">Q226*R226/(1-R226)</f>
        <v>0</v>
      </c>
      <c r="T226" s="20"/>
      <c r="U226" s="21" t="n">
        <f aca="false">S226-T226</f>
        <v>0</v>
      </c>
      <c r="V226" s="21" t="n">
        <f aca="false">Y226-O226*R226/(1-R226)</f>
        <v>0</v>
      </c>
      <c r="W226" s="21" t="n">
        <f aca="false">Z226-P226*R226/(1-R226)</f>
        <v>0</v>
      </c>
      <c r="X226" s="21" t="n">
        <f aca="false">S226+V226+W226</f>
        <v>0</v>
      </c>
      <c r="Y226" s="20"/>
      <c r="Z226" s="20"/>
      <c r="AA226" s="19" t="n">
        <v>0</v>
      </c>
      <c r="AB226" s="20"/>
      <c r="AC226" s="20"/>
      <c r="AD226" s="24" t="n">
        <f aca="false">IFERROR(AA226/AC226,0)</f>
        <v>0</v>
      </c>
      <c r="AE226" s="25" t="n">
        <f aca="false">K226-Q226-X226</f>
        <v>0</v>
      </c>
      <c r="AF226" s="25" t="n">
        <f aca="false">Q226-AA226</f>
        <v>0</v>
      </c>
      <c r="AG226" s="20"/>
      <c r="AH226" s="26" t="n">
        <f aca="false">IFERROR(AG226/Q226,0)</f>
        <v>0</v>
      </c>
      <c r="AI226" s="27" t="n">
        <v>0</v>
      </c>
      <c r="AJ226" s="26" t="n">
        <f aca="false">IF(AI226&gt;0,AprCoef/SQRT(AI226),0)</f>
        <v>0</v>
      </c>
      <c r="AK226" s="24" t="n">
        <f aca="false">AI226*AJ226/365</f>
        <v>0</v>
      </c>
      <c r="AL226" s="24" t="n">
        <f aca="false">AD226</f>
        <v>0</v>
      </c>
      <c r="AM226" s="24" t="n">
        <f aca="false">AK226-AL226</f>
        <v>0</v>
      </c>
      <c r="AN226" s="28" t="str">
        <f aca="false">IF(A226&gt;=Hip3LaunchDate,"YES","")</f>
        <v/>
      </c>
      <c r="AO226" s="28" t="str">
        <f aca="false">IF(A226&lt;Hip4LaunchDate,"pre-launch","live (zero-fee)")</f>
        <v>pre-launch</v>
      </c>
      <c r="AP226" s="20"/>
      <c r="AQ226" s="20"/>
      <c r="AR226" s="20"/>
    </row>
    <row r="227" customFormat="false" ht="15" hidden="false" customHeight="false" outlineLevel="0" collapsed="false">
      <c r="A227" s="18" t="n">
        <v>45288</v>
      </c>
      <c r="B227" s="19" t="n">
        <v>371505384.98</v>
      </c>
      <c r="C227" s="19" t="n">
        <v>0</v>
      </c>
      <c r="D227" s="20"/>
      <c r="E227" s="21" t="n">
        <f aca="false">B227+C227</f>
        <v>371505384.98</v>
      </c>
      <c r="F227" s="21" t="n">
        <f aca="false">E227+D227</f>
        <v>371505384.98</v>
      </c>
      <c r="G227" s="22" t="n">
        <f aca="false">IFERROR(C227/E227,0)</f>
        <v>0</v>
      </c>
      <c r="H227" s="20"/>
      <c r="I227" s="20"/>
      <c r="J227" s="20"/>
      <c r="K227" s="21" t="n">
        <f aca="false">H227+I227</f>
        <v>0</v>
      </c>
      <c r="L227" s="20"/>
      <c r="M227" s="21" t="n">
        <f aca="false">H227-L227</f>
        <v>0</v>
      </c>
      <c r="N227" s="23" t="n">
        <f aca="false">IFERROR(M227/B227*10000,0)</f>
        <v>0</v>
      </c>
      <c r="O227" s="20"/>
      <c r="P227" s="20"/>
      <c r="Q227" s="21" t="n">
        <f aca="false">O227+P227</f>
        <v>0</v>
      </c>
      <c r="R227" s="22" t="n">
        <f aca="false">IF(A227&lt;HlpChangeDate,HlpSharePre,HlpSharePost)</f>
        <v>0.03</v>
      </c>
      <c r="S227" s="21" t="n">
        <f aca="false">Q227*R227/(1-R227)</f>
        <v>0</v>
      </c>
      <c r="T227" s="20"/>
      <c r="U227" s="21" t="n">
        <f aca="false">S227-T227</f>
        <v>0</v>
      </c>
      <c r="V227" s="21" t="n">
        <f aca="false">Y227-O227*R227/(1-R227)</f>
        <v>0</v>
      </c>
      <c r="W227" s="21" t="n">
        <f aca="false">Z227-P227*R227/(1-R227)</f>
        <v>0</v>
      </c>
      <c r="X227" s="21" t="n">
        <f aca="false">S227+V227+W227</f>
        <v>0</v>
      </c>
      <c r="Y227" s="20"/>
      <c r="Z227" s="20"/>
      <c r="AA227" s="19" t="n">
        <v>0</v>
      </c>
      <c r="AB227" s="20"/>
      <c r="AC227" s="20"/>
      <c r="AD227" s="24" t="n">
        <f aca="false">IFERROR(AA227/AC227,0)</f>
        <v>0</v>
      </c>
      <c r="AE227" s="25" t="n">
        <f aca="false">K227-Q227-X227</f>
        <v>0</v>
      </c>
      <c r="AF227" s="25" t="n">
        <f aca="false">Q227-AA227</f>
        <v>0</v>
      </c>
      <c r="AG227" s="20"/>
      <c r="AH227" s="26" t="n">
        <f aca="false">IFERROR(AG227/Q227,0)</f>
        <v>0</v>
      </c>
      <c r="AI227" s="27" t="n">
        <v>0</v>
      </c>
      <c r="AJ227" s="26" t="n">
        <f aca="false">IF(AI227&gt;0,AprCoef/SQRT(AI227),0)</f>
        <v>0</v>
      </c>
      <c r="AK227" s="24" t="n">
        <f aca="false">AI227*AJ227/365</f>
        <v>0</v>
      </c>
      <c r="AL227" s="24" t="n">
        <f aca="false">AD227</f>
        <v>0</v>
      </c>
      <c r="AM227" s="24" t="n">
        <f aca="false">AK227-AL227</f>
        <v>0</v>
      </c>
      <c r="AN227" s="28" t="str">
        <f aca="false">IF(A227&gt;=Hip3LaunchDate,"YES","")</f>
        <v/>
      </c>
      <c r="AO227" s="28" t="str">
        <f aca="false">IF(A227&lt;Hip4LaunchDate,"pre-launch","live (zero-fee)")</f>
        <v>pre-launch</v>
      </c>
      <c r="AP227" s="20"/>
      <c r="AQ227" s="20"/>
      <c r="AR227" s="20"/>
    </row>
    <row r="228" customFormat="false" ht="15" hidden="false" customHeight="false" outlineLevel="0" collapsed="false">
      <c r="A228" s="18" t="n">
        <v>45289</v>
      </c>
      <c r="B228" s="19" t="n">
        <v>446715921.04</v>
      </c>
      <c r="C228" s="19" t="n">
        <v>0</v>
      </c>
      <c r="D228" s="20"/>
      <c r="E228" s="21" t="n">
        <f aca="false">B228+C228</f>
        <v>446715921.04</v>
      </c>
      <c r="F228" s="21" t="n">
        <f aca="false">E228+D228</f>
        <v>446715921.04</v>
      </c>
      <c r="G228" s="22" t="n">
        <f aca="false">IFERROR(C228/E228,0)</f>
        <v>0</v>
      </c>
      <c r="H228" s="20"/>
      <c r="I228" s="20"/>
      <c r="J228" s="20"/>
      <c r="K228" s="21" t="n">
        <f aca="false">H228+I228</f>
        <v>0</v>
      </c>
      <c r="L228" s="20"/>
      <c r="M228" s="21" t="n">
        <f aca="false">H228-L228</f>
        <v>0</v>
      </c>
      <c r="N228" s="23" t="n">
        <f aca="false">IFERROR(M228/B228*10000,0)</f>
        <v>0</v>
      </c>
      <c r="O228" s="20"/>
      <c r="P228" s="20"/>
      <c r="Q228" s="21" t="n">
        <f aca="false">O228+P228</f>
        <v>0</v>
      </c>
      <c r="R228" s="22" t="n">
        <f aca="false">IF(A228&lt;HlpChangeDate,HlpSharePre,HlpSharePost)</f>
        <v>0.03</v>
      </c>
      <c r="S228" s="21" t="n">
        <f aca="false">Q228*R228/(1-R228)</f>
        <v>0</v>
      </c>
      <c r="T228" s="20"/>
      <c r="U228" s="21" t="n">
        <f aca="false">S228-T228</f>
        <v>0</v>
      </c>
      <c r="V228" s="21" t="n">
        <f aca="false">Y228-O228*R228/(1-R228)</f>
        <v>0</v>
      </c>
      <c r="W228" s="21" t="n">
        <f aca="false">Z228-P228*R228/(1-R228)</f>
        <v>0</v>
      </c>
      <c r="X228" s="21" t="n">
        <f aca="false">S228+V228+W228</f>
        <v>0</v>
      </c>
      <c r="Y228" s="20"/>
      <c r="Z228" s="20"/>
      <c r="AA228" s="19" t="n">
        <v>0</v>
      </c>
      <c r="AB228" s="20"/>
      <c r="AC228" s="20"/>
      <c r="AD228" s="24" t="n">
        <f aca="false">IFERROR(AA228/AC228,0)</f>
        <v>0</v>
      </c>
      <c r="AE228" s="25" t="n">
        <f aca="false">K228-Q228-X228</f>
        <v>0</v>
      </c>
      <c r="AF228" s="25" t="n">
        <f aca="false">Q228-AA228</f>
        <v>0</v>
      </c>
      <c r="AG228" s="20"/>
      <c r="AH228" s="26" t="n">
        <f aca="false">IFERROR(AG228/Q228,0)</f>
        <v>0</v>
      </c>
      <c r="AI228" s="27" t="n">
        <v>0</v>
      </c>
      <c r="AJ228" s="26" t="n">
        <f aca="false">IF(AI228&gt;0,AprCoef/SQRT(AI228),0)</f>
        <v>0</v>
      </c>
      <c r="AK228" s="24" t="n">
        <f aca="false">AI228*AJ228/365</f>
        <v>0</v>
      </c>
      <c r="AL228" s="24" t="n">
        <f aca="false">AD228</f>
        <v>0</v>
      </c>
      <c r="AM228" s="24" t="n">
        <f aca="false">AK228-AL228</f>
        <v>0</v>
      </c>
      <c r="AN228" s="28" t="str">
        <f aca="false">IF(A228&gt;=Hip3LaunchDate,"YES","")</f>
        <v/>
      </c>
      <c r="AO228" s="28" t="str">
        <f aca="false">IF(A228&lt;Hip4LaunchDate,"pre-launch","live (zero-fee)")</f>
        <v>pre-launch</v>
      </c>
      <c r="AP228" s="20"/>
      <c r="AQ228" s="20"/>
      <c r="AR228" s="20"/>
    </row>
    <row r="229" customFormat="false" ht="15" hidden="false" customHeight="false" outlineLevel="0" collapsed="false">
      <c r="A229" s="18" t="n">
        <v>45290</v>
      </c>
      <c r="B229" s="19" t="n">
        <v>224443700.11</v>
      </c>
      <c r="C229" s="19" t="n">
        <v>0</v>
      </c>
      <c r="D229" s="20"/>
      <c r="E229" s="21" t="n">
        <f aca="false">B229+C229</f>
        <v>224443700.11</v>
      </c>
      <c r="F229" s="21" t="n">
        <f aca="false">E229+D229</f>
        <v>224443700.11</v>
      </c>
      <c r="G229" s="22" t="n">
        <f aca="false">IFERROR(C229/E229,0)</f>
        <v>0</v>
      </c>
      <c r="H229" s="20"/>
      <c r="I229" s="20"/>
      <c r="J229" s="20"/>
      <c r="K229" s="21" t="n">
        <f aca="false">H229+I229</f>
        <v>0</v>
      </c>
      <c r="L229" s="20"/>
      <c r="M229" s="21" t="n">
        <f aca="false">H229-L229</f>
        <v>0</v>
      </c>
      <c r="N229" s="23" t="n">
        <f aca="false">IFERROR(M229/B229*10000,0)</f>
        <v>0</v>
      </c>
      <c r="O229" s="20"/>
      <c r="P229" s="20"/>
      <c r="Q229" s="21" t="n">
        <f aca="false">O229+P229</f>
        <v>0</v>
      </c>
      <c r="R229" s="22" t="n">
        <f aca="false">IF(A229&lt;HlpChangeDate,HlpSharePre,HlpSharePost)</f>
        <v>0.03</v>
      </c>
      <c r="S229" s="21" t="n">
        <f aca="false">Q229*R229/(1-R229)</f>
        <v>0</v>
      </c>
      <c r="T229" s="20"/>
      <c r="U229" s="21" t="n">
        <f aca="false">S229-T229</f>
        <v>0</v>
      </c>
      <c r="V229" s="21" t="n">
        <f aca="false">Y229-O229*R229/(1-R229)</f>
        <v>0</v>
      </c>
      <c r="W229" s="21" t="n">
        <f aca="false">Z229-P229*R229/(1-R229)</f>
        <v>0</v>
      </c>
      <c r="X229" s="21" t="n">
        <f aca="false">S229+V229+W229</f>
        <v>0</v>
      </c>
      <c r="Y229" s="20"/>
      <c r="Z229" s="20"/>
      <c r="AA229" s="19" t="n">
        <v>0</v>
      </c>
      <c r="AB229" s="20"/>
      <c r="AC229" s="20"/>
      <c r="AD229" s="24" t="n">
        <f aca="false">IFERROR(AA229/AC229,0)</f>
        <v>0</v>
      </c>
      <c r="AE229" s="25" t="n">
        <f aca="false">K229-Q229-X229</f>
        <v>0</v>
      </c>
      <c r="AF229" s="25" t="n">
        <f aca="false">Q229-AA229</f>
        <v>0</v>
      </c>
      <c r="AG229" s="20"/>
      <c r="AH229" s="26" t="n">
        <f aca="false">IFERROR(AG229/Q229,0)</f>
        <v>0</v>
      </c>
      <c r="AI229" s="27" t="n">
        <v>0</v>
      </c>
      <c r="AJ229" s="26" t="n">
        <f aca="false">IF(AI229&gt;0,AprCoef/SQRT(AI229),0)</f>
        <v>0</v>
      </c>
      <c r="AK229" s="24" t="n">
        <f aca="false">AI229*AJ229/365</f>
        <v>0</v>
      </c>
      <c r="AL229" s="24" t="n">
        <f aca="false">AD229</f>
        <v>0</v>
      </c>
      <c r="AM229" s="24" t="n">
        <f aca="false">AK229-AL229</f>
        <v>0</v>
      </c>
      <c r="AN229" s="28" t="str">
        <f aca="false">IF(A229&gt;=Hip3LaunchDate,"YES","")</f>
        <v/>
      </c>
      <c r="AO229" s="28" t="str">
        <f aca="false">IF(A229&lt;Hip4LaunchDate,"pre-launch","live (zero-fee)")</f>
        <v>pre-launch</v>
      </c>
      <c r="AP229" s="20"/>
      <c r="AQ229" s="20"/>
      <c r="AR229" s="20"/>
    </row>
    <row r="230" customFormat="false" ht="15" hidden="false" customHeight="false" outlineLevel="0" collapsed="false">
      <c r="A230" s="18" t="n">
        <v>45291</v>
      </c>
      <c r="B230" s="19" t="n">
        <v>277442341.45</v>
      </c>
      <c r="C230" s="19" t="n">
        <v>0</v>
      </c>
      <c r="D230" s="20"/>
      <c r="E230" s="21" t="n">
        <f aca="false">B230+C230</f>
        <v>277442341.45</v>
      </c>
      <c r="F230" s="21" t="n">
        <f aca="false">E230+D230</f>
        <v>277442341.45</v>
      </c>
      <c r="G230" s="22" t="n">
        <f aca="false">IFERROR(C230/E230,0)</f>
        <v>0</v>
      </c>
      <c r="H230" s="20"/>
      <c r="I230" s="20"/>
      <c r="J230" s="20"/>
      <c r="K230" s="21" t="n">
        <f aca="false">H230+I230</f>
        <v>0</v>
      </c>
      <c r="L230" s="20"/>
      <c r="M230" s="21" t="n">
        <f aca="false">H230-L230</f>
        <v>0</v>
      </c>
      <c r="N230" s="23" t="n">
        <f aca="false">IFERROR(M230/B230*10000,0)</f>
        <v>0</v>
      </c>
      <c r="O230" s="20"/>
      <c r="P230" s="20"/>
      <c r="Q230" s="21" t="n">
        <f aca="false">O230+P230</f>
        <v>0</v>
      </c>
      <c r="R230" s="22" t="n">
        <f aca="false">IF(A230&lt;HlpChangeDate,HlpSharePre,HlpSharePost)</f>
        <v>0.03</v>
      </c>
      <c r="S230" s="21" t="n">
        <f aca="false">Q230*R230/(1-R230)</f>
        <v>0</v>
      </c>
      <c r="T230" s="20"/>
      <c r="U230" s="21" t="n">
        <f aca="false">S230-T230</f>
        <v>0</v>
      </c>
      <c r="V230" s="21" t="n">
        <f aca="false">Y230-O230*R230/(1-R230)</f>
        <v>0</v>
      </c>
      <c r="W230" s="21" t="n">
        <f aca="false">Z230-P230*R230/(1-R230)</f>
        <v>0</v>
      </c>
      <c r="X230" s="21" t="n">
        <f aca="false">S230+V230+W230</f>
        <v>0</v>
      </c>
      <c r="Y230" s="20"/>
      <c r="Z230" s="20"/>
      <c r="AA230" s="19" t="n">
        <v>0</v>
      </c>
      <c r="AB230" s="20"/>
      <c r="AC230" s="20"/>
      <c r="AD230" s="24" t="n">
        <f aca="false">IFERROR(AA230/AC230,0)</f>
        <v>0</v>
      </c>
      <c r="AE230" s="25" t="n">
        <f aca="false">K230-Q230-X230</f>
        <v>0</v>
      </c>
      <c r="AF230" s="25" t="n">
        <f aca="false">Q230-AA230</f>
        <v>0</v>
      </c>
      <c r="AG230" s="20"/>
      <c r="AH230" s="26" t="n">
        <f aca="false">IFERROR(AG230/Q230,0)</f>
        <v>0</v>
      </c>
      <c r="AI230" s="27" t="n">
        <v>0</v>
      </c>
      <c r="AJ230" s="26" t="n">
        <f aca="false">IF(AI230&gt;0,AprCoef/SQRT(AI230),0)</f>
        <v>0</v>
      </c>
      <c r="AK230" s="24" t="n">
        <f aca="false">AI230*AJ230/365</f>
        <v>0</v>
      </c>
      <c r="AL230" s="24" t="n">
        <f aca="false">AD230</f>
        <v>0</v>
      </c>
      <c r="AM230" s="24" t="n">
        <f aca="false">AK230-AL230</f>
        <v>0</v>
      </c>
      <c r="AN230" s="28" t="str">
        <f aca="false">IF(A230&gt;=Hip3LaunchDate,"YES","")</f>
        <v/>
      </c>
      <c r="AO230" s="28" t="str">
        <f aca="false">IF(A230&lt;Hip4LaunchDate,"pre-launch","live (zero-fee)")</f>
        <v>pre-launch</v>
      </c>
      <c r="AP230" s="20"/>
      <c r="AQ230" s="20"/>
      <c r="AR230" s="20"/>
    </row>
    <row r="231" customFormat="false" ht="15" hidden="false" customHeight="false" outlineLevel="0" collapsed="false">
      <c r="A231" s="18" t="n">
        <v>45292</v>
      </c>
      <c r="B231" s="19" t="n">
        <v>256096011.37</v>
      </c>
      <c r="C231" s="19" t="n">
        <v>0</v>
      </c>
      <c r="D231" s="20"/>
      <c r="E231" s="21" t="n">
        <f aca="false">B231+C231</f>
        <v>256096011.37</v>
      </c>
      <c r="F231" s="21" t="n">
        <f aca="false">E231+D231</f>
        <v>256096011.37</v>
      </c>
      <c r="G231" s="22" t="n">
        <f aca="false">IFERROR(C231/E231,0)</f>
        <v>0</v>
      </c>
      <c r="H231" s="20"/>
      <c r="I231" s="20"/>
      <c r="J231" s="20"/>
      <c r="K231" s="21" t="n">
        <f aca="false">H231+I231</f>
        <v>0</v>
      </c>
      <c r="L231" s="20"/>
      <c r="M231" s="21" t="n">
        <f aca="false">H231-L231</f>
        <v>0</v>
      </c>
      <c r="N231" s="23" t="n">
        <f aca="false">IFERROR(M231/B231*10000,0)</f>
        <v>0</v>
      </c>
      <c r="O231" s="20"/>
      <c r="P231" s="20"/>
      <c r="Q231" s="21" t="n">
        <f aca="false">O231+P231</f>
        <v>0</v>
      </c>
      <c r="R231" s="22" t="n">
        <f aca="false">IF(A231&lt;HlpChangeDate,HlpSharePre,HlpSharePost)</f>
        <v>0.03</v>
      </c>
      <c r="S231" s="21" t="n">
        <f aca="false">Q231*R231/(1-R231)</f>
        <v>0</v>
      </c>
      <c r="T231" s="20"/>
      <c r="U231" s="21" t="n">
        <f aca="false">S231-T231</f>
        <v>0</v>
      </c>
      <c r="V231" s="21" t="n">
        <f aca="false">Y231-O231*R231/(1-R231)</f>
        <v>0</v>
      </c>
      <c r="W231" s="21" t="n">
        <f aca="false">Z231-P231*R231/(1-R231)</f>
        <v>0</v>
      </c>
      <c r="X231" s="21" t="n">
        <f aca="false">S231+V231+W231</f>
        <v>0</v>
      </c>
      <c r="Y231" s="20"/>
      <c r="Z231" s="20"/>
      <c r="AA231" s="19" t="n">
        <v>0</v>
      </c>
      <c r="AB231" s="20"/>
      <c r="AC231" s="20"/>
      <c r="AD231" s="24" t="n">
        <f aca="false">IFERROR(AA231/AC231,0)</f>
        <v>0</v>
      </c>
      <c r="AE231" s="25" t="n">
        <f aca="false">K231-Q231-X231</f>
        <v>0</v>
      </c>
      <c r="AF231" s="25" t="n">
        <f aca="false">Q231-AA231</f>
        <v>0</v>
      </c>
      <c r="AG231" s="20"/>
      <c r="AH231" s="26" t="n">
        <f aca="false">IFERROR(AG231/Q231,0)</f>
        <v>0</v>
      </c>
      <c r="AI231" s="27" t="n">
        <v>0</v>
      </c>
      <c r="AJ231" s="26" t="n">
        <f aca="false">IF(AI231&gt;0,AprCoef/SQRT(AI231),0)</f>
        <v>0</v>
      </c>
      <c r="AK231" s="24" t="n">
        <f aca="false">AI231*AJ231/365</f>
        <v>0</v>
      </c>
      <c r="AL231" s="24" t="n">
        <f aca="false">AD231</f>
        <v>0</v>
      </c>
      <c r="AM231" s="24" t="n">
        <f aca="false">AK231-AL231</f>
        <v>0</v>
      </c>
      <c r="AN231" s="28" t="str">
        <f aca="false">IF(A231&gt;=Hip3LaunchDate,"YES","")</f>
        <v/>
      </c>
      <c r="AO231" s="28" t="str">
        <f aca="false">IF(A231&lt;Hip4LaunchDate,"pre-launch","live (zero-fee)")</f>
        <v>pre-launch</v>
      </c>
      <c r="AP231" s="20"/>
      <c r="AQ231" s="20"/>
      <c r="AR231" s="20"/>
    </row>
    <row r="232" customFormat="false" ht="15" hidden="false" customHeight="false" outlineLevel="0" collapsed="false">
      <c r="A232" s="18" t="n">
        <v>45293</v>
      </c>
      <c r="B232" s="19" t="n">
        <v>450742564.35</v>
      </c>
      <c r="C232" s="19" t="n">
        <v>0</v>
      </c>
      <c r="D232" s="20"/>
      <c r="E232" s="21" t="n">
        <f aca="false">B232+C232</f>
        <v>450742564.35</v>
      </c>
      <c r="F232" s="21" t="n">
        <f aca="false">E232+D232</f>
        <v>450742564.35</v>
      </c>
      <c r="G232" s="22" t="n">
        <f aca="false">IFERROR(C232/E232,0)</f>
        <v>0</v>
      </c>
      <c r="H232" s="20"/>
      <c r="I232" s="20"/>
      <c r="J232" s="20"/>
      <c r="K232" s="21" t="n">
        <f aca="false">H232+I232</f>
        <v>0</v>
      </c>
      <c r="L232" s="20"/>
      <c r="M232" s="21" t="n">
        <f aca="false">H232-L232</f>
        <v>0</v>
      </c>
      <c r="N232" s="23" t="n">
        <f aca="false">IFERROR(M232/B232*10000,0)</f>
        <v>0</v>
      </c>
      <c r="O232" s="20"/>
      <c r="P232" s="20"/>
      <c r="Q232" s="21" t="n">
        <f aca="false">O232+P232</f>
        <v>0</v>
      </c>
      <c r="R232" s="22" t="n">
        <f aca="false">IF(A232&lt;HlpChangeDate,HlpSharePre,HlpSharePost)</f>
        <v>0.03</v>
      </c>
      <c r="S232" s="21" t="n">
        <f aca="false">Q232*R232/(1-R232)</f>
        <v>0</v>
      </c>
      <c r="T232" s="20"/>
      <c r="U232" s="21" t="n">
        <f aca="false">S232-T232</f>
        <v>0</v>
      </c>
      <c r="V232" s="21" t="n">
        <f aca="false">Y232-O232*R232/(1-R232)</f>
        <v>0</v>
      </c>
      <c r="W232" s="21" t="n">
        <f aca="false">Z232-P232*R232/(1-R232)</f>
        <v>0</v>
      </c>
      <c r="X232" s="21" t="n">
        <f aca="false">S232+V232+W232</f>
        <v>0</v>
      </c>
      <c r="Y232" s="20"/>
      <c r="Z232" s="20"/>
      <c r="AA232" s="19" t="n">
        <v>0</v>
      </c>
      <c r="AB232" s="20"/>
      <c r="AC232" s="20"/>
      <c r="AD232" s="24" t="n">
        <f aca="false">IFERROR(AA232/AC232,0)</f>
        <v>0</v>
      </c>
      <c r="AE232" s="25" t="n">
        <f aca="false">K232-Q232-X232</f>
        <v>0</v>
      </c>
      <c r="AF232" s="25" t="n">
        <f aca="false">Q232-AA232</f>
        <v>0</v>
      </c>
      <c r="AG232" s="20"/>
      <c r="AH232" s="26" t="n">
        <f aca="false">IFERROR(AG232/Q232,0)</f>
        <v>0</v>
      </c>
      <c r="AI232" s="27" t="n">
        <v>0</v>
      </c>
      <c r="AJ232" s="26" t="n">
        <f aca="false">IF(AI232&gt;0,AprCoef/SQRT(AI232),0)</f>
        <v>0</v>
      </c>
      <c r="AK232" s="24" t="n">
        <f aca="false">AI232*AJ232/365</f>
        <v>0</v>
      </c>
      <c r="AL232" s="24" t="n">
        <f aca="false">AD232</f>
        <v>0</v>
      </c>
      <c r="AM232" s="24" t="n">
        <f aca="false">AK232-AL232</f>
        <v>0</v>
      </c>
      <c r="AN232" s="28" t="str">
        <f aca="false">IF(A232&gt;=Hip3LaunchDate,"YES","")</f>
        <v/>
      </c>
      <c r="AO232" s="28" t="str">
        <f aca="false">IF(A232&lt;Hip4LaunchDate,"pre-launch","live (zero-fee)")</f>
        <v>pre-launch</v>
      </c>
      <c r="AP232" s="20"/>
      <c r="AQ232" s="20"/>
      <c r="AR232" s="20"/>
    </row>
    <row r="233" customFormat="false" ht="15" hidden="false" customHeight="false" outlineLevel="0" collapsed="false">
      <c r="A233" s="18" t="n">
        <v>45294</v>
      </c>
      <c r="B233" s="19" t="n">
        <v>954353310.97</v>
      </c>
      <c r="C233" s="19" t="n">
        <v>0</v>
      </c>
      <c r="D233" s="20"/>
      <c r="E233" s="21" t="n">
        <f aca="false">B233+C233</f>
        <v>954353310.97</v>
      </c>
      <c r="F233" s="21" t="n">
        <f aca="false">E233+D233</f>
        <v>954353310.97</v>
      </c>
      <c r="G233" s="22" t="n">
        <f aca="false">IFERROR(C233/E233,0)</f>
        <v>0</v>
      </c>
      <c r="H233" s="20"/>
      <c r="I233" s="20"/>
      <c r="J233" s="20"/>
      <c r="K233" s="21" t="n">
        <f aca="false">H233+I233</f>
        <v>0</v>
      </c>
      <c r="L233" s="20"/>
      <c r="M233" s="21" t="n">
        <f aca="false">H233-L233</f>
        <v>0</v>
      </c>
      <c r="N233" s="23" t="n">
        <f aca="false">IFERROR(M233/B233*10000,0)</f>
        <v>0</v>
      </c>
      <c r="O233" s="20"/>
      <c r="P233" s="20"/>
      <c r="Q233" s="21" t="n">
        <f aca="false">O233+P233</f>
        <v>0</v>
      </c>
      <c r="R233" s="22" t="n">
        <f aca="false">IF(A233&lt;HlpChangeDate,HlpSharePre,HlpSharePost)</f>
        <v>0.03</v>
      </c>
      <c r="S233" s="21" t="n">
        <f aca="false">Q233*R233/(1-R233)</f>
        <v>0</v>
      </c>
      <c r="T233" s="20"/>
      <c r="U233" s="21" t="n">
        <f aca="false">S233-T233</f>
        <v>0</v>
      </c>
      <c r="V233" s="21" t="n">
        <f aca="false">Y233-O233*R233/(1-R233)</f>
        <v>0</v>
      </c>
      <c r="W233" s="21" t="n">
        <f aca="false">Z233-P233*R233/(1-R233)</f>
        <v>0</v>
      </c>
      <c r="X233" s="21" t="n">
        <f aca="false">S233+V233+W233</f>
        <v>0</v>
      </c>
      <c r="Y233" s="20"/>
      <c r="Z233" s="20"/>
      <c r="AA233" s="19" t="n">
        <v>0</v>
      </c>
      <c r="AB233" s="20"/>
      <c r="AC233" s="20"/>
      <c r="AD233" s="24" t="n">
        <f aca="false">IFERROR(AA233/AC233,0)</f>
        <v>0</v>
      </c>
      <c r="AE233" s="25" t="n">
        <f aca="false">K233-Q233-X233</f>
        <v>0</v>
      </c>
      <c r="AF233" s="25" t="n">
        <f aca="false">Q233-AA233</f>
        <v>0</v>
      </c>
      <c r="AG233" s="20"/>
      <c r="AH233" s="26" t="n">
        <f aca="false">IFERROR(AG233/Q233,0)</f>
        <v>0</v>
      </c>
      <c r="AI233" s="27" t="n">
        <v>0</v>
      </c>
      <c r="AJ233" s="26" t="n">
        <f aca="false">IF(AI233&gt;0,AprCoef/SQRT(AI233),0)</f>
        <v>0</v>
      </c>
      <c r="AK233" s="24" t="n">
        <f aca="false">AI233*AJ233/365</f>
        <v>0</v>
      </c>
      <c r="AL233" s="24" t="n">
        <f aca="false">AD233</f>
        <v>0</v>
      </c>
      <c r="AM233" s="24" t="n">
        <f aca="false">AK233-AL233</f>
        <v>0</v>
      </c>
      <c r="AN233" s="28" t="str">
        <f aca="false">IF(A233&gt;=Hip3LaunchDate,"YES","")</f>
        <v/>
      </c>
      <c r="AO233" s="28" t="str">
        <f aca="false">IF(A233&lt;Hip4LaunchDate,"pre-launch","live (zero-fee)")</f>
        <v>pre-launch</v>
      </c>
      <c r="AP233" s="20"/>
      <c r="AQ233" s="20"/>
      <c r="AR233" s="20"/>
    </row>
    <row r="234" customFormat="false" ht="15" hidden="false" customHeight="false" outlineLevel="0" collapsed="false">
      <c r="A234" s="18" t="n">
        <v>45295</v>
      </c>
      <c r="B234" s="19" t="n">
        <v>471431381.64</v>
      </c>
      <c r="C234" s="19" t="n">
        <v>0</v>
      </c>
      <c r="D234" s="20"/>
      <c r="E234" s="21" t="n">
        <f aca="false">B234+C234</f>
        <v>471431381.64</v>
      </c>
      <c r="F234" s="21" t="n">
        <f aca="false">E234+D234</f>
        <v>471431381.64</v>
      </c>
      <c r="G234" s="22" t="n">
        <f aca="false">IFERROR(C234/E234,0)</f>
        <v>0</v>
      </c>
      <c r="H234" s="20"/>
      <c r="I234" s="20"/>
      <c r="J234" s="20"/>
      <c r="K234" s="21" t="n">
        <f aca="false">H234+I234</f>
        <v>0</v>
      </c>
      <c r="L234" s="20"/>
      <c r="M234" s="21" t="n">
        <f aca="false">H234-L234</f>
        <v>0</v>
      </c>
      <c r="N234" s="23" t="n">
        <f aca="false">IFERROR(M234/B234*10000,0)</f>
        <v>0</v>
      </c>
      <c r="O234" s="20"/>
      <c r="P234" s="20"/>
      <c r="Q234" s="21" t="n">
        <f aca="false">O234+P234</f>
        <v>0</v>
      </c>
      <c r="R234" s="22" t="n">
        <f aca="false">IF(A234&lt;HlpChangeDate,HlpSharePre,HlpSharePost)</f>
        <v>0.03</v>
      </c>
      <c r="S234" s="21" t="n">
        <f aca="false">Q234*R234/(1-R234)</f>
        <v>0</v>
      </c>
      <c r="T234" s="20"/>
      <c r="U234" s="21" t="n">
        <f aca="false">S234-T234</f>
        <v>0</v>
      </c>
      <c r="V234" s="21" t="n">
        <f aca="false">Y234-O234*R234/(1-R234)</f>
        <v>0</v>
      </c>
      <c r="W234" s="21" t="n">
        <f aca="false">Z234-P234*R234/(1-R234)</f>
        <v>0</v>
      </c>
      <c r="X234" s="21" t="n">
        <f aca="false">S234+V234+W234</f>
        <v>0</v>
      </c>
      <c r="Y234" s="20"/>
      <c r="Z234" s="20"/>
      <c r="AA234" s="19" t="n">
        <v>0</v>
      </c>
      <c r="AB234" s="20"/>
      <c r="AC234" s="20"/>
      <c r="AD234" s="24" t="n">
        <f aca="false">IFERROR(AA234/AC234,0)</f>
        <v>0</v>
      </c>
      <c r="AE234" s="25" t="n">
        <f aca="false">K234-Q234-X234</f>
        <v>0</v>
      </c>
      <c r="AF234" s="25" t="n">
        <f aca="false">Q234-AA234</f>
        <v>0</v>
      </c>
      <c r="AG234" s="20"/>
      <c r="AH234" s="26" t="n">
        <f aca="false">IFERROR(AG234/Q234,0)</f>
        <v>0</v>
      </c>
      <c r="AI234" s="27" t="n">
        <v>0</v>
      </c>
      <c r="AJ234" s="26" t="n">
        <f aca="false">IF(AI234&gt;0,AprCoef/SQRT(AI234),0)</f>
        <v>0</v>
      </c>
      <c r="AK234" s="24" t="n">
        <f aca="false">AI234*AJ234/365</f>
        <v>0</v>
      </c>
      <c r="AL234" s="24" t="n">
        <f aca="false">AD234</f>
        <v>0</v>
      </c>
      <c r="AM234" s="24" t="n">
        <f aca="false">AK234-AL234</f>
        <v>0</v>
      </c>
      <c r="AN234" s="28" t="str">
        <f aca="false">IF(A234&gt;=Hip3LaunchDate,"YES","")</f>
        <v/>
      </c>
      <c r="AO234" s="28" t="str">
        <f aca="false">IF(A234&lt;Hip4LaunchDate,"pre-launch","live (zero-fee)")</f>
        <v>pre-launch</v>
      </c>
      <c r="AP234" s="20"/>
      <c r="AQ234" s="20"/>
      <c r="AR234" s="20"/>
    </row>
    <row r="235" customFormat="false" ht="15" hidden="false" customHeight="false" outlineLevel="0" collapsed="false">
      <c r="A235" s="18" t="n">
        <v>45296</v>
      </c>
      <c r="B235" s="19" t="n">
        <v>612731389.55</v>
      </c>
      <c r="C235" s="19" t="n">
        <v>0</v>
      </c>
      <c r="D235" s="20"/>
      <c r="E235" s="21" t="n">
        <f aca="false">B235+C235</f>
        <v>612731389.55</v>
      </c>
      <c r="F235" s="21" t="n">
        <f aca="false">E235+D235</f>
        <v>612731389.55</v>
      </c>
      <c r="G235" s="22" t="n">
        <f aca="false">IFERROR(C235/E235,0)</f>
        <v>0</v>
      </c>
      <c r="H235" s="20"/>
      <c r="I235" s="20"/>
      <c r="J235" s="20"/>
      <c r="K235" s="21" t="n">
        <f aca="false">H235+I235</f>
        <v>0</v>
      </c>
      <c r="L235" s="20"/>
      <c r="M235" s="21" t="n">
        <f aca="false">H235-L235</f>
        <v>0</v>
      </c>
      <c r="N235" s="23" t="n">
        <f aca="false">IFERROR(M235/B235*10000,0)</f>
        <v>0</v>
      </c>
      <c r="O235" s="20"/>
      <c r="P235" s="20"/>
      <c r="Q235" s="21" t="n">
        <f aca="false">O235+P235</f>
        <v>0</v>
      </c>
      <c r="R235" s="22" t="n">
        <f aca="false">IF(A235&lt;HlpChangeDate,HlpSharePre,HlpSharePost)</f>
        <v>0.03</v>
      </c>
      <c r="S235" s="21" t="n">
        <f aca="false">Q235*R235/(1-R235)</f>
        <v>0</v>
      </c>
      <c r="T235" s="20"/>
      <c r="U235" s="21" t="n">
        <f aca="false">S235-T235</f>
        <v>0</v>
      </c>
      <c r="V235" s="21" t="n">
        <f aca="false">Y235-O235*R235/(1-R235)</f>
        <v>0</v>
      </c>
      <c r="W235" s="21" t="n">
        <f aca="false">Z235-P235*R235/(1-R235)</f>
        <v>0</v>
      </c>
      <c r="X235" s="21" t="n">
        <f aca="false">S235+V235+W235</f>
        <v>0</v>
      </c>
      <c r="Y235" s="20"/>
      <c r="Z235" s="20"/>
      <c r="AA235" s="19" t="n">
        <v>0</v>
      </c>
      <c r="AB235" s="20"/>
      <c r="AC235" s="20"/>
      <c r="AD235" s="24" t="n">
        <f aca="false">IFERROR(AA235/AC235,0)</f>
        <v>0</v>
      </c>
      <c r="AE235" s="25" t="n">
        <f aca="false">K235-Q235-X235</f>
        <v>0</v>
      </c>
      <c r="AF235" s="25" t="n">
        <f aca="false">Q235-AA235</f>
        <v>0</v>
      </c>
      <c r="AG235" s="20"/>
      <c r="AH235" s="26" t="n">
        <f aca="false">IFERROR(AG235/Q235,0)</f>
        <v>0</v>
      </c>
      <c r="AI235" s="27" t="n">
        <v>0</v>
      </c>
      <c r="AJ235" s="26" t="n">
        <f aca="false">IF(AI235&gt;0,AprCoef/SQRT(AI235),0)</f>
        <v>0</v>
      </c>
      <c r="AK235" s="24" t="n">
        <f aca="false">AI235*AJ235/365</f>
        <v>0</v>
      </c>
      <c r="AL235" s="24" t="n">
        <f aca="false">AD235</f>
        <v>0</v>
      </c>
      <c r="AM235" s="24" t="n">
        <f aca="false">AK235-AL235</f>
        <v>0</v>
      </c>
      <c r="AN235" s="28" t="str">
        <f aca="false">IF(A235&gt;=Hip3LaunchDate,"YES","")</f>
        <v/>
      </c>
      <c r="AO235" s="28" t="str">
        <f aca="false">IF(A235&lt;Hip4LaunchDate,"pre-launch","live (zero-fee)")</f>
        <v>pre-launch</v>
      </c>
      <c r="AP235" s="20"/>
      <c r="AQ235" s="20"/>
      <c r="AR235" s="20"/>
    </row>
    <row r="236" customFormat="false" ht="15" hidden="false" customHeight="false" outlineLevel="0" collapsed="false">
      <c r="A236" s="18" t="n">
        <v>45297</v>
      </c>
      <c r="B236" s="19" t="n">
        <v>396289097.42</v>
      </c>
      <c r="C236" s="19" t="n">
        <v>0</v>
      </c>
      <c r="D236" s="20"/>
      <c r="E236" s="21" t="n">
        <f aca="false">B236+C236</f>
        <v>396289097.42</v>
      </c>
      <c r="F236" s="21" t="n">
        <f aca="false">E236+D236</f>
        <v>396289097.42</v>
      </c>
      <c r="G236" s="22" t="n">
        <f aca="false">IFERROR(C236/E236,0)</f>
        <v>0</v>
      </c>
      <c r="H236" s="20"/>
      <c r="I236" s="20"/>
      <c r="J236" s="20"/>
      <c r="K236" s="21" t="n">
        <f aca="false">H236+I236</f>
        <v>0</v>
      </c>
      <c r="L236" s="20"/>
      <c r="M236" s="21" t="n">
        <f aca="false">H236-L236</f>
        <v>0</v>
      </c>
      <c r="N236" s="23" t="n">
        <f aca="false">IFERROR(M236/B236*10000,0)</f>
        <v>0</v>
      </c>
      <c r="O236" s="20"/>
      <c r="P236" s="20"/>
      <c r="Q236" s="21" t="n">
        <f aca="false">O236+P236</f>
        <v>0</v>
      </c>
      <c r="R236" s="22" t="n">
        <f aca="false">IF(A236&lt;HlpChangeDate,HlpSharePre,HlpSharePost)</f>
        <v>0.03</v>
      </c>
      <c r="S236" s="21" t="n">
        <f aca="false">Q236*R236/(1-R236)</f>
        <v>0</v>
      </c>
      <c r="T236" s="20"/>
      <c r="U236" s="21" t="n">
        <f aca="false">S236-T236</f>
        <v>0</v>
      </c>
      <c r="V236" s="21" t="n">
        <f aca="false">Y236-O236*R236/(1-R236)</f>
        <v>0</v>
      </c>
      <c r="W236" s="21" t="n">
        <f aca="false">Z236-P236*R236/(1-R236)</f>
        <v>0</v>
      </c>
      <c r="X236" s="21" t="n">
        <f aca="false">S236+V236+W236</f>
        <v>0</v>
      </c>
      <c r="Y236" s="20"/>
      <c r="Z236" s="20"/>
      <c r="AA236" s="19" t="n">
        <v>0</v>
      </c>
      <c r="AB236" s="20"/>
      <c r="AC236" s="20"/>
      <c r="AD236" s="24" t="n">
        <f aca="false">IFERROR(AA236/AC236,0)</f>
        <v>0</v>
      </c>
      <c r="AE236" s="25" t="n">
        <f aca="false">K236-Q236-X236</f>
        <v>0</v>
      </c>
      <c r="AF236" s="25" t="n">
        <f aca="false">Q236-AA236</f>
        <v>0</v>
      </c>
      <c r="AG236" s="20"/>
      <c r="AH236" s="26" t="n">
        <f aca="false">IFERROR(AG236/Q236,0)</f>
        <v>0</v>
      </c>
      <c r="AI236" s="27" t="n">
        <v>0</v>
      </c>
      <c r="AJ236" s="26" t="n">
        <f aca="false">IF(AI236&gt;0,AprCoef/SQRT(AI236),0)</f>
        <v>0</v>
      </c>
      <c r="AK236" s="24" t="n">
        <f aca="false">AI236*AJ236/365</f>
        <v>0</v>
      </c>
      <c r="AL236" s="24" t="n">
        <f aca="false">AD236</f>
        <v>0</v>
      </c>
      <c r="AM236" s="24" t="n">
        <f aca="false">AK236-AL236</f>
        <v>0</v>
      </c>
      <c r="AN236" s="28" t="str">
        <f aca="false">IF(A236&gt;=Hip3LaunchDate,"YES","")</f>
        <v/>
      </c>
      <c r="AO236" s="28" t="str">
        <f aca="false">IF(A236&lt;Hip4LaunchDate,"pre-launch","live (zero-fee)")</f>
        <v>pre-launch</v>
      </c>
      <c r="AP236" s="20"/>
      <c r="AQ236" s="20"/>
      <c r="AR236" s="20"/>
    </row>
    <row r="237" customFormat="false" ht="15" hidden="false" customHeight="false" outlineLevel="0" collapsed="false">
      <c r="A237" s="18" t="n">
        <v>45298</v>
      </c>
      <c r="B237" s="19" t="n">
        <v>416707318.16</v>
      </c>
      <c r="C237" s="19" t="n">
        <v>0</v>
      </c>
      <c r="D237" s="20"/>
      <c r="E237" s="21" t="n">
        <f aca="false">B237+C237</f>
        <v>416707318.16</v>
      </c>
      <c r="F237" s="21" t="n">
        <f aca="false">E237+D237</f>
        <v>416707318.16</v>
      </c>
      <c r="G237" s="22" t="n">
        <f aca="false">IFERROR(C237/E237,0)</f>
        <v>0</v>
      </c>
      <c r="H237" s="20"/>
      <c r="I237" s="20"/>
      <c r="J237" s="20"/>
      <c r="K237" s="21" t="n">
        <f aca="false">H237+I237</f>
        <v>0</v>
      </c>
      <c r="L237" s="20"/>
      <c r="M237" s="21" t="n">
        <f aca="false">H237-L237</f>
        <v>0</v>
      </c>
      <c r="N237" s="23" t="n">
        <f aca="false">IFERROR(M237/B237*10000,0)</f>
        <v>0</v>
      </c>
      <c r="O237" s="20"/>
      <c r="P237" s="20"/>
      <c r="Q237" s="21" t="n">
        <f aca="false">O237+P237</f>
        <v>0</v>
      </c>
      <c r="R237" s="22" t="n">
        <f aca="false">IF(A237&lt;HlpChangeDate,HlpSharePre,HlpSharePost)</f>
        <v>0.03</v>
      </c>
      <c r="S237" s="21" t="n">
        <f aca="false">Q237*R237/(1-R237)</f>
        <v>0</v>
      </c>
      <c r="T237" s="20"/>
      <c r="U237" s="21" t="n">
        <f aca="false">S237-T237</f>
        <v>0</v>
      </c>
      <c r="V237" s="21" t="n">
        <f aca="false">Y237-O237*R237/(1-R237)</f>
        <v>0</v>
      </c>
      <c r="W237" s="21" t="n">
        <f aca="false">Z237-P237*R237/(1-R237)</f>
        <v>0</v>
      </c>
      <c r="X237" s="21" t="n">
        <f aca="false">S237+V237+W237</f>
        <v>0</v>
      </c>
      <c r="Y237" s="20"/>
      <c r="Z237" s="20"/>
      <c r="AA237" s="19" t="n">
        <v>0</v>
      </c>
      <c r="AB237" s="20"/>
      <c r="AC237" s="20"/>
      <c r="AD237" s="24" t="n">
        <f aca="false">IFERROR(AA237/AC237,0)</f>
        <v>0</v>
      </c>
      <c r="AE237" s="25" t="n">
        <f aca="false">K237-Q237-X237</f>
        <v>0</v>
      </c>
      <c r="AF237" s="25" t="n">
        <f aca="false">Q237-AA237</f>
        <v>0</v>
      </c>
      <c r="AG237" s="20"/>
      <c r="AH237" s="26" t="n">
        <f aca="false">IFERROR(AG237/Q237,0)</f>
        <v>0</v>
      </c>
      <c r="AI237" s="27" t="n">
        <v>0</v>
      </c>
      <c r="AJ237" s="26" t="n">
        <f aca="false">IF(AI237&gt;0,AprCoef/SQRT(AI237),0)</f>
        <v>0</v>
      </c>
      <c r="AK237" s="24" t="n">
        <f aca="false">AI237*AJ237/365</f>
        <v>0</v>
      </c>
      <c r="AL237" s="24" t="n">
        <f aca="false">AD237</f>
        <v>0</v>
      </c>
      <c r="AM237" s="24" t="n">
        <f aca="false">AK237-AL237</f>
        <v>0</v>
      </c>
      <c r="AN237" s="28" t="str">
        <f aca="false">IF(A237&gt;=Hip3LaunchDate,"YES","")</f>
        <v/>
      </c>
      <c r="AO237" s="28" t="str">
        <f aca="false">IF(A237&lt;Hip4LaunchDate,"pre-launch","live (zero-fee)")</f>
        <v>pre-launch</v>
      </c>
      <c r="AP237" s="20"/>
      <c r="AQ237" s="20"/>
      <c r="AR237" s="20"/>
    </row>
    <row r="238" customFormat="false" ht="15" hidden="false" customHeight="false" outlineLevel="0" collapsed="false">
      <c r="A238" s="18" t="n">
        <v>45299</v>
      </c>
      <c r="B238" s="19" t="n">
        <v>596183875.92</v>
      </c>
      <c r="C238" s="19" t="n">
        <v>0</v>
      </c>
      <c r="D238" s="20"/>
      <c r="E238" s="21" t="n">
        <f aca="false">B238+C238</f>
        <v>596183875.92</v>
      </c>
      <c r="F238" s="21" t="n">
        <f aca="false">E238+D238</f>
        <v>596183875.92</v>
      </c>
      <c r="G238" s="22" t="n">
        <f aca="false">IFERROR(C238/E238,0)</f>
        <v>0</v>
      </c>
      <c r="H238" s="20"/>
      <c r="I238" s="20"/>
      <c r="J238" s="20"/>
      <c r="K238" s="21" t="n">
        <f aca="false">H238+I238</f>
        <v>0</v>
      </c>
      <c r="L238" s="20"/>
      <c r="M238" s="21" t="n">
        <f aca="false">H238-L238</f>
        <v>0</v>
      </c>
      <c r="N238" s="23" t="n">
        <f aca="false">IFERROR(M238/B238*10000,0)</f>
        <v>0</v>
      </c>
      <c r="O238" s="20"/>
      <c r="P238" s="20"/>
      <c r="Q238" s="21" t="n">
        <f aca="false">O238+P238</f>
        <v>0</v>
      </c>
      <c r="R238" s="22" t="n">
        <f aca="false">IF(A238&lt;HlpChangeDate,HlpSharePre,HlpSharePost)</f>
        <v>0.03</v>
      </c>
      <c r="S238" s="21" t="n">
        <f aca="false">Q238*R238/(1-R238)</f>
        <v>0</v>
      </c>
      <c r="T238" s="20"/>
      <c r="U238" s="21" t="n">
        <f aca="false">S238-T238</f>
        <v>0</v>
      </c>
      <c r="V238" s="21" t="n">
        <f aca="false">Y238-O238*R238/(1-R238)</f>
        <v>0</v>
      </c>
      <c r="W238" s="21" t="n">
        <f aca="false">Z238-P238*R238/(1-R238)</f>
        <v>0</v>
      </c>
      <c r="X238" s="21" t="n">
        <f aca="false">S238+V238+W238</f>
        <v>0</v>
      </c>
      <c r="Y238" s="20"/>
      <c r="Z238" s="20"/>
      <c r="AA238" s="19" t="n">
        <v>0</v>
      </c>
      <c r="AB238" s="20"/>
      <c r="AC238" s="20"/>
      <c r="AD238" s="24" t="n">
        <f aca="false">IFERROR(AA238/AC238,0)</f>
        <v>0</v>
      </c>
      <c r="AE238" s="25" t="n">
        <f aca="false">K238-Q238-X238</f>
        <v>0</v>
      </c>
      <c r="AF238" s="25" t="n">
        <f aca="false">Q238-AA238</f>
        <v>0</v>
      </c>
      <c r="AG238" s="20"/>
      <c r="AH238" s="26" t="n">
        <f aca="false">IFERROR(AG238/Q238,0)</f>
        <v>0</v>
      </c>
      <c r="AI238" s="27" t="n">
        <v>0</v>
      </c>
      <c r="AJ238" s="26" t="n">
        <f aca="false">IF(AI238&gt;0,AprCoef/SQRT(AI238),0)</f>
        <v>0</v>
      </c>
      <c r="AK238" s="24" t="n">
        <f aca="false">AI238*AJ238/365</f>
        <v>0</v>
      </c>
      <c r="AL238" s="24" t="n">
        <f aca="false">AD238</f>
        <v>0</v>
      </c>
      <c r="AM238" s="24" t="n">
        <f aca="false">AK238-AL238</f>
        <v>0</v>
      </c>
      <c r="AN238" s="28" t="str">
        <f aca="false">IF(A238&gt;=Hip3LaunchDate,"YES","")</f>
        <v/>
      </c>
      <c r="AO238" s="28" t="str">
        <f aca="false">IF(A238&lt;Hip4LaunchDate,"pre-launch","live (zero-fee)")</f>
        <v>pre-launch</v>
      </c>
      <c r="AP238" s="20"/>
      <c r="AQ238" s="20"/>
      <c r="AR238" s="20"/>
    </row>
    <row r="239" customFormat="false" ht="15" hidden="false" customHeight="false" outlineLevel="0" collapsed="false">
      <c r="A239" s="18" t="n">
        <v>45300</v>
      </c>
      <c r="B239" s="19" t="n">
        <v>614460097.9</v>
      </c>
      <c r="C239" s="19" t="n">
        <v>0</v>
      </c>
      <c r="D239" s="20"/>
      <c r="E239" s="21" t="n">
        <f aca="false">B239+C239</f>
        <v>614460097.9</v>
      </c>
      <c r="F239" s="21" t="n">
        <f aca="false">E239+D239</f>
        <v>614460097.9</v>
      </c>
      <c r="G239" s="22" t="n">
        <f aca="false">IFERROR(C239/E239,0)</f>
        <v>0</v>
      </c>
      <c r="H239" s="20"/>
      <c r="I239" s="20"/>
      <c r="J239" s="20"/>
      <c r="K239" s="21" t="n">
        <f aca="false">H239+I239</f>
        <v>0</v>
      </c>
      <c r="L239" s="20"/>
      <c r="M239" s="21" t="n">
        <f aca="false">H239-L239</f>
        <v>0</v>
      </c>
      <c r="N239" s="23" t="n">
        <f aca="false">IFERROR(M239/B239*10000,0)</f>
        <v>0</v>
      </c>
      <c r="O239" s="20"/>
      <c r="P239" s="20"/>
      <c r="Q239" s="21" t="n">
        <f aca="false">O239+P239</f>
        <v>0</v>
      </c>
      <c r="R239" s="22" t="n">
        <f aca="false">IF(A239&lt;HlpChangeDate,HlpSharePre,HlpSharePost)</f>
        <v>0.03</v>
      </c>
      <c r="S239" s="21" t="n">
        <f aca="false">Q239*R239/(1-R239)</f>
        <v>0</v>
      </c>
      <c r="T239" s="20"/>
      <c r="U239" s="21" t="n">
        <f aca="false">S239-T239</f>
        <v>0</v>
      </c>
      <c r="V239" s="21" t="n">
        <f aca="false">Y239-O239*R239/(1-R239)</f>
        <v>0</v>
      </c>
      <c r="W239" s="21" t="n">
        <f aca="false">Z239-P239*R239/(1-R239)</f>
        <v>0</v>
      </c>
      <c r="X239" s="21" t="n">
        <f aca="false">S239+V239+W239</f>
        <v>0</v>
      </c>
      <c r="Y239" s="20"/>
      <c r="Z239" s="20"/>
      <c r="AA239" s="19" t="n">
        <v>0</v>
      </c>
      <c r="AB239" s="20"/>
      <c r="AC239" s="20"/>
      <c r="AD239" s="24" t="n">
        <f aca="false">IFERROR(AA239/AC239,0)</f>
        <v>0</v>
      </c>
      <c r="AE239" s="25" t="n">
        <f aca="false">K239-Q239-X239</f>
        <v>0</v>
      </c>
      <c r="AF239" s="25" t="n">
        <f aca="false">Q239-AA239</f>
        <v>0</v>
      </c>
      <c r="AG239" s="20"/>
      <c r="AH239" s="26" t="n">
        <f aca="false">IFERROR(AG239/Q239,0)</f>
        <v>0</v>
      </c>
      <c r="AI239" s="27" t="n">
        <v>0</v>
      </c>
      <c r="AJ239" s="26" t="n">
        <f aca="false">IF(AI239&gt;0,AprCoef/SQRT(AI239),0)</f>
        <v>0</v>
      </c>
      <c r="AK239" s="24" t="n">
        <f aca="false">AI239*AJ239/365</f>
        <v>0</v>
      </c>
      <c r="AL239" s="24" t="n">
        <f aca="false">AD239</f>
        <v>0</v>
      </c>
      <c r="AM239" s="24" t="n">
        <f aca="false">AK239-AL239</f>
        <v>0</v>
      </c>
      <c r="AN239" s="28" t="str">
        <f aca="false">IF(A239&gt;=Hip3LaunchDate,"YES","")</f>
        <v/>
      </c>
      <c r="AO239" s="28" t="str">
        <f aca="false">IF(A239&lt;Hip4LaunchDate,"pre-launch","live (zero-fee)")</f>
        <v>pre-launch</v>
      </c>
      <c r="AP239" s="20"/>
      <c r="AQ239" s="20"/>
      <c r="AR239" s="20"/>
    </row>
    <row r="240" customFormat="false" ht="15" hidden="false" customHeight="false" outlineLevel="0" collapsed="false">
      <c r="A240" s="18" t="n">
        <v>45301</v>
      </c>
      <c r="B240" s="19" t="n">
        <v>798210440.5</v>
      </c>
      <c r="C240" s="19" t="n">
        <v>0</v>
      </c>
      <c r="D240" s="20"/>
      <c r="E240" s="21" t="n">
        <f aca="false">B240+C240</f>
        <v>798210440.5</v>
      </c>
      <c r="F240" s="21" t="n">
        <f aca="false">E240+D240</f>
        <v>798210440.5</v>
      </c>
      <c r="G240" s="22" t="n">
        <f aca="false">IFERROR(C240/E240,0)</f>
        <v>0</v>
      </c>
      <c r="H240" s="20"/>
      <c r="I240" s="20"/>
      <c r="J240" s="20"/>
      <c r="K240" s="21" t="n">
        <f aca="false">H240+I240</f>
        <v>0</v>
      </c>
      <c r="L240" s="20"/>
      <c r="M240" s="21" t="n">
        <f aca="false">H240-L240</f>
        <v>0</v>
      </c>
      <c r="N240" s="23" t="n">
        <f aca="false">IFERROR(M240/B240*10000,0)</f>
        <v>0</v>
      </c>
      <c r="O240" s="20"/>
      <c r="P240" s="20"/>
      <c r="Q240" s="21" t="n">
        <f aca="false">O240+P240</f>
        <v>0</v>
      </c>
      <c r="R240" s="22" t="n">
        <f aca="false">IF(A240&lt;HlpChangeDate,HlpSharePre,HlpSharePost)</f>
        <v>0.03</v>
      </c>
      <c r="S240" s="21" t="n">
        <f aca="false">Q240*R240/(1-R240)</f>
        <v>0</v>
      </c>
      <c r="T240" s="20"/>
      <c r="U240" s="21" t="n">
        <f aca="false">S240-T240</f>
        <v>0</v>
      </c>
      <c r="V240" s="21" t="n">
        <f aca="false">Y240-O240*R240/(1-R240)</f>
        <v>0</v>
      </c>
      <c r="W240" s="21" t="n">
        <f aca="false">Z240-P240*R240/(1-R240)</f>
        <v>0</v>
      </c>
      <c r="X240" s="21" t="n">
        <f aca="false">S240+V240+W240</f>
        <v>0</v>
      </c>
      <c r="Y240" s="20"/>
      <c r="Z240" s="20"/>
      <c r="AA240" s="19" t="n">
        <v>0</v>
      </c>
      <c r="AB240" s="20"/>
      <c r="AC240" s="20"/>
      <c r="AD240" s="24" t="n">
        <f aca="false">IFERROR(AA240/AC240,0)</f>
        <v>0</v>
      </c>
      <c r="AE240" s="25" t="n">
        <f aca="false">K240-Q240-X240</f>
        <v>0</v>
      </c>
      <c r="AF240" s="25" t="n">
        <f aca="false">Q240-AA240</f>
        <v>0</v>
      </c>
      <c r="AG240" s="20"/>
      <c r="AH240" s="26" t="n">
        <f aca="false">IFERROR(AG240/Q240,0)</f>
        <v>0</v>
      </c>
      <c r="AI240" s="27" t="n">
        <v>0</v>
      </c>
      <c r="AJ240" s="26" t="n">
        <f aca="false">IF(AI240&gt;0,AprCoef/SQRT(AI240),0)</f>
        <v>0</v>
      </c>
      <c r="AK240" s="24" t="n">
        <f aca="false">AI240*AJ240/365</f>
        <v>0</v>
      </c>
      <c r="AL240" s="24" t="n">
        <f aca="false">AD240</f>
        <v>0</v>
      </c>
      <c r="AM240" s="24" t="n">
        <f aca="false">AK240-AL240</f>
        <v>0</v>
      </c>
      <c r="AN240" s="28" t="str">
        <f aca="false">IF(A240&gt;=Hip3LaunchDate,"YES","")</f>
        <v/>
      </c>
      <c r="AO240" s="28" t="str">
        <f aca="false">IF(A240&lt;Hip4LaunchDate,"pre-launch","live (zero-fee)")</f>
        <v>pre-launch</v>
      </c>
      <c r="AP240" s="20"/>
      <c r="AQ240" s="20"/>
      <c r="AR240" s="20"/>
    </row>
    <row r="241" customFormat="false" ht="15" hidden="false" customHeight="false" outlineLevel="0" collapsed="false">
      <c r="A241" s="18" t="n">
        <v>45302</v>
      </c>
      <c r="B241" s="19" t="n">
        <v>791149862.9</v>
      </c>
      <c r="C241" s="19" t="n">
        <v>0</v>
      </c>
      <c r="D241" s="20"/>
      <c r="E241" s="21" t="n">
        <f aca="false">B241+C241</f>
        <v>791149862.9</v>
      </c>
      <c r="F241" s="21" t="n">
        <f aca="false">E241+D241</f>
        <v>791149862.9</v>
      </c>
      <c r="G241" s="22" t="n">
        <f aca="false">IFERROR(C241/E241,0)</f>
        <v>0</v>
      </c>
      <c r="H241" s="20"/>
      <c r="I241" s="20"/>
      <c r="J241" s="20"/>
      <c r="K241" s="21" t="n">
        <f aca="false">H241+I241</f>
        <v>0</v>
      </c>
      <c r="L241" s="20"/>
      <c r="M241" s="21" t="n">
        <f aca="false">H241-L241</f>
        <v>0</v>
      </c>
      <c r="N241" s="23" t="n">
        <f aca="false">IFERROR(M241/B241*10000,0)</f>
        <v>0</v>
      </c>
      <c r="O241" s="20"/>
      <c r="P241" s="20"/>
      <c r="Q241" s="21" t="n">
        <f aca="false">O241+P241</f>
        <v>0</v>
      </c>
      <c r="R241" s="22" t="n">
        <f aca="false">IF(A241&lt;HlpChangeDate,HlpSharePre,HlpSharePost)</f>
        <v>0.03</v>
      </c>
      <c r="S241" s="21" t="n">
        <f aca="false">Q241*R241/(1-R241)</f>
        <v>0</v>
      </c>
      <c r="T241" s="20"/>
      <c r="U241" s="21" t="n">
        <f aca="false">S241-T241</f>
        <v>0</v>
      </c>
      <c r="V241" s="21" t="n">
        <f aca="false">Y241-O241*R241/(1-R241)</f>
        <v>0</v>
      </c>
      <c r="W241" s="21" t="n">
        <f aca="false">Z241-P241*R241/(1-R241)</f>
        <v>0</v>
      </c>
      <c r="X241" s="21" t="n">
        <f aca="false">S241+V241+W241</f>
        <v>0</v>
      </c>
      <c r="Y241" s="20"/>
      <c r="Z241" s="20"/>
      <c r="AA241" s="19" t="n">
        <v>0</v>
      </c>
      <c r="AB241" s="20"/>
      <c r="AC241" s="20"/>
      <c r="AD241" s="24" t="n">
        <f aca="false">IFERROR(AA241/AC241,0)</f>
        <v>0</v>
      </c>
      <c r="AE241" s="25" t="n">
        <f aca="false">K241-Q241-X241</f>
        <v>0</v>
      </c>
      <c r="AF241" s="25" t="n">
        <f aca="false">Q241-AA241</f>
        <v>0</v>
      </c>
      <c r="AG241" s="20"/>
      <c r="AH241" s="26" t="n">
        <f aca="false">IFERROR(AG241/Q241,0)</f>
        <v>0</v>
      </c>
      <c r="AI241" s="27" t="n">
        <v>0</v>
      </c>
      <c r="AJ241" s="26" t="n">
        <f aca="false">IF(AI241&gt;0,AprCoef/SQRT(AI241),0)</f>
        <v>0</v>
      </c>
      <c r="AK241" s="24" t="n">
        <f aca="false">AI241*AJ241/365</f>
        <v>0</v>
      </c>
      <c r="AL241" s="24" t="n">
        <f aca="false">AD241</f>
        <v>0</v>
      </c>
      <c r="AM241" s="24" t="n">
        <f aca="false">AK241-AL241</f>
        <v>0</v>
      </c>
      <c r="AN241" s="28" t="str">
        <f aca="false">IF(A241&gt;=Hip3LaunchDate,"YES","")</f>
        <v/>
      </c>
      <c r="AO241" s="28" t="str">
        <f aca="false">IF(A241&lt;Hip4LaunchDate,"pre-launch","live (zero-fee)")</f>
        <v>pre-launch</v>
      </c>
      <c r="AP241" s="20"/>
      <c r="AQ241" s="20"/>
      <c r="AR241" s="20"/>
    </row>
    <row r="242" customFormat="false" ht="15" hidden="false" customHeight="false" outlineLevel="0" collapsed="false">
      <c r="A242" s="18" t="n">
        <v>45303</v>
      </c>
      <c r="B242" s="19" t="n">
        <v>936115702.83</v>
      </c>
      <c r="C242" s="19" t="n">
        <v>0</v>
      </c>
      <c r="D242" s="20"/>
      <c r="E242" s="21" t="n">
        <f aca="false">B242+C242</f>
        <v>936115702.83</v>
      </c>
      <c r="F242" s="21" t="n">
        <f aca="false">E242+D242</f>
        <v>936115702.83</v>
      </c>
      <c r="G242" s="22" t="n">
        <f aca="false">IFERROR(C242/E242,0)</f>
        <v>0</v>
      </c>
      <c r="H242" s="20"/>
      <c r="I242" s="20"/>
      <c r="J242" s="20"/>
      <c r="K242" s="21" t="n">
        <f aca="false">H242+I242</f>
        <v>0</v>
      </c>
      <c r="L242" s="20"/>
      <c r="M242" s="21" t="n">
        <f aca="false">H242-L242</f>
        <v>0</v>
      </c>
      <c r="N242" s="23" t="n">
        <f aca="false">IFERROR(M242/B242*10000,0)</f>
        <v>0</v>
      </c>
      <c r="O242" s="20"/>
      <c r="P242" s="20"/>
      <c r="Q242" s="21" t="n">
        <f aca="false">O242+P242</f>
        <v>0</v>
      </c>
      <c r="R242" s="22" t="n">
        <f aca="false">IF(A242&lt;HlpChangeDate,HlpSharePre,HlpSharePost)</f>
        <v>0.03</v>
      </c>
      <c r="S242" s="21" t="n">
        <f aca="false">Q242*R242/(1-R242)</f>
        <v>0</v>
      </c>
      <c r="T242" s="20"/>
      <c r="U242" s="21" t="n">
        <f aca="false">S242-T242</f>
        <v>0</v>
      </c>
      <c r="V242" s="21" t="n">
        <f aca="false">Y242-O242*R242/(1-R242)</f>
        <v>0</v>
      </c>
      <c r="W242" s="21" t="n">
        <f aca="false">Z242-P242*R242/(1-R242)</f>
        <v>0</v>
      </c>
      <c r="X242" s="21" t="n">
        <f aca="false">S242+V242+W242</f>
        <v>0</v>
      </c>
      <c r="Y242" s="20"/>
      <c r="Z242" s="20"/>
      <c r="AA242" s="19" t="n">
        <v>0</v>
      </c>
      <c r="AB242" s="20"/>
      <c r="AC242" s="20"/>
      <c r="AD242" s="24" t="n">
        <f aca="false">IFERROR(AA242/AC242,0)</f>
        <v>0</v>
      </c>
      <c r="AE242" s="25" t="n">
        <f aca="false">K242-Q242-X242</f>
        <v>0</v>
      </c>
      <c r="AF242" s="25" t="n">
        <f aca="false">Q242-AA242</f>
        <v>0</v>
      </c>
      <c r="AG242" s="20"/>
      <c r="AH242" s="26" t="n">
        <f aca="false">IFERROR(AG242/Q242,0)</f>
        <v>0</v>
      </c>
      <c r="AI242" s="27" t="n">
        <v>0</v>
      </c>
      <c r="AJ242" s="26" t="n">
        <f aca="false">IF(AI242&gt;0,AprCoef/SQRT(AI242),0)</f>
        <v>0</v>
      </c>
      <c r="AK242" s="24" t="n">
        <f aca="false">AI242*AJ242/365</f>
        <v>0</v>
      </c>
      <c r="AL242" s="24" t="n">
        <f aca="false">AD242</f>
        <v>0</v>
      </c>
      <c r="AM242" s="24" t="n">
        <f aca="false">AK242-AL242</f>
        <v>0</v>
      </c>
      <c r="AN242" s="28" t="str">
        <f aca="false">IF(A242&gt;=Hip3LaunchDate,"YES","")</f>
        <v/>
      </c>
      <c r="AO242" s="28" t="str">
        <f aca="false">IF(A242&lt;Hip4LaunchDate,"pre-launch","live (zero-fee)")</f>
        <v>pre-launch</v>
      </c>
      <c r="AP242" s="20"/>
      <c r="AQ242" s="20"/>
      <c r="AR242" s="20"/>
    </row>
    <row r="243" customFormat="false" ht="15" hidden="false" customHeight="false" outlineLevel="0" collapsed="false">
      <c r="A243" s="18" t="n">
        <v>45304</v>
      </c>
      <c r="B243" s="19" t="n">
        <v>411936005.93</v>
      </c>
      <c r="C243" s="19" t="n">
        <v>0</v>
      </c>
      <c r="D243" s="20"/>
      <c r="E243" s="21" t="n">
        <f aca="false">B243+C243</f>
        <v>411936005.93</v>
      </c>
      <c r="F243" s="21" t="n">
        <f aca="false">E243+D243</f>
        <v>411936005.93</v>
      </c>
      <c r="G243" s="22" t="n">
        <f aca="false">IFERROR(C243/E243,0)</f>
        <v>0</v>
      </c>
      <c r="H243" s="20"/>
      <c r="I243" s="20"/>
      <c r="J243" s="20"/>
      <c r="K243" s="21" t="n">
        <f aca="false">H243+I243</f>
        <v>0</v>
      </c>
      <c r="L243" s="20"/>
      <c r="M243" s="21" t="n">
        <f aca="false">H243-L243</f>
        <v>0</v>
      </c>
      <c r="N243" s="23" t="n">
        <f aca="false">IFERROR(M243/B243*10000,0)</f>
        <v>0</v>
      </c>
      <c r="O243" s="20"/>
      <c r="P243" s="20"/>
      <c r="Q243" s="21" t="n">
        <f aca="false">O243+P243</f>
        <v>0</v>
      </c>
      <c r="R243" s="22" t="n">
        <f aca="false">IF(A243&lt;HlpChangeDate,HlpSharePre,HlpSharePost)</f>
        <v>0.03</v>
      </c>
      <c r="S243" s="21" t="n">
        <f aca="false">Q243*R243/(1-R243)</f>
        <v>0</v>
      </c>
      <c r="T243" s="20"/>
      <c r="U243" s="21" t="n">
        <f aca="false">S243-T243</f>
        <v>0</v>
      </c>
      <c r="V243" s="21" t="n">
        <f aca="false">Y243-O243*R243/(1-R243)</f>
        <v>0</v>
      </c>
      <c r="W243" s="21" t="n">
        <f aca="false">Z243-P243*R243/(1-R243)</f>
        <v>0</v>
      </c>
      <c r="X243" s="21" t="n">
        <f aca="false">S243+V243+W243</f>
        <v>0</v>
      </c>
      <c r="Y243" s="20"/>
      <c r="Z243" s="20"/>
      <c r="AA243" s="19" t="n">
        <v>0</v>
      </c>
      <c r="AB243" s="20"/>
      <c r="AC243" s="20"/>
      <c r="AD243" s="24" t="n">
        <f aca="false">IFERROR(AA243/AC243,0)</f>
        <v>0</v>
      </c>
      <c r="AE243" s="25" t="n">
        <f aca="false">K243-Q243-X243</f>
        <v>0</v>
      </c>
      <c r="AF243" s="25" t="n">
        <f aca="false">Q243-AA243</f>
        <v>0</v>
      </c>
      <c r="AG243" s="20"/>
      <c r="AH243" s="26" t="n">
        <f aca="false">IFERROR(AG243/Q243,0)</f>
        <v>0</v>
      </c>
      <c r="AI243" s="27" t="n">
        <v>0</v>
      </c>
      <c r="AJ243" s="26" t="n">
        <f aca="false">IF(AI243&gt;0,AprCoef/SQRT(AI243),0)</f>
        <v>0</v>
      </c>
      <c r="AK243" s="24" t="n">
        <f aca="false">AI243*AJ243/365</f>
        <v>0</v>
      </c>
      <c r="AL243" s="24" t="n">
        <f aca="false">AD243</f>
        <v>0</v>
      </c>
      <c r="AM243" s="24" t="n">
        <f aca="false">AK243-AL243</f>
        <v>0</v>
      </c>
      <c r="AN243" s="28" t="str">
        <f aca="false">IF(A243&gt;=Hip3LaunchDate,"YES","")</f>
        <v/>
      </c>
      <c r="AO243" s="28" t="str">
        <f aca="false">IF(A243&lt;Hip4LaunchDate,"pre-launch","live (zero-fee)")</f>
        <v>pre-launch</v>
      </c>
      <c r="AP243" s="20"/>
      <c r="AQ243" s="20"/>
      <c r="AR243" s="20"/>
    </row>
    <row r="244" customFormat="false" ht="15" hidden="false" customHeight="false" outlineLevel="0" collapsed="false">
      <c r="A244" s="18" t="n">
        <v>45305</v>
      </c>
      <c r="B244" s="19" t="n">
        <v>416379901.66</v>
      </c>
      <c r="C244" s="19" t="n">
        <v>0</v>
      </c>
      <c r="D244" s="20"/>
      <c r="E244" s="21" t="n">
        <f aca="false">B244+C244</f>
        <v>416379901.66</v>
      </c>
      <c r="F244" s="21" t="n">
        <f aca="false">E244+D244</f>
        <v>416379901.66</v>
      </c>
      <c r="G244" s="22" t="n">
        <f aca="false">IFERROR(C244/E244,0)</f>
        <v>0</v>
      </c>
      <c r="H244" s="20"/>
      <c r="I244" s="20"/>
      <c r="J244" s="20"/>
      <c r="K244" s="21" t="n">
        <f aca="false">H244+I244</f>
        <v>0</v>
      </c>
      <c r="L244" s="20"/>
      <c r="M244" s="21" t="n">
        <f aca="false">H244-L244</f>
        <v>0</v>
      </c>
      <c r="N244" s="23" t="n">
        <f aca="false">IFERROR(M244/B244*10000,0)</f>
        <v>0</v>
      </c>
      <c r="O244" s="20"/>
      <c r="P244" s="20"/>
      <c r="Q244" s="21" t="n">
        <f aca="false">O244+P244</f>
        <v>0</v>
      </c>
      <c r="R244" s="22" t="n">
        <f aca="false">IF(A244&lt;HlpChangeDate,HlpSharePre,HlpSharePost)</f>
        <v>0.03</v>
      </c>
      <c r="S244" s="21" t="n">
        <f aca="false">Q244*R244/(1-R244)</f>
        <v>0</v>
      </c>
      <c r="T244" s="20"/>
      <c r="U244" s="21" t="n">
        <f aca="false">S244-T244</f>
        <v>0</v>
      </c>
      <c r="V244" s="21" t="n">
        <f aca="false">Y244-O244*R244/(1-R244)</f>
        <v>0</v>
      </c>
      <c r="W244" s="21" t="n">
        <f aca="false">Z244-P244*R244/(1-R244)</f>
        <v>0</v>
      </c>
      <c r="X244" s="21" t="n">
        <f aca="false">S244+V244+W244</f>
        <v>0</v>
      </c>
      <c r="Y244" s="20"/>
      <c r="Z244" s="20"/>
      <c r="AA244" s="19" t="n">
        <v>0</v>
      </c>
      <c r="AB244" s="20"/>
      <c r="AC244" s="20"/>
      <c r="AD244" s="24" t="n">
        <f aca="false">IFERROR(AA244/AC244,0)</f>
        <v>0</v>
      </c>
      <c r="AE244" s="25" t="n">
        <f aca="false">K244-Q244-X244</f>
        <v>0</v>
      </c>
      <c r="AF244" s="25" t="n">
        <f aca="false">Q244-AA244</f>
        <v>0</v>
      </c>
      <c r="AG244" s="20"/>
      <c r="AH244" s="26" t="n">
        <f aca="false">IFERROR(AG244/Q244,0)</f>
        <v>0</v>
      </c>
      <c r="AI244" s="27" t="n">
        <v>0</v>
      </c>
      <c r="AJ244" s="26" t="n">
        <f aca="false">IF(AI244&gt;0,AprCoef/SQRT(AI244),0)</f>
        <v>0</v>
      </c>
      <c r="AK244" s="24" t="n">
        <f aca="false">AI244*AJ244/365</f>
        <v>0</v>
      </c>
      <c r="AL244" s="24" t="n">
        <f aca="false">AD244</f>
        <v>0</v>
      </c>
      <c r="AM244" s="24" t="n">
        <f aca="false">AK244-AL244</f>
        <v>0</v>
      </c>
      <c r="AN244" s="28" t="str">
        <f aca="false">IF(A244&gt;=Hip3LaunchDate,"YES","")</f>
        <v/>
      </c>
      <c r="AO244" s="28" t="str">
        <f aca="false">IF(A244&lt;Hip4LaunchDate,"pre-launch","live (zero-fee)")</f>
        <v>pre-launch</v>
      </c>
      <c r="AP244" s="20"/>
      <c r="AQ244" s="20"/>
      <c r="AR244" s="20"/>
    </row>
    <row r="245" customFormat="false" ht="15" hidden="false" customHeight="false" outlineLevel="0" collapsed="false">
      <c r="A245" s="18" t="n">
        <v>45306</v>
      </c>
      <c r="B245" s="19" t="n">
        <v>440621686.3</v>
      </c>
      <c r="C245" s="19" t="n">
        <v>0</v>
      </c>
      <c r="D245" s="20"/>
      <c r="E245" s="21" t="n">
        <f aca="false">B245+C245</f>
        <v>440621686.3</v>
      </c>
      <c r="F245" s="21" t="n">
        <f aca="false">E245+D245</f>
        <v>440621686.3</v>
      </c>
      <c r="G245" s="22" t="n">
        <f aca="false">IFERROR(C245/E245,0)</f>
        <v>0</v>
      </c>
      <c r="H245" s="20"/>
      <c r="I245" s="20"/>
      <c r="J245" s="20"/>
      <c r="K245" s="21" t="n">
        <f aca="false">H245+I245</f>
        <v>0</v>
      </c>
      <c r="L245" s="20"/>
      <c r="M245" s="21" t="n">
        <f aca="false">H245-L245</f>
        <v>0</v>
      </c>
      <c r="N245" s="23" t="n">
        <f aca="false">IFERROR(M245/B245*10000,0)</f>
        <v>0</v>
      </c>
      <c r="O245" s="20"/>
      <c r="P245" s="20"/>
      <c r="Q245" s="21" t="n">
        <f aca="false">O245+P245</f>
        <v>0</v>
      </c>
      <c r="R245" s="22" t="n">
        <f aca="false">IF(A245&lt;HlpChangeDate,HlpSharePre,HlpSharePost)</f>
        <v>0.03</v>
      </c>
      <c r="S245" s="21" t="n">
        <f aca="false">Q245*R245/(1-R245)</f>
        <v>0</v>
      </c>
      <c r="T245" s="20"/>
      <c r="U245" s="21" t="n">
        <f aca="false">S245-T245</f>
        <v>0</v>
      </c>
      <c r="V245" s="21" t="n">
        <f aca="false">Y245-O245*R245/(1-R245)</f>
        <v>0</v>
      </c>
      <c r="W245" s="21" t="n">
        <f aca="false">Z245-P245*R245/(1-R245)</f>
        <v>0</v>
      </c>
      <c r="X245" s="21" t="n">
        <f aca="false">S245+V245+W245</f>
        <v>0</v>
      </c>
      <c r="Y245" s="20"/>
      <c r="Z245" s="20"/>
      <c r="AA245" s="19" t="n">
        <v>0</v>
      </c>
      <c r="AB245" s="20"/>
      <c r="AC245" s="20"/>
      <c r="AD245" s="24" t="n">
        <f aca="false">IFERROR(AA245/AC245,0)</f>
        <v>0</v>
      </c>
      <c r="AE245" s="25" t="n">
        <f aca="false">K245-Q245-X245</f>
        <v>0</v>
      </c>
      <c r="AF245" s="25" t="n">
        <f aca="false">Q245-AA245</f>
        <v>0</v>
      </c>
      <c r="AG245" s="20"/>
      <c r="AH245" s="26" t="n">
        <f aca="false">IFERROR(AG245/Q245,0)</f>
        <v>0</v>
      </c>
      <c r="AI245" s="27" t="n">
        <v>0</v>
      </c>
      <c r="AJ245" s="26" t="n">
        <f aca="false">IF(AI245&gt;0,AprCoef/SQRT(AI245),0)</f>
        <v>0</v>
      </c>
      <c r="AK245" s="24" t="n">
        <f aca="false">AI245*AJ245/365</f>
        <v>0</v>
      </c>
      <c r="AL245" s="24" t="n">
        <f aca="false">AD245</f>
        <v>0</v>
      </c>
      <c r="AM245" s="24" t="n">
        <f aca="false">AK245-AL245</f>
        <v>0</v>
      </c>
      <c r="AN245" s="28" t="str">
        <f aca="false">IF(A245&gt;=Hip3LaunchDate,"YES","")</f>
        <v/>
      </c>
      <c r="AO245" s="28" t="str">
        <f aca="false">IF(A245&lt;Hip4LaunchDate,"pre-launch","live (zero-fee)")</f>
        <v>pre-launch</v>
      </c>
      <c r="AP245" s="20"/>
      <c r="AQ245" s="20"/>
      <c r="AR245" s="20"/>
    </row>
    <row r="246" customFormat="false" ht="15" hidden="false" customHeight="false" outlineLevel="0" collapsed="false">
      <c r="A246" s="18" t="n">
        <v>45307</v>
      </c>
      <c r="B246" s="19" t="n">
        <v>529081536.01</v>
      </c>
      <c r="C246" s="19" t="n">
        <v>0</v>
      </c>
      <c r="D246" s="20"/>
      <c r="E246" s="21" t="n">
        <f aca="false">B246+C246</f>
        <v>529081536.01</v>
      </c>
      <c r="F246" s="21" t="n">
        <f aca="false">E246+D246</f>
        <v>529081536.01</v>
      </c>
      <c r="G246" s="22" t="n">
        <f aca="false">IFERROR(C246/E246,0)</f>
        <v>0</v>
      </c>
      <c r="H246" s="20"/>
      <c r="I246" s="20"/>
      <c r="J246" s="20"/>
      <c r="K246" s="21" t="n">
        <f aca="false">H246+I246</f>
        <v>0</v>
      </c>
      <c r="L246" s="20"/>
      <c r="M246" s="21" t="n">
        <f aca="false">H246-L246</f>
        <v>0</v>
      </c>
      <c r="N246" s="23" t="n">
        <f aca="false">IFERROR(M246/B246*10000,0)</f>
        <v>0</v>
      </c>
      <c r="O246" s="20"/>
      <c r="P246" s="20"/>
      <c r="Q246" s="21" t="n">
        <f aca="false">O246+P246</f>
        <v>0</v>
      </c>
      <c r="R246" s="22" t="n">
        <f aca="false">IF(A246&lt;HlpChangeDate,HlpSharePre,HlpSharePost)</f>
        <v>0.03</v>
      </c>
      <c r="S246" s="21" t="n">
        <f aca="false">Q246*R246/(1-R246)</f>
        <v>0</v>
      </c>
      <c r="T246" s="20"/>
      <c r="U246" s="21" t="n">
        <f aca="false">S246-T246</f>
        <v>0</v>
      </c>
      <c r="V246" s="21" t="n">
        <f aca="false">Y246-O246*R246/(1-R246)</f>
        <v>0</v>
      </c>
      <c r="W246" s="21" t="n">
        <f aca="false">Z246-P246*R246/(1-R246)</f>
        <v>0</v>
      </c>
      <c r="X246" s="21" t="n">
        <f aca="false">S246+V246+W246</f>
        <v>0</v>
      </c>
      <c r="Y246" s="20"/>
      <c r="Z246" s="20"/>
      <c r="AA246" s="19" t="n">
        <v>0</v>
      </c>
      <c r="AB246" s="20"/>
      <c r="AC246" s="20"/>
      <c r="AD246" s="24" t="n">
        <f aca="false">IFERROR(AA246/AC246,0)</f>
        <v>0</v>
      </c>
      <c r="AE246" s="25" t="n">
        <f aca="false">K246-Q246-X246</f>
        <v>0</v>
      </c>
      <c r="AF246" s="25" t="n">
        <f aca="false">Q246-AA246</f>
        <v>0</v>
      </c>
      <c r="AG246" s="20"/>
      <c r="AH246" s="26" t="n">
        <f aca="false">IFERROR(AG246/Q246,0)</f>
        <v>0</v>
      </c>
      <c r="AI246" s="27" t="n">
        <v>0</v>
      </c>
      <c r="AJ246" s="26" t="n">
        <f aca="false">IF(AI246&gt;0,AprCoef/SQRT(AI246),0)</f>
        <v>0</v>
      </c>
      <c r="AK246" s="24" t="n">
        <f aca="false">AI246*AJ246/365</f>
        <v>0</v>
      </c>
      <c r="AL246" s="24" t="n">
        <f aca="false">AD246</f>
        <v>0</v>
      </c>
      <c r="AM246" s="24" t="n">
        <f aca="false">AK246-AL246</f>
        <v>0</v>
      </c>
      <c r="AN246" s="28" t="str">
        <f aca="false">IF(A246&gt;=Hip3LaunchDate,"YES","")</f>
        <v/>
      </c>
      <c r="AO246" s="28" t="str">
        <f aca="false">IF(A246&lt;Hip4LaunchDate,"pre-launch","live (zero-fee)")</f>
        <v>pre-launch</v>
      </c>
      <c r="AP246" s="20"/>
      <c r="AQ246" s="20"/>
      <c r="AR246" s="20"/>
    </row>
    <row r="247" customFormat="false" ht="15" hidden="false" customHeight="false" outlineLevel="0" collapsed="false">
      <c r="A247" s="18" t="n">
        <v>45308</v>
      </c>
      <c r="B247" s="19" t="n">
        <v>504135057.43</v>
      </c>
      <c r="C247" s="19" t="n">
        <v>0</v>
      </c>
      <c r="D247" s="20"/>
      <c r="E247" s="21" t="n">
        <f aca="false">B247+C247</f>
        <v>504135057.43</v>
      </c>
      <c r="F247" s="21" t="n">
        <f aca="false">E247+D247</f>
        <v>504135057.43</v>
      </c>
      <c r="G247" s="22" t="n">
        <f aca="false">IFERROR(C247/E247,0)</f>
        <v>0</v>
      </c>
      <c r="H247" s="20"/>
      <c r="I247" s="20"/>
      <c r="J247" s="20"/>
      <c r="K247" s="21" t="n">
        <f aca="false">H247+I247</f>
        <v>0</v>
      </c>
      <c r="L247" s="20"/>
      <c r="M247" s="21" t="n">
        <f aca="false">H247-L247</f>
        <v>0</v>
      </c>
      <c r="N247" s="23" t="n">
        <f aca="false">IFERROR(M247/B247*10000,0)</f>
        <v>0</v>
      </c>
      <c r="O247" s="20"/>
      <c r="P247" s="20"/>
      <c r="Q247" s="21" t="n">
        <f aca="false">O247+P247</f>
        <v>0</v>
      </c>
      <c r="R247" s="22" t="n">
        <f aca="false">IF(A247&lt;HlpChangeDate,HlpSharePre,HlpSharePost)</f>
        <v>0.03</v>
      </c>
      <c r="S247" s="21" t="n">
        <f aca="false">Q247*R247/(1-R247)</f>
        <v>0</v>
      </c>
      <c r="T247" s="20"/>
      <c r="U247" s="21" t="n">
        <f aca="false">S247-T247</f>
        <v>0</v>
      </c>
      <c r="V247" s="21" t="n">
        <f aca="false">Y247-O247*R247/(1-R247)</f>
        <v>0</v>
      </c>
      <c r="W247" s="21" t="n">
        <f aca="false">Z247-P247*R247/(1-R247)</f>
        <v>0</v>
      </c>
      <c r="X247" s="21" t="n">
        <f aca="false">S247+V247+W247</f>
        <v>0</v>
      </c>
      <c r="Y247" s="20"/>
      <c r="Z247" s="20"/>
      <c r="AA247" s="19" t="n">
        <v>0</v>
      </c>
      <c r="AB247" s="20"/>
      <c r="AC247" s="20"/>
      <c r="AD247" s="24" t="n">
        <f aca="false">IFERROR(AA247/AC247,0)</f>
        <v>0</v>
      </c>
      <c r="AE247" s="25" t="n">
        <f aca="false">K247-Q247-X247</f>
        <v>0</v>
      </c>
      <c r="AF247" s="25" t="n">
        <f aca="false">Q247-AA247</f>
        <v>0</v>
      </c>
      <c r="AG247" s="20"/>
      <c r="AH247" s="26" t="n">
        <f aca="false">IFERROR(AG247/Q247,0)</f>
        <v>0</v>
      </c>
      <c r="AI247" s="27" t="n">
        <v>0</v>
      </c>
      <c r="AJ247" s="26" t="n">
        <f aca="false">IF(AI247&gt;0,AprCoef/SQRT(AI247),0)</f>
        <v>0</v>
      </c>
      <c r="AK247" s="24" t="n">
        <f aca="false">AI247*AJ247/365</f>
        <v>0</v>
      </c>
      <c r="AL247" s="24" t="n">
        <f aca="false">AD247</f>
        <v>0</v>
      </c>
      <c r="AM247" s="24" t="n">
        <f aca="false">AK247-AL247</f>
        <v>0</v>
      </c>
      <c r="AN247" s="28" t="str">
        <f aca="false">IF(A247&gt;=Hip3LaunchDate,"YES","")</f>
        <v/>
      </c>
      <c r="AO247" s="28" t="str">
        <f aca="false">IF(A247&lt;Hip4LaunchDate,"pre-launch","live (zero-fee)")</f>
        <v>pre-launch</v>
      </c>
      <c r="AP247" s="20"/>
      <c r="AQ247" s="20"/>
      <c r="AR247" s="20"/>
    </row>
    <row r="248" customFormat="false" ht="15" hidden="false" customHeight="false" outlineLevel="0" collapsed="false">
      <c r="A248" s="18" t="n">
        <v>45309</v>
      </c>
      <c r="B248" s="19" t="n">
        <v>566838003.2</v>
      </c>
      <c r="C248" s="19" t="n">
        <v>0</v>
      </c>
      <c r="D248" s="20"/>
      <c r="E248" s="21" t="n">
        <f aca="false">B248+C248</f>
        <v>566838003.2</v>
      </c>
      <c r="F248" s="21" t="n">
        <f aca="false">E248+D248</f>
        <v>566838003.2</v>
      </c>
      <c r="G248" s="22" t="n">
        <f aca="false">IFERROR(C248/E248,0)</f>
        <v>0</v>
      </c>
      <c r="H248" s="20"/>
      <c r="I248" s="20"/>
      <c r="J248" s="20"/>
      <c r="K248" s="21" t="n">
        <f aca="false">H248+I248</f>
        <v>0</v>
      </c>
      <c r="L248" s="20"/>
      <c r="M248" s="21" t="n">
        <f aca="false">H248-L248</f>
        <v>0</v>
      </c>
      <c r="N248" s="23" t="n">
        <f aca="false">IFERROR(M248/B248*10000,0)</f>
        <v>0</v>
      </c>
      <c r="O248" s="20"/>
      <c r="P248" s="20"/>
      <c r="Q248" s="21" t="n">
        <f aca="false">O248+P248</f>
        <v>0</v>
      </c>
      <c r="R248" s="22" t="n">
        <f aca="false">IF(A248&lt;HlpChangeDate,HlpSharePre,HlpSharePost)</f>
        <v>0.03</v>
      </c>
      <c r="S248" s="21" t="n">
        <f aca="false">Q248*R248/(1-R248)</f>
        <v>0</v>
      </c>
      <c r="T248" s="20"/>
      <c r="U248" s="21" t="n">
        <f aca="false">S248-T248</f>
        <v>0</v>
      </c>
      <c r="V248" s="21" t="n">
        <f aca="false">Y248-O248*R248/(1-R248)</f>
        <v>0</v>
      </c>
      <c r="W248" s="21" t="n">
        <f aca="false">Z248-P248*R248/(1-R248)</f>
        <v>0</v>
      </c>
      <c r="X248" s="21" t="n">
        <f aca="false">S248+V248+W248</f>
        <v>0</v>
      </c>
      <c r="Y248" s="20"/>
      <c r="Z248" s="20"/>
      <c r="AA248" s="19" t="n">
        <v>0</v>
      </c>
      <c r="AB248" s="20"/>
      <c r="AC248" s="20"/>
      <c r="AD248" s="24" t="n">
        <f aca="false">IFERROR(AA248/AC248,0)</f>
        <v>0</v>
      </c>
      <c r="AE248" s="25" t="n">
        <f aca="false">K248-Q248-X248</f>
        <v>0</v>
      </c>
      <c r="AF248" s="25" t="n">
        <f aca="false">Q248-AA248</f>
        <v>0</v>
      </c>
      <c r="AG248" s="20"/>
      <c r="AH248" s="26" t="n">
        <f aca="false">IFERROR(AG248/Q248,0)</f>
        <v>0</v>
      </c>
      <c r="AI248" s="27" t="n">
        <v>0</v>
      </c>
      <c r="AJ248" s="26" t="n">
        <f aca="false">IF(AI248&gt;0,AprCoef/SQRT(AI248),0)</f>
        <v>0</v>
      </c>
      <c r="AK248" s="24" t="n">
        <f aca="false">AI248*AJ248/365</f>
        <v>0</v>
      </c>
      <c r="AL248" s="24" t="n">
        <f aca="false">AD248</f>
        <v>0</v>
      </c>
      <c r="AM248" s="24" t="n">
        <f aca="false">AK248-AL248</f>
        <v>0</v>
      </c>
      <c r="AN248" s="28" t="str">
        <f aca="false">IF(A248&gt;=Hip3LaunchDate,"YES","")</f>
        <v/>
      </c>
      <c r="AO248" s="28" t="str">
        <f aca="false">IF(A248&lt;Hip4LaunchDate,"pre-launch","live (zero-fee)")</f>
        <v>pre-launch</v>
      </c>
      <c r="AP248" s="20"/>
      <c r="AQ248" s="20"/>
      <c r="AR248" s="20"/>
    </row>
    <row r="249" customFormat="false" ht="15" hidden="false" customHeight="false" outlineLevel="0" collapsed="false">
      <c r="A249" s="18" t="n">
        <v>45310</v>
      </c>
      <c r="B249" s="19" t="n">
        <v>635265123.01</v>
      </c>
      <c r="C249" s="19" t="n">
        <v>0</v>
      </c>
      <c r="D249" s="20"/>
      <c r="E249" s="21" t="n">
        <f aca="false">B249+C249</f>
        <v>635265123.01</v>
      </c>
      <c r="F249" s="21" t="n">
        <f aca="false">E249+D249</f>
        <v>635265123.01</v>
      </c>
      <c r="G249" s="22" t="n">
        <f aca="false">IFERROR(C249/E249,0)</f>
        <v>0</v>
      </c>
      <c r="H249" s="20"/>
      <c r="I249" s="20"/>
      <c r="J249" s="20"/>
      <c r="K249" s="21" t="n">
        <f aca="false">H249+I249</f>
        <v>0</v>
      </c>
      <c r="L249" s="20"/>
      <c r="M249" s="21" t="n">
        <f aca="false">H249-L249</f>
        <v>0</v>
      </c>
      <c r="N249" s="23" t="n">
        <f aca="false">IFERROR(M249/B249*10000,0)</f>
        <v>0</v>
      </c>
      <c r="O249" s="20"/>
      <c r="P249" s="20"/>
      <c r="Q249" s="21" t="n">
        <f aca="false">O249+P249</f>
        <v>0</v>
      </c>
      <c r="R249" s="22" t="n">
        <f aca="false">IF(A249&lt;HlpChangeDate,HlpSharePre,HlpSharePost)</f>
        <v>0.03</v>
      </c>
      <c r="S249" s="21" t="n">
        <f aca="false">Q249*R249/(1-R249)</f>
        <v>0</v>
      </c>
      <c r="T249" s="20"/>
      <c r="U249" s="21" t="n">
        <f aca="false">S249-T249</f>
        <v>0</v>
      </c>
      <c r="V249" s="21" t="n">
        <f aca="false">Y249-O249*R249/(1-R249)</f>
        <v>0</v>
      </c>
      <c r="W249" s="21" t="n">
        <f aca="false">Z249-P249*R249/(1-R249)</f>
        <v>0</v>
      </c>
      <c r="X249" s="21" t="n">
        <f aca="false">S249+V249+W249</f>
        <v>0</v>
      </c>
      <c r="Y249" s="20"/>
      <c r="Z249" s="20"/>
      <c r="AA249" s="19" t="n">
        <v>0</v>
      </c>
      <c r="AB249" s="20"/>
      <c r="AC249" s="20"/>
      <c r="AD249" s="24" t="n">
        <f aca="false">IFERROR(AA249/AC249,0)</f>
        <v>0</v>
      </c>
      <c r="AE249" s="25" t="n">
        <f aca="false">K249-Q249-X249</f>
        <v>0</v>
      </c>
      <c r="AF249" s="25" t="n">
        <f aca="false">Q249-AA249</f>
        <v>0</v>
      </c>
      <c r="AG249" s="20"/>
      <c r="AH249" s="26" t="n">
        <f aca="false">IFERROR(AG249/Q249,0)</f>
        <v>0</v>
      </c>
      <c r="AI249" s="27" t="n">
        <v>0</v>
      </c>
      <c r="AJ249" s="26" t="n">
        <f aca="false">IF(AI249&gt;0,AprCoef/SQRT(AI249),0)</f>
        <v>0</v>
      </c>
      <c r="AK249" s="24" t="n">
        <f aca="false">AI249*AJ249/365</f>
        <v>0</v>
      </c>
      <c r="AL249" s="24" t="n">
        <f aca="false">AD249</f>
        <v>0</v>
      </c>
      <c r="AM249" s="24" t="n">
        <f aca="false">AK249-AL249</f>
        <v>0</v>
      </c>
      <c r="AN249" s="28" t="str">
        <f aca="false">IF(A249&gt;=Hip3LaunchDate,"YES","")</f>
        <v/>
      </c>
      <c r="AO249" s="28" t="str">
        <f aca="false">IF(A249&lt;Hip4LaunchDate,"pre-launch","live (zero-fee)")</f>
        <v>pre-launch</v>
      </c>
      <c r="AP249" s="20"/>
      <c r="AQ249" s="20"/>
      <c r="AR249" s="20"/>
    </row>
    <row r="250" customFormat="false" ht="15" hidden="false" customHeight="false" outlineLevel="0" collapsed="false">
      <c r="A250" s="18" t="n">
        <v>45311</v>
      </c>
      <c r="B250" s="19" t="n">
        <v>333190433.36</v>
      </c>
      <c r="C250" s="19" t="n">
        <v>0</v>
      </c>
      <c r="D250" s="20"/>
      <c r="E250" s="21" t="n">
        <f aca="false">B250+C250</f>
        <v>333190433.36</v>
      </c>
      <c r="F250" s="21" t="n">
        <f aca="false">E250+D250</f>
        <v>333190433.36</v>
      </c>
      <c r="G250" s="22" t="n">
        <f aca="false">IFERROR(C250/E250,0)</f>
        <v>0</v>
      </c>
      <c r="H250" s="20"/>
      <c r="I250" s="20"/>
      <c r="J250" s="20"/>
      <c r="K250" s="21" t="n">
        <f aca="false">H250+I250</f>
        <v>0</v>
      </c>
      <c r="L250" s="20"/>
      <c r="M250" s="21" t="n">
        <f aca="false">H250-L250</f>
        <v>0</v>
      </c>
      <c r="N250" s="23" t="n">
        <f aca="false">IFERROR(M250/B250*10000,0)</f>
        <v>0</v>
      </c>
      <c r="O250" s="20"/>
      <c r="P250" s="20"/>
      <c r="Q250" s="21" t="n">
        <f aca="false">O250+P250</f>
        <v>0</v>
      </c>
      <c r="R250" s="22" t="n">
        <f aca="false">IF(A250&lt;HlpChangeDate,HlpSharePre,HlpSharePost)</f>
        <v>0.03</v>
      </c>
      <c r="S250" s="21" t="n">
        <f aca="false">Q250*R250/(1-R250)</f>
        <v>0</v>
      </c>
      <c r="T250" s="20"/>
      <c r="U250" s="21" t="n">
        <f aca="false">S250-T250</f>
        <v>0</v>
      </c>
      <c r="V250" s="21" t="n">
        <f aca="false">Y250-O250*R250/(1-R250)</f>
        <v>0</v>
      </c>
      <c r="W250" s="21" t="n">
        <f aca="false">Z250-P250*R250/(1-R250)</f>
        <v>0</v>
      </c>
      <c r="X250" s="21" t="n">
        <f aca="false">S250+V250+W250</f>
        <v>0</v>
      </c>
      <c r="Y250" s="20"/>
      <c r="Z250" s="20"/>
      <c r="AA250" s="19" t="n">
        <v>0</v>
      </c>
      <c r="AB250" s="20"/>
      <c r="AC250" s="20"/>
      <c r="AD250" s="24" t="n">
        <f aca="false">IFERROR(AA250/AC250,0)</f>
        <v>0</v>
      </c>
      <c r="AE250" s="25" t="n">
        <f aca="false">K250-Q250-X250</f>
        <v>0</v>
      </c>
      <c r="AF250" s="25" t="n">
        <f aca="false">Q250-AA250</f>
        <v>0</v>
      </c>
      <c r="AG250" s="20"/>
      <c r="AH250" s="26" t="n">
        <f aca="false">IFERROR(AG250/Q250,0)</f>
        <v>0</v>
      </c>
      <c r="AI250" s="27" t="n">
        <v>0</v>
      </c>
      <c r="AJ250" s="26" t="n">
        <f aca="false">IF(AI250&gt;0,AprCoef/SQRT(AI250),0)</f>
        <v>0</v>
      </c>
      <c r="AK250" s="24" t="n">
        <f aca="false">AI250*AJ250/365</f>
        <v>0</v>
      </c>
      <c r="AL250" s="24" t="n">
        <f aca="false">AD250</f>
        <v>0</v>
      </c>
      <c r="AM250" s="24" t="n">
        <f aca="false">AK250-AL250</f>
        <v>0</v>
      </c>
      <c r="AN250" s="28" t="str">
        <f aca="false">IF(A250&gt;=Hip3LaunchDate,"YES","")</f>
        <v/>
      </c>
      <c r="AO250" s="28" t="str">
        <f aca="false">IF(A250&lt;Hip4LaunchDate,"pre-launch","live (zero-fee)")</f>
        <v>pre-launch</v>
      </c>
      <c r="AP250" s="20"/>
      <c r="AQ250" s="20"/>
      <c r="AR250" s="20"/>
    </row>
    <row r="251" customFormat="false" ht="15" hidden="false" customHeight="false" outlineLevel="0" collapsed="false">
      <c r="A251" s="18" t="n">
        <v>45312</v>
      </c>
      <c r="B251" s="19" t="n">
        <v>306680328.93</v>
      </c>
      <c r="C251" s="19" t="n">
        <v>0</v>
      </c>
      <c r="D251" s="20"/>
      <c r="E251" s="21" t="n">
        <f aca="false">B251+C251</f>
        <v>306680328.93</v>
      </c>
      <c r="F251" s="21" t="n">
        <f aca="false">E251+D251</f>
        <v>306680328.93</v>
      </c>
      <c r="G251" s="22" t="n">
        <f aca="false">IFERROR(C251/E251,0)</f>
        <v>0</v>
      </c>
      <c r="H251" s="20"/>
      <c r="I251" s="20"/>
      <c r="J251" s="20"/>
      <c r="K251" s="21" t="n">
        <f aca="false">H251+I251</f>
        <v>0</v>
      </c>
      <c r="L251" s="20"/>
      <c r="M251" s="21" t="n">
        <f aca="false">H251-L251</f>
        <v>0</v>
      </c>
      <c r="N251" s="23" t="n">
        <f aca="false">IFERROR(M251/B251*10000,0)</f>
        <v>0</v>
      </c>
      <c r="O251" s="20"/>
      <c r="P251" s="20"/>
      <c r="Q251" s="21" t="n">
        <f aca="false">O251+P251</f>
        <v>0</v>
      </c>
      <c r="R251" s="22" t="n">
        <f aca="false">IF(A251&lt;HlpChangeDate,HlpSharePre,HlpSharePost)</f>
        <v>0.03</v>
      </c>
      <c r="S251" s="21" t="n">
        <f aca="false">Q251*R251/(1-R251)</f>
        <v>0</v>
      </c>
      <c r="T251" s="20"/>
      <c r="U251" s="21" t="n">
        <f aca="false">S251-T251</f>
        <v>0</v>
      </c>
      <c r="V251" s="21" t="n">
        <f aca="false">Y251-O251*R251/(1-R251)</f>
        <v>0</v>
      </c>
      <c r="W251" s="21" t="n">
        <f aca="false">Z251-P251*R251/(1-R251)</f>
        <v>0</v>
      </c>
      <c r="X251" s="21" t="n">
        <f aca="false">S251+V251+W251</f>
        <v>0</v>
      </c>
      <c r="Y251" s="20"/>
      <c r="Z251" s="20"/>
      <c r="AA251" s="19" t="n">
        <v>0</v>
      </c>
      <c r="AB251" s="20"/>
      <c r="AC251" s="20"/>
      <c r="AD251" s="24" t="n">
        <f aca="false">IFERROR(AA251/AC251,0)</f>
        <v>0</v>
      </c>
      <c r="AE251" s="25" t="n">
        <f aca="false">K251-Q251-X251</f>
        <v>0</v>
      </c>
      <c r="AF251" s="25" t="n">
        <f aca="false">Q251-AA251</f>
        <v>0</v>
      </c>
      <c r="AG251" s="20"/>
      <c r="AH251" s="26" t="n">
        <f aca="false">IFERROR(AG251/Q251,0)</f>
        <v>0</v>
      </c>
      <c r="AI251" s="27" t="n">
        <v>0</v>
      </c>
      <c r="AJ251" s="26" t="n">
        <f aca="false">IF(AI251&gt;0,AprCoef/SQRT(AI251),0)</f>
        <v>0</v>
      </c>
      <c r="AK251" s="24" t="n">
        <f aca="false">AI251*AJ251/365</f>
        <v>0</v>
      </c>
      <c r="AL251" s="24" t="n">
        <f aca="false">AD251</f>
        <v>0</v>
      </c>
      <c r="AM251" s="24" t="n">
        <f aca="false">AK251-AL251</f>
        <v>0</v>
      </c>
      <c r="AN251" s="28" t="str">
        <f aca="false">IF(A251&gt;=Hip3LaunchDate,"YES","")</f>
        <v/>
      </c>
      <c r="AO251" s="28" t="str">
        <f aca="false">IF(A251&lt;Hip4LaunchDate,"pre-launch","live (zero-fee)")</f>
        <v>pre-launch</v>
      </c>
      <c r="AP251" s="20"/>
      <c r="AQ251" s="20"/>
      <c r="AR251" s="20"/>
    </row>
    <row r="252" customFormat="false" ht="15" hidden="false" customHeight="false" outlineLevel="0" collapsed="false">
      <c r="A252" s="18" t="n">
        <v>45313</v>
      </c>
      <c r="B252" s="19" t="n">
        <v>686059006.8</v>
      </c>
      <c r="C252" s="19" t="n">
        <v>0</v>
      </c>
      <c r="D252" s="20"/>
      <c r="E252" s="21" t="n">
        <f aca="false">B252+C252</f>
        <v>686059006.8</v>
      </c>
      <c r="F252" s="21" t="n">
        <f aca="false">E252+D252</f>
        <v>686059006.8</v>
      </c>
      <c r="G252" s="22" t="n">
        <f aca="false">IFERROR(C252/E252,0)</f>
        <v>0</v>
      </c>
      <c r="H252" s="20"/>
      <c r="I252" s="20"/>
      <c r="J252" s="20"/>
      <c r="K252" s="21" t="n">
        <f aca="false">H252+I252</f>
        <v>0</v>
      </c>
      <c r="L252" s="20"/>
      <c r="M252" s="21" t="n">
        <f aca="false">H252-L252</f>
        <v>0</v>
      </c>
      <c r="N252" s="23" t="n">
        <f aca="false">IFERROR(M252/B252*10000,0)</f>
        <v>0</v>
      </c>
      <c r="O252" s="20"/>
      <c r="P252" s="20"/>
      <c r="Q252" s="21" t="n">
        <f aca="false">O252+P252</f>
        <v>0</v>
      </c>
      <c r="R252" s="22" t="n">
        <f aca="false">IF(A252&lt;HlpChangeDate,HlpSharePre,HlpSharePost)</f>
        <v>0.03</v>
      </c>
      <c r="S252" s="21" t="n">
        <f aca="false">Q252*R252/(1-R252)</f>
        <v>0</v>
      </c>
      <c r="T252" s="20"/>
      <c r="U252" s="21" t="n">
        <f aca="false">S252-T252</f>
        <v>0</v>
      </c>
      <c r="V252" s="21" t="n">
        <f aca="false">Y252-O252*R252/(1-R252)</f>
        <v>0</v>
      </c>
      <c r="W252" s="21" t="n">
        <f aca="false">Z252-P252*R252/(1-R252)</f>
        <v>0</v>
      </c>
      <c r="X252" s="21" t="n">
        <f aca="false">S252+V252+W252</f>
        <v>0</v>
      </c>
      <c r="Y252" s="20"/>
      <c r="Z252" s="20"/>
      <c r="AA252" s="19" t="n">
        <v>0</v>
      </c>
      <c r="AB252" s="20"/>
      <c r="AC252" s="20"/>
      <c r="AD252" s="24" t="n">
        <f aca="false">IFERROR(AA252/AC252,0)</f>
        <v>0</v>
      </c>
      <c r="AE252" s="25" t="n">
        <f aca="false">K252-Q252-X252</f>
        <v>0</v>
      </c>
      <c r="AF252" s="25" t="n">
        <f aca="false">Q252-AA252</f>
        <v>0</v>
      </c>
      <c r="AG252" s="20"/>
      <c r="AH252" s="26" t="n">
        <f aca="false">IFERROR(AG252/Q252,0)</f>
        <v>0</v>
      </c>
      <c r="AI252" s="27" t="n">
        <v>0</v>
      </c>
      <c r="AJ252" s="26" t="n">
        <f aca="false">IF(AI252&gt;0,AprCoef/SQRT(AI252),0)</f>
        <v>0</v>
      </c>
      <c r="AK252" s="24" t="n">
        <f aca="false">AI252*AJ252/365</f>
        <v>0</v>
      </c>
      <c r="AL252" s="24" t="n">
        <f aca="false">AD252</f>
        <v>0</v>
      </c>
      <c r="AM252" s="24" t="n">
        <f aca="false">AK252-AL252</f>
        <v>0</v>
      </c>
      <c r="AN252" s="28" t="str">
        <f aca="false">IF(A252&gt;=Hip3LaunchDate,"YES","")</f>
        <v/>
      </c>
      <c r="AO252" s="28" t="str">
        <f aca="false">IF(A252&lt;Hip4LaunchDate,"pre-launch","live (zero-fee)")</f>
        <v>pre-launch</v>
      </c>
      <c r="AP252" s="20"/>
      <c r="AQ252" s="20"/>
      <c r="AR252" s="20"/>
    </row>
    <row r="253" customFormat="false" ht="15" hidden="false" customHeight="false" outlineLevel="0" collapsed="false">
      <c r="A253" s="18" t="n">
        <v>45314</v>
      </c>
      <c r="B253" s="19" t="n">
        <v>682413410.39</v>
      </c>
      <c r="C253" s="19" t="n">
        <v>0</v>
      </c>
      <c r="D253" s="20"/>
      <c r="E253" s="21" t="n">
        <f aca="false">B253+C253</f>
        <v>682413410.39</v>
      </c>
      <c r="F253" s="21" t="n">
        <f aca="false">E253+D253</f>
        <v>682413410.39</v>
      </c>
      <c r="G253" s="22" t="n">
        <f aca="false">IFERROR(C253/E253,0)</f>
        <v>0</v>
      </c>
      <c r="H253" s="20"/>
      <c r="I253" s="20"/>
      <c r="J253" s="20"/>
      <c r="K253" s="21" t="n">
        <f aca="false">H253+I253</f>
        <v>0</v>
      </c>
      <c r="L253" s="20"/>
      <c r="M253" s="21" t="n">
        <f aca="false">H253-L253</f>
        <v>0</v>
      </c>
      <c r="N253" s="23" t="n">
        <f aca="false">IFERROR(M253/B253*10000,0)</f>
        <v>0</v>
      </c>
      <c r="O253" s="20"/>
      <c r="P253" s="20"/>
      <c r="Q253" s="21" t="n">
        <f aca="false">O253+P253</f>
        <v>0</v>
      </c>
      <c r="R253" s="22" t="n">
        <f aca="false">IF(A253&lt;HlpChangeDate,HlpSharePre,HlpSharePost)</f>
        <v>0.03</v>
      </c>
      <c r="S253" s="21" t="n">
        <f aca="false">Q253*R253/(1-R253)</f>
        <v>0</v>
      </c>
      <c r="T253" s="20"/>
      <c r="U253" s="21" t="n">
        <f aca="false">S253-T253</f>
        <v>0</v>
      </c>
      <c r="V253" s="21" t="n">
        <f aca="false">Y253-O253*R253/(1-R253)</f>
        <v>0</v>
      </c>
      <c r="W253" s="21" t="n">
        <f aca="false">Z253-P253*R253/(1-R253)</f>
        <v>0</v>
      </c>
      <c r="X253" s="21" t="n">
        <f aca="false">S253+V253+W253</f>
        <v>0</v>
      </c>
      <c r="Y253" s="20"/>
      <c r="Z253" s="20"/>
      <c r="AA253" s="19" t="n">
        <v>0</v>
      </c>
      <c r="AB253" s="20"/>
      <c r="AC253" s="20"/>
      <c r="AD253" s="24" t="n">
        <f aca="false">IFERROR(AA253/AC253,0)</f>
        <v>0</v>
      </c>
      <c r="AE253" s="25" t="n">
        <f aca="false">K253-Q253-X253</f>
        <v>0</v>
      </c>
      <c r="AF253" s="25" t="n">
        <f aca="false">Q253-AA253</f>
        <v>0</v>
      </c>
      <c r="AG253" s="20"/>
      <c r="AH253" s="26" t="n">
        <f aca="false">IFERROR(AG253/Q253,0)</f>
        <v>0</v>
      </c>
      <c r="AI253" s="27" t="n">
        <v>0</v>
      </c>
      <c r="AJ253" s="26" t="n">
        <f aca="false">IF(AI253&gt;0,AprCoef/SQRT(AI253),0)</f>
        <v>0</v>
      </c>
      <c r="AK253" s="24" t="n">
        <f aca="false">AI253*AJ253/365</f>
        <v>0</v>
      </c>
      <c r="AL253" s="24" t="n">
        <f aca="false">AD253</f>
        <v>0</v>
      </c>
      <c r="AM253" s="24" t="n">
        <f aca="false">AK253-AL253</f>
        <v>0</v>
      </c>
      <c r="AN253" s="28" t="str">
        <f aca="false">IF(A253&gt;=Hip3LaunchDate,"YES","")</f>
        <v/>
      </c>
      <c r="AO253" s="28" t="str">
        <f aca="false">IF(A253&lt;Hip4LaunchDate,"pre-launch","live (zero-fee)")</f>
        <v>pre-launch</v>
      </c>
      <c r="AP253" s="20"/>
      <c r="AQ253" s="20"/>
      <c r="AR253" s="20"/>
    </row>
    <row r="254" customFormat="false" ht="15" hidden="false" customHeight="false" outlineLevel="0" collapsed="false">
      <c r="A254" s="18" t="n">
        <v>45315</v>
      </c>
      <c r="B254" s="19" t="n">
        <v>426660998.64</v>
      </c>
      <c r="C254" s="19" t="n">
        <v>0</v>
      </c>
      <c r="D254" s="20"/>
      <c r="E254" s="21" t="n">
        <f aca="false">B254+C254</f>
        <v>426660998.64</v>
      </c>
      <c r="F254" s="21" t="n">
        <f aca="false">E254+D254</f>
        <v>426660998.64</v>
      </c>
      <c r="G254" s="22" t="n">
        <f aca="false">IFERROR(C254/E254,0)</f>
        <v>0</v>
      </c>
      <c r="H254" s="20"/>
      <c r="I254" s="20"/>
      <c r="J254" s="20"/>
      <c r="K254" s="21" t="n">
        <f aca="false">H254+I254</f>
        <v>0</v>
      </c>
      <c r="L254" s="20"/>
      <c r="M254" s="21" t="n">
        <f aca="false">H254-L254</f>
        <v>0</v>
      </c>
      <c r="N254" s="23" t="n">
        <f aca="false">IFERROR(M254/B254*10000,0)</f>
        <v>0</v>
      </c>
      <c r="O254" s="20"/>
      <c r="P254" s="20"/>
      <c r="Q254" s="21" t="n">
        <f aca="false">O254+P254</f>
        <v>0</v>
      </c>
      <c r="R254" s="22" t="n">
        <f aca="false">IF(A254&lt;HlpChangeDate,HlpSharePre,HlpSharePost)</f>
        <v>0.03</v>
      </c>
      <c r="S254" s="21" t="n">
        <f aca="false">Q254*R254/(1-R254)</f>
        <v>0</v>
      </c>
      <c r="T254" s="20"/>
      <c r="U254" s="21" t="n">
        <f aca="false">S254-T254</f>
        <v>0</v>
      </c>
      <c r="V254" s="21" t="n">
        <f aca="false">Y254-O254*R254/(1-R254)</f>
        <v>0</v>
      </c>
      <c r="W254" s="21" t="n">
        <f aca="false">Z254-P254*R254/(1-R254)</f>
        <v>0</v>
      </c>
      <c r="X254" s="21" t="n">
        <f aca="false">S254+V254+W254</f>
        <v>0</v>
      </c>
      <c r="Y254" s="20"/>
      <c r="Z254" s="20"/>
      <c r="AA254" s="19" t="n">
        <v>0</v>
      </c>
      <c r="AB254" s="20"/>
      <c r="AC254" s="20"/>
      <c r="AD254" s="24" t="n">
        <f aca="false">IFERROR(AA254/AC254,0)</f>
        <v>0</v>
      </c>
      <c r="AE254" s="25" t="n">
        <f aca="false">K254-Q254-X254</f>
        <v>0</v>
      </c>
      <c r="AF254" s="25" t="n">
        <f aca="false">Q254-AA254</f>
        <v>0</v>
      </c>
      <c r="AG254" s="20"/>
      <c r="AH254" s="26" t="n">
        <f aca="false">IFERROR(AG254/Q254,0)</f>
        <v>0</v>
      </c>
      <c r="AI254" s="27" t="n">
        <v>0</v>
      </c>
      <c r="AJ254" s="26" t="n">
        <f aca="false">IF(AI254&gt;0,AprCoef/SQRT(AI254),0)</f>
        <v>0</v>
      </c>
      <c r="AK254" s="24" t="n">
        <f aca="false">AI254*AJ254/365</f>
        <v>0</v>
      </c>
      <c r="AL254" s="24" t="n">
        <f aca="false">AD254</f>
        <v>0</v>
      </c>
      <c r="AM254" s="24" t="n">
        <f aca="false">AK254-AL254</f>
        <v>0</v>
      </c>
      <c r="AN254" s="28" t="str">
        <f aca="false">IF(A254&gt;=Hip3LaunchDate,"YES","")</f>
        <v/>
      </c>
      <c r="AO254" s="28" t="str">
        <f aca="false">IF(A254&lt;Hip4LaunchDate,"pre-launch","live (zero-fee)")</f>
        <v>pre-launch</v>
      </c>
      <c r="AP254" s="20"/>
      <c r="AQ254" s="20"/>
      <c r="AR254" s="20"/>
    </row>
    <row r="255" customFormat="false" ht="15" hidden="false" customHeight="false" outlineLevel="0" collapsed="false">
      <c r="A255" s="18" t="n">
        <v>45316</v>
      </c>
      <c r="B255" s="19" t="n">
        <v>413845334.63</v>
      </c>
      <c r="C255" s="19" t="n">
        <v>0</v>
      </c>
      <c r="D255" s="20"/>
      <c r="E255" s="21" t="n">
        <f aca="false">B255+C255</f>
        <v>413845334.63</v>
      </c>
      <c r="F255" s="21" t="n">
        <f aca="false">E255+D255</f>
        <v>413845334.63</v>
      </c>
      <c r="G255" s="22" t="n">
        <f aca="false">IFERROR(C255/E255,0)</f>
        <v>0</v>
      </c>
      <c r="H255" s="20"/>
      <c r="I255" s="20"/>
      <c r="J255" s="20"/>
      <c r="K255" s="21" t="n">
        <f aca="false">H255+I255</f>
        <v>0</v>
      </c>
      <c r="L255" s="20"/>
      <c r="M255" s="21" t="n">
        <f aca="false">H255-L255</f>
        <v>0</v>
      </c>
      <c r="N255" s="23" t="n">
        <f aca="false">IFERROR(M255/B255*10000,0)</f>
        <v>0</v>
      </c>
      <c r="O255" s="20"/>
      <c r="P255" s="20"/>
      <c r="Q255" s="21" t="n">
        <f aca="false">O255+P255</f>
        <v>0</v>
      </c>
      <c r="R255" s="22" t="n">
        <f aca="false">IF(A255&lt;HlpChangeDate,HlpSharePre,HlpSharePost)</f>
        <v>0.03</v>
      </c>
      <c r="S255" s="21" t="n">
        <f aca="false">Q255*R255/(1-R255)</f>
        <v>0</v>
      </c>
      <c r="T255" s="20"/>
      <c r="U255" s="21" t="n">
        <f aca="false">S255-T255</f>
        <v>0</v>
      </c>
      <c r="V255" s="21" t="n">
        <f aca="false">Y255-O255*R255/(1-R255)</f>
        <v>0</v>
      </c>
      <c r="W255" s="21" t="n">
        <f aca="false">Z255-P255*R255/(1-R255)</f>
        <v>0</v>
      </c>
      <c r="X255" s="21" t="n">
        <f aca="false">S255+V255+W255</f>
        <v>0</v>
      </c>
      <c r="Y255" s="20"/>
      <c r="Z255" s="20"/>
      <c r="AA255" s="19" t="n">
        <v>0</v>
      </c>
      <c r="AB255" s="20"/>
      <c r="AC255" s="20"/>
      <c r="AD255" s="24" t="n">
        <f aca="false">IFERROR(AA255/AC255,0)</f>
        <v>0</v>
      </c>
      <c r="AE255" s="25" t="n">
        <f aca="false">K255-Q255-X255</f>
        <v>0</v>
      </c>
      <c r="AF255" s="25" t="n">
        <f aca="false">Q255-AA255</f>
        <v>0</v>
      </c>
      <c r="AG255" s="20"/>
      <c r="AH255" s="26" t="n">
        <f aca="false">IFERROR(AG255/Q255,0)</f>
        <v>0</v>
      </c>
      <c r="AI255" s="27" t="n">
        <v>0</v>
      </c>
      <c r="AJ255" s="26" t="n">
        <f aca="false">IF(AI255&gt;0,AprCoef/SQRT(AI255),0)</f>
        <v>0</v>
      </c>
      <c r="AK255" s="24" t="n">
        <f aca="false">AI255*AJ255/365</f>
        <v>0</v>
      </c>
      <c r="AL255" s="24" t="n">
        <f aca="false">AD255</f>
        <v>0</v>
      </c>
      <c r="AM255" s="24" t="n">
        <f aca="false">AK255-AL255</f>
        <v>0</v>
      </c>
      <c r="AN255" s="28" t="str">
        <f aca="false">IF(A255&gt;=Hip3LaunchDate,"YES","")</f>
        <v/>
      </c>
      <c r="AO255" s="28" t="str">
        <f aca="false">IF(A255&lt;Hip4LaunchDate,"pre-launch","live (zero-fee)")</f>
        <v>pre-launch</v>
      </c>
      <c r="AP255" s="20"/>
      <c r="AQ255" s="20"/>
      <c r="AR255" s="20"/>
    </row>
    <row r="256" customFormat="false" ht="15" hidden="false" customHeight="false" outlineLevel="0" collapsed="false">
      <c r="A256" s="18" t="n">
        <v>45317</v>
      </c>
      <c r="B256" s="19" t="n">
        <v>543208354.49</v>
      </c>
      <c r="C256" s="19" t="n">
        <v>0</v>
      </c>
      <c r="D256" s="20"/>
      <c r="E256" s="21" t="n">
        <f aca="false">B256+C256</f>
        <v>543208354.49</v>
      </c>
      <c r="F256" s="21" t="n">
        <f aca="false">E256+D256</f>
        <v>543208354.49</v>
      </c>
      <c r="G256" s="22" t="n">
        <f aca="false">IFERROR(C256/E256,0)</f>
        <v>0</v>
      </c>
      <c r="H256" s="20"/>
      <c r="I256" s="20"/>
      <c r="J256" s="20"/>
      <c r="K256" s="21" t="n">
        <f aca="false">H256+I256</f>
        <v>0</v>
      </c>
      <c r="L256" s="20"/>
      <c r="M256" s="21" t="n">
        <f aca="false">H256-L256</f>
        <v>0</v>
      </c>
      <c r="N256" s="23" t="n">
        <f aca="false">IFERROR(M256/B256*10000,0)</f>
        <v>0</v>
      </c>
      <c r="O256" s="20"/>
      <c r="P256" s="20"/>
      <c r="Q256" s="21" t="n">
        <f aca="false">O256+P256</f>
        <v>0</v>
      </c>
      <c r="R256" s="22" t="n">
        <f aca="false">IF(A256&lt;HlpChangeDate,HlpSharePre,HlpSharePost)</f>
        <v>0.03</v>
      </c>
      <c r="S256" s="21" t="n">
        <f aca="false">Q256*R256/(1-R256)</f>
        <v>0</v>
      </c>
      <c r="T256" s="20"/>
      <c r="U256" s="21" t="n">
        <f aca="false">S256-T256</f>
        <v>0</v>
      </c>
      <c r="V256" s="21" t="n">
        <f aca="false">Y256-O256*R256/(1-R256)</f>
        <v>0</v>
      </c>
      <c r="W256" s="21" t="n">
        <f aca="false">Z256-P256*R256/(1-R256)</f>
        <v>0</v>
      </c>
      <c r="X256" s="21" t="n">
        <f aca="false">S256+V256+W256</f>
        <v>0</v>
      </c>
      <c r="Y256" s="20"/>
      <c r="Z256" s="20"/>
      <c r="AA256" s="19" t="n">
        <v>0</v>
      </c>
      <c r="AB256" s="20"/>
      <c r="AC256" s="20"/>
      <c r="AD256" s="24" t="n">
        <f aca="false">IFERROR(AA256/AC256,0)</f>
        <v>0</v>
      </c>
      <c r="AE256" s="25" t="n">
        <f aca="false">K256-Q256-X256</f>
        <v>0</v>
      </c>
      <c r="AF256" s="25" t="n">
        <f aca="false">Q256-AA256</f>
        <v>0</v>
      </c>
      <c r="AG256" s="20"/>
      <c r="AH256" s="26" t="n">
        <f aca="false">IFERROR(AG256/Q256,0)</f>
        <v>0</v>
      </c>
      <c r="AI256" s="27" t="n">
        <v>0</v>
      </c>
      <c r="AJ256" s="26" t="n">
        <f aca="false">IF(AI256&gt;0,AprCoef/SQRT(AI256),0)</f>
        <v>0</v>
      </c>
      <c r="AK256" s="24" t="n">
        <f aca="false">AI256*AJ256/365</f>
        <v>0</v>
      </c>
      <c r="AL256" s="24" t="n">
        <f aca="false">AD256</f>
        <v>0</v>
      </c>
      <c r="AM256" s="24" t="n">
        <f aca="false">AK256-AL256</f>
        <v>0</v>
      </c>
      <c r="AN256" s="28" t="str">
        <f aca="false">IF(A256&gt;=Hip3LaunchDate,"YES","")</f>
        <v/>
      </c>
      <c r="AO256" s="28" t="str">
        <f aca="false">IF(A256&lt;Hip4LaunchDate,"pre-launch","live (zero-fee)")</f>
        <v>pre-launch</v>
      </c>
      <c r="AP256" s="20"/>
      <c r="AQ256" s="20"/>
      <c r="AR256" s="20"/>
    </row>
    <row r="257" customFormat="false" ht="15" hidden="false" customHeight="false" outlineLevel="0" collapsed="false">
      <c r="A257" s="18" t="n">
        <v>45318</v>
      </c>
      <c r="B257" s="19" t="n">
        <v>363829651.1</v>
      </c>
      <c r="C257" s="19" t="n">
        <v>0</v>
      </c>
      <c r="D257" s="20"/>
      <c r="E257" s="21" t="n">
        <f aca="false">B257+C257</f>
        <v>363829651.1</v>
      </c>
      <c r="F257" s="21" t="n">
        <f aca="false">E257+D257</f>
        <v>363829651.1</v>
      </c>
      <c r="G257" s="22" t="n">
        <f aca="false">IFERROR(C257/E257,0)</f>
        <v>0</v>
      </c>
      <c r="H257" s="20"/>
      <c r="I257" s="20"/>
      <c r="J257" s="20"/>
      <c r="K257" s="21" t="n">
        <f aca="false">H257+I257</f>
        <v>0</v>
      </c>
      <c r="L257" s="20"/>
      <c r="M257" s="21" t="n">
        <f aca="false">H257-L257</f>
        <v>0</v>
      </c>
      <c r="N257" s="23" t="n">
        <f aca="false">IFERROR(M257/B257*10000,0)</f>
        <v>0</v>
      </c>
      <c r="O257" s="20"/>
      <c r="P257" s="20"/>
      <c r="Q257" s="21" t="n">
        <f aca="false">O257+P257</f>
        <v>0</v>
      </c>
      <c r="R257" s="22" t="n">
        <f aca="false">IF(A257&lt;HlpChangeDate,HlpSharePre,HlpSharePost)</f>
        <v>0.03</v>
      </c>
      <c r="S257" s="21" t="n">
        <f aca="false">Q257*R257/(1-R257)</f>
        <v>0</v>
      </c>
      <c r="T257" s="20"/>
      <c r="U257" s="21" t="n">
        <f aca="false">S257-T257</f>
        <v>0</v>
      </c>
      <c r="V257" s="21" t="n">
        <f aca="false">Y257-O257*R257/(1-R257)</f>
        <v>0</v>
      </c>
      <c r="W257" s="21" t="n">
        <f aca="false">Z257-P257*R257/(1-R257)</f>
        <v>0</v>
      </c>
      <c r="X257" s="21" t="n">
        <f aca="false">S257+V257+W257</f>
        <v>0</v>
      </c>
      <c r="Y257" s="20"/>
      <c r="Z257" s="20"/>
      <c r="AA257" s="19" t="n">
        <v>0</v>
      </c>
      <c r="AB257" s="20"/>
      <c r="AC257" s="20"/>
      <c r="AD257" s="24" t="n">
        <f aca="false">IFERROR(AA257/AC257,0)</f>
        <v>0</v>
      </c>
      <c r="AE257" s="25" t="n">
        <f aca="false">K257-Q257-X257</f>
        <v>0</v>
      </c>
      <c r="AF257" s="25" t="n">
        <f aca="false">Q257-AA257</f>
        <v>0</v>
      </c>
      <c r="AG257" s="20"/>
      <c r="AH257" s="26" t="n">
        <f aca="false">IFERROR(AG257/Q257,0)</f>
        <v>0</v>
      </c>
      <c r="AI257" s="27" t="n">
        <v>0</v>
      </c>
      <c r="AJ257" s="26" t="n">
        <f aca="false">IF(AI257&gt;0,AprCoef/SQRT(AI257),0)</f>
        <v>0</v>
      </c>
      <c r="AK257" s="24" t="n">
        <f aca="false">AI257*AJ257/365</f>
        <v>0</v>
      </c>
      <c r="AL257" s="24" t="n">
        <f aca="false">AD257</f>
        <v>0</v>
      </c>
      <c r="AM257" s="24" t="n">
        <f aca="false">AK257-AL257</f>
        <v>0</v>
      </c>
      <c r="AN257" s="28" t="str">
        <f aca="false">IF(A257&gt;=Hip3LaunchDate,"YES","")</f>
        <v/>
      </c>
      <c r="AO257" s="28" t="str">
        <f aca="false">IF(A257&lt;Hip4LaunchDate,"pre-launch","live (zero-fee)")</f>
        <v>pre-launch</v>
      </c>
      <c r="AP257" s="20"/>
      <c r="AQ257" s="20"/>
      <c r="AR257" s="20"/>
    </row>
    <row r="258" customFormat="false" ht="15" hidden="false" customHeight="false" outlineLevel="0" collapsed="false">
      <c r="A258" s="18" t="n">
        <v>45319</v>
      </c>
      <c r="B258" s="19" t="n">
        <v>527458542.69</v>
      </c>
      <c r="C258" s="19" t="n">
        <v>0</v>
      </c>
      <c r="D258" s="20"/>
      <c r="E258" s="21" t="n">
        <f aca="false">B258+C258</f>
        <v>527458542.69</v>
      </c>
      <c r="F258" s="21" t="n">
        <f aca="false">E258+D258</f>
        <v>527458542.69</v>
      </c>
      <c r="G258" s="22" t="n">
        <f aca="false">IFERROR(C258/E258,0)</f>
        <v>0</v>
      </c>
      <c r="H258" s="20"/>
      <c r="I258" s="20"/>
      <c r="J258" s="20"/>
      <c r="K258" s="21" t="n">
        <f aca="false">H258+I258</f>
        <v>0</v>
      </c>
      <c r="L258" s="20"/>
      <c r="M258" s="21" t="n">
        <f aca="false">H258-L258</f>
        <v>0</v>
      </c>
      <c r="N258" s="23" t="n">
        <f aca="false">IFERROR(M258/B258*10000,0)</f>
        <v>0</v>
      </c>
      <c r="O258" s="20"/>
      <c r="P258" s="20"/>
      <c r="Q258" s="21" t="n">
        <f aca="false">O258+P258</f>
        <v>0</v>
      </c>
      <c r="R258" s="22" t="n">
        <f aca="false">IF(A258&lt;HlpChangeDate,HlpSharePre,HlpSharePost)</f>
        <v>0.03</v>
      </c>
      <c r="S258" s="21" t="n">
        <f aca="false">Q258*R258/(1-R258)</f>
        <v>0</v>
      </c>
      <c r="T258" s="20"/>
      <c r="U258" s="21" t="n">
        <f aca="false">S258-T258</f>
        <v>0</v>
      </c>
      <c r="V258" s="21" t="n">
        <f aca="false">Y258-O258*R258/(1-R258)</f>
        <v>0</v>
      </c>
      <c r="W258" s="21" t="n">
        <f aca="false">Z258-P258*R258/(1-R258)</f>
        <v>0</v>
      </c>
      <c r="X258" s="21" t="n">
        <f aca="false">S258+V258+W258</f>
        <v>0</v>
      </c>
      <c r="Y258" s="20"/>
      <c r="Z258" s="20"/>
      <c r="AA258" s="19" t="n">
        <v>0</v>
      </c>
      <c r="AB258" s="20"/>
      <c r="AC258" s="20"/>
      <c r="AD258" s="24" t="n">
        <f aca="false">IFERROR(AA258/AC258,0)</f>
        <v>0</v>
      </c>
      <c r="AE258" s="25" t="n">
        <f aca="false">K258-Q258-X258</f>
        <v>0</v>
      </c>
      <c r="AF258" s="25" t="n">
        <f aca="false">Q258-AA258</f>
        <v>0</v>
      </c>
      <c r="AG258" s="20"/>
      <c r="AH258" s="26" t="n">
        <f aca="false">IFERROR(AG258/Q258,0)</f>
        <v>0</v>
      </c>
      <c r="AI258" s="27" t="n">
        <v>0</v>
      </c>
      <c r="AJ258" s="26" t="n">
        <f aca="false">IF(AI258&gt;0,AprCoef/SQRT(AI258),0)</f>
        <v>0</v>
      </c>
      <c r="AK258" s="24" t="n">
        <f aca="false">AI258*AJ258/365</f>
        <v>0</v>
      </c>
      <c r="AL258" s="24" t="n">
        <f aca="false">AD258</f>
        <v>0</v>
      </c>
      <c r="AM258" s="24" t="n">
        <f aca="false">AK258-AL258</f>
        <v>0</v>
      </c>
      <c r="AN258" s="28" t="str">
        <f aca="false">IF(A258&gt;=Hip3LaunchDate,"YES","")</f>
        <v/>
      </c>
      <c r="AO258" s="28" t="str">
        <f aca="false">IF(A258&lt;Hip4LaunchDate,"pre-launch","live (zero-fee)")</f>
        <v>pre-launch</v>
      </c>
      <c r="AP258" s="20"/>
      <c r="AQ258" s="20"/>
      <c r="AR258" s="20"/>
    </row>
    <row r="259" customFormat="false" ht="15" hidden="false" customHeight="false" outlineLevel="0" collapsed="false">
      <c r="A259" s="18" t="n">
        <v>45320</v>
      </c>
      <c r="B259" s="19" t="n">
        <v>630397360.41</v>
      </c>
      <c r="C259" s="19" t="n">
        <v>0</v>
      </c>
      <c r="D259" s="20"/>
      <c r="E259" s="21" t="n">
        <f aca="false">B259+C259</f>
        <v>630397360.41</v>
      </c>
      <c r="F259" s="21" t="n">
        <f aca="false">E259+D259</f>
        <v>630397360.41</v>
      </c>
      <c r="G259" s="22" t="n">
        <f aca="false">IFERROR(C259/E259,0)</f>
        <v>0</v>
      </c>
      <c r="H259" s="20"/>
      <c r="I259" s="20"/>
      <c r="J259" s="20"/>
      <c r="K259" s="21" t="n">
        <f aca="false">H259+I259</f>
        <v>0</v>
      </c>
      <c r="L259" s="20"/>
      <c r="M259" s="21" t="n">
        <f aca="false">H259-L259</f>
        <v>0</v>
      </c>
      <c r="N259" s="23" t="n">
        <f aca="false">IFERROR(M259/B259*10000,0)</f>
        <v>0</v>
      </c>
      <c r="O259" s="20"/>
      <c r="P259" s="20"/>
      <c r="Q259" s="21" t="n">
        <f aca="false">O259+P259</f>
        <v>0</v>
      </c>
      <c r="R259" s="22" t="n">
        <f aca="false">IF(A259&lt;HlpChangeDate,HlpSharePre,HlpSharePost)</f>
        <v>0.03</v>
      </c>
      <c r="S259" s="21" t="n">
        <f aca="false">Q259*R259/(1-R259)</f>
        <v>0</v>
      </c>
      <c r="T259" s="20"/>
      <c r="U259" s="21" t="n">
        <f aca="false">S259-T259</f>
        <v>0</v>
      </c>
      <c r="V259" s="21" t="n">
        <f aca="false">Y259-O259*R259/(1-R259)</f>
        <v>0</v>
      </c>
      <c r="W259" s="21" t="n">
        <f aca="false">Z259-P259*R259/(1-R259)</f>
        <v>0</v>
      </c>
      <c r="X259" s="21" t="n">
        <f aca="false">S259+V259+W259</f>
        <v>0</v>
      </c>
      <c r="Y259" s="20"/>
      <c r="Z259" s="20"/>
      <c r="AA259" s="19" t="n">
        <v>0</v>
      </c>
      <c r="AB259" s="20"/>
      <c r="AC259" s="20"/>
      <c r="AD259" s="24" t="n">
        <f aca="false">IFERROR(AA259/AC259,0)</f>
        <v>0</v>
      </c>
      <c r="AE259" s="25" t="n">
        <f aca="false">K259-Q259-X259</f>
        <v>0</v>
      </c>
      <c r="AF259" s="25" t="n">
        <f aca="false">Q259-AA259</f>
        <v>0</v>
      </c>
      <c r="AG259" s="20"/>
      <c r="AH259" s="26" t="n">
        <f aca="false">IFERROR(AG259/Q259,0)</f>
        <v>0</v>
      </c>
      <c r="AI259" s="27" t="n">
        <v>0</v>
      </c>
      <c r="AJ259" s="26" t="n">
        <f aca="false">IF(AI259&gt;0,AprCoef/SQRT(AI259),0)</f>
        <v>0</v>
      </c>
      <c r="AK259" s="24" t="n">
        <f aca="false">AI259*AJ259/365</f>
        <v>0</v>
      </c>
      <c r="AL259" s="24" t="n">
        <f aca="false">AD259</f>
        <v>0</v>
      </c>
      <c r="AM259" s="24" t="n">
        <f aca="false">AK259-AL259</f>
        <v>0</v>
      </c>
      <c r="AN259" s="28" t="str">
        <f aca="false">IF(A259&gt;=Hip3LaunchDate,"YES","")</f>
        <v/>
      </c>
      <c r="AO259" s="28" t="str">
        <f aca="false">IF(A259&lt;Hip4LaunchDate,"pre-launch","live (zero-fee)")</f>
        <v>pre-launch</v>
      </c>
      <c r="AP259" s="20"/>
      <c r="AQ259" s="20"/>
      <c r="AR259" s="20"/>
    </row>
    <row r="260" customFormat="false" ht="15" hidden="false" customHeight="false" outlineLevel="0" collapsed="false">
      <c r="A260" s="18" t="n">
        <v>45321</v>
      </c>
      <c r="B260" s="19" t="n">
        <v>837059654.49</v>
      </c>
      <c r="C260" s="19" t="n">
        <v>0</v>
      </c>
      <c r="D260" s="20"/>
      <c r="E260" s="21" t="n">
        <f aca="false">B260+C260</f>
        <v>837059654.49</v>
      </c>
      <c r="F260" s="21" t="n">
        <f aca="false">E260+D260</f>
        <v>837059654.49</v>
      </c>
      <c r="G260" s="22" t="n">
        <f aca="false">IFERROR(C260/E260,0)</f>
        <v>0</v>
      </c>
      <c r="H260" s="20"/>
      <c r="I260" s="20"/>
      <c r="J260" s="20"/>
      <c r="K260" s="21" t="n">
        <f aca="false">H260+I260</f>
        <v>0</v>
      </c>
      <c r="L260" s="20"/>
      <c r="M260" s="21" t="n">
        <f aca="false">H260-L260</f>
        <v>0</v>
      </c>
      <c r="N260" s="23" t="n">
        <f aca="false">IFERROR(M260/B260*10000,0)</f>
        <v>0</v>
      </c>
      <c r="O260" s="20"/>
      <c r="P260" s="20"/>
      <c r="Q260" s="21" t="n">
        <f aca="false">O260+P260</f>
        <v>0</v>
      </c>
      <c r="R260" s="22" t="n">
        <f aca="false">IF(A260&lt;HlpChangeDate,HlpSharePre,HlpSharePost)</f>
        <v>0.03</v>
      </c>
      <c r="S260" s="21" t="n">
        <f aca="false">Q260*R260/(1-R260)</f>
        <v>0</v>
      </c>
      <c r="T260" s="20"/>
      <c r="U260" s="21" t="n">
        <f aca="false">S260-T260</f>
        <v>0</v>
      </c>
      <c r="V260" s="21" t="n">
        <f aca="false">Y260-O260*R260/(1-R260)</f>
        <v>0</v>
      </c>
      <c r="W260" s="21" t="n">
        <f aca="false">Z260-P260*R260/(1-R260)</f>
        <v>0</v>
      </c>
      <c r="X260" s="21" t="n">
        <f aca="false">S260+V260+W260</f>
        <v>0</v>
      </c>
      <c r="Y260" s="20"/>
      <c r="Z260" s="20"/>
      <c r="AA260" s="19" t="n">
        <v>0</v>
      </c>
      <c r="AB260" s="20"/>
      <c r="AC260" s="20"/>
      <c r="AD260" s="24" t="n">
        <f aca="false">IFERROR(AA260/AC260,0)</f>
        <v>0</v>
      </c>
      <c r="AE260" s="25" t="n">
        <f aca="false">K260-Q260-X260</f>
        <v>0</v>
      </c>
      <c r="AF260" s="25" t="n">
        <f aca="false">Q260-AA260</f>
        <v>0</v>
      </c>
      <c r="AG260" s="20"/>
      <c r="AH260" s="26" t="n">
        <f aca="false">IFERROR(AG260/Q260,0)</f>
        <v>0</v>
      </c>
      <c r="AI260" s="27" t="n">
        <v>0</v>
      </c>
      <c r="AJ260" s="26" t="n">
        <f aca="false">IF(AI260&gt;0,AprCoef/SQRT(AI260),0)</f>
        <v>0</v>
      </c>
      <c r="AK260" s="24" t="n">
        <f aca="false">AI260*AJ260/365</f>
        <v>0</v>
      </c>
      <c r="AL260" s="24" t="n">
        <f aca="false">AD260</f>
        <v>0</v>
      </c>
      <c r="AM260" s="24" t="n">
        <f aca="false">AK260-AL260</f>
        <v>0</v>
      </c>
      <c r="AN260" s="28" t="str">
        <f aca="false">IF(A260&gt;=Hip3LaunchDate,"YES","")</f>
        <v/>
      </c>
      <c r="AO260" s="28" t="str">
        <f aca="false">IF(A260&lt;Hip4LaunchDate,"pre-launch","live (zero-fee)")</f>
        <v>pre-launch</v>
      </c>
      <c r="AP260" s="20"/>
      <c r="AQ260" s="20"/>
      <c r="AR260" s="20"/>
    </row>
    <row r="261" customFormat="false" ht="15" hidden="false" customHeight="false" outlineLevel="0" collapsed="false">
      <c r="A261" s="18" t="n">
        <v>45322</v>
      </c>
      <c r="B261" s="19" t="n">
        <v>862289797.56</v>
      </c>
      <c r="C261" s="19" t="n">
        <v>0</v>
      </c>
      <c r="D261" s="20"/>
      <c r="E261" s="21" t="n">
        <f aca="false">B261+C261</f>
        <v>862289797.56</v>
      </c>
      <c r="F261" s="21" t="n">
        <f aca="false">E261+D261</f>
        <v>862289797.56</v>
      </c>
      <c r="G261" s="22" t="n">
        <f aca="false">IFERROR(C261/E261,0)</f>
        <v>0</v>
      </c>
      <c r="H261" s="20"/>
      <c r="I261" s="20"/>
      <c r="J261" s="20"/>
      <c r="K261" s="21" t="n">
        <f aca="false">H261+I261</f>
        <v>0</v>
      </c>
      <c r="L261" s="20"/>
      <c r="M261" s="21" t="n">
        <f aca="false">H261-L261</f>
        <v>0</v>
      </c>
      <c r="N261" s="23" t="n">
        <f aca="false">IFERROR(M261/B261*10000,0)</f>
        <v>0</v>
      </c>
      <c r="O261" s="20"/>
      <c r="P261" s="20"/>
      <c r="Q261" s="21" t="n">
        <f aca="false">O261+P261</f>
        <v>0</v>
      </c>
      <c r="R261" s="22" t="n">
        <f aca="false">IF(A261&lt;HlpChangeDate,HlpSharePre,HlpSharePost)</f>
        <v>0.03</v>
      </c>
      <c r="S261" s="21" t="n">
        <f aca="false">Q261*R261/(1-R261)</f>
        <v>0</v>
      </c>
      <c r="T261" s="20"/>
      <c r="U261" s="21" t="n">
        <f aca="false">S261-T261</f>
        <v>0</v>
      </c>
      <c r="V261" s="21" t="n">
        <f aca="false">Y261-O261*R261/(1-R261)</f>
        <v>0</v>
      </c>
      <c r="W261" s="21" t="n">
        <f aca="false">Z261-P261*R261/(1-R261)</f>
        <v>0</v>
      </c>
      <c r="X261" s="21" t="n">
        <f aca="false">S261+V261+W261</f>
        <v>0</v>
      </c>
      <c r="Y261" s="20"/>
      <c r="Z261" s="20"/>
      <c r="AA261" s="19" t="n">
        <v>0</v>
      </c>
      <c r="AB261" s="20"/>
      <c r="AC261" s="20"/>
      <c r="AD261" s="24" t="n">
        <f aca="false">IFERROR(AA261/AC261,0)</f>
        <v>0</v>
      </c>
      <c r="AE261" s="25" t="n">
        <f aca="false">K261-Q261-X261</f>
        <v>0</v>
      </c>
      <c r="AF261" s="25" t="n">
        <f aca="false">Q261-AA261</f>
        <v>0</v>
      </c>
      <c r="AG261" s="20"/>
      <c r="AH261" s="26" t="n">
        <f aca="false">IFERROR(AG261/Q261,0)</f>
        <v>0</v>
      </c>
      <c r="AI261" s="27" t="n">
        <v>0</v>
      </c>
      <c r="AJ261" s="26" t="n">
        <f aca="false">IF(AI261&gt;0,AprCoef/SQRT(AI261),0)</f>
        <v>0</v>
      </c>
      <c r="AK261" s="24" t="n">
        <f aca="false">AI261*AJ261/365</f>
        <v>0</v>
      </c>
      <c r="AL261" s="24" t="n">
        <f aca="false">AD261</f>
        <v>0</v>
      </c>
      <c r="AM261" s="24" t="n">
        <f aca="false">AK261-AL261</f>
        <v>0</v>
      </c>
      <c r="AN261" s="28" t="str">
        <f aca="false">IF(A261&gt;=Hip3LaunchDate,"YES","")</f>
        <v/>
      </c>
      <c r="AO261" s="28" t="str">
        <f aca="false">IF(A261&lt;Hip4LaunchDate,"pre-launch","live (zero-fee)")</f>
        <v>pre-launch</v>
      </c>
      <c r="AP261" s="20"/>
      <c r="AQ261" s="20"/>
      <c r="AR261" s="20"/>
    </row>
    <row r="262" customFormat="false" ht="15" hidden="false" customHeight="false" outlineLevel="0" collapsed="false">
      <c r="A262" s="18" t="n">
        <v>45323</v>
      </c>
      <c r="B262" s="19" t="n">
        <v>657528351.39</v>
      </c>
      <c r="C262" s="19" t="n">
        <v>0</v>
      </c>
      <c r="D262" s="20"/>
      <c r="E262" s="21" t="n">
        <f aca="false">B262+C262</f>
        <v>657528351.39</v>
      </c>
      <c r="F262" s="21" t="n">
        <f aca="false">E262+D262</f>
        <v>657528351.39</v>
      </c>
      <c r="G262" s="22" t="n">
        <f aca="false">IFERROR(C262/E262,0)</f>
        <v>0</v>
      </c>
      <c r="H262" s="20"/>
      <c r="I262" s="20"/>
      <c r="J262" s="20"/>
      <c r="K262" s="21" t="n">
        <f aca="false">H262+I262</f>
        <v>0</v>
      </c>
      <c r="L262" s="20"/>
      <c r="M262" s="21" t="n">
        <f aca="false">H262-L262</f>
        <v>0</v>
      </c>
      <c r="N262" s="23" t="n">
        <f aca="false">IFERROR(M262/B262*10000,0)</f>
        <v>0</v>
      </c>
      <c r="O262" s="20"/>
      <c r="P262" s="20"/>
      <c r="Q262" s="21" t="n">
        <f aca="false">O262+P262</f>
        <v>0</v>
      </c>
      <c r="R262" s="22" t="n">
        <f aca="false">IF(A262&lt;HlpChangeDate,HlpSharePre,HlpSharePost)</f>
        <v>0.03</v>
      </c>
      <c r="S262" s="21" t="n">
        <f aca="false">Q262*R262/(1-R262)</f>
        <v>0</v>
      </c>
      <c r="T262" s="20"/>
      <c r="U262" s="21" t="n">
        <f aca="false">S262-T262</f>
        <v>0</v>
      </c>
      <c r="V262" s="21" t="n">
        <f aca="false">Y262-O262*R262/(1-R262)</f>
        <v>0</v>
      </c>
      <c r="W262" s="21" t="n">
        <f aca="false">Z262-P262*R262/(1-R262)</f>
        <v>0</v>
      </c>
      <c r="X262" s="21" t="n">
        <f aca="false">S262+V262+W262</f>
        <v>0</v>
      </c>
      <c r="Y262" s="20"/>
      <c r="Z262" s="20"/>
      <c r="AA262" s="19" t="n">
        <v>0</v>
      </c>
      <c r="AB262" s="20"/>
      <c r="AC262" s="20"/>
      <c r="AD262" s="24" t="n">
        <f aca="false">IFERROR(AA262/AC262,0)</f>
        <v>0</v>
      </c>
      <c r="AE262" s="25" t="n">
        <f aca="false">K262-Q262-X262</f>
        <v>0</v>
      </c>
      <c r="AF262" s="25" t="n">
        <f aca="false">Q262-AA262</f>
        <v>0</v>
      </c>
      <c r="AG262" s="20"/>
      <c r="AH262" s="26" t="n">
        <f aca="false">IFERROR(AG262/Q262,0)</f>
        <v>0</v>
      </c>
      <c r="AI262" s="27" t="n">
        <v>0</v>
      </c>
      <c r="AJ262" s="26" t="n">
        <f aca="false">IF(AI262&gt;0,AprCoef/SQRT(AI262),0)</f>
        <v>0</v>
      </c>
      <c r="AK262" s="24" t="n">
        <f aca="false">AI262*AJ262/365</f>
        <v>0</v>
      </c>
      <c r="AL262" s="24" t="n">
        <f aca="false">AD262</f>
        <v>0</v>
      </c>
      <c r="AM262" s="24" t="n">
        <f aca="false">AK262-AL262</f>
        <v>0</v>
      </c>
      <c r="AN262" s="28" t="str">
        <f aca="false">IF(A262&gt;=Hip3LaunchDate,"YES","")</f>
        <v/>
      </c>
      <c r="AO262" s="28" t="str">
        <f aca="false">IF(A262&lt;Hip4LaunchDate,"pre-launch","live (zero-fee)")</f>
        <v>pre-launch</v>
      </c>
      <c r="AP262" s="20"/>
      <c r="AQ262" s="20"/>
      <c r="AR262" s="20"/>
    </row>
    <row r="263" customFormat="false" ht="15" hidden="false" customHeight="false" outlineLevel="0" collapsed="false">
      <c r="A263" s="18" t="n">
        <v>45324</v>
      </c>
      <c r="B263" s="19" t="n">
        <v>733486683.92</v>
      </c>
      <c r="C263" s="19" t="n">
        <v>0</v>
      </c>
      <c r="D263" s="20"/>
      <c r="E263" s="21" t="n">
        <f aca="false">B263+C263</f>
        <v>733486683.92</v>
      </c>
      <c r="F263" s="21" t="n">
        <f aca="false">E263+D263</f>
        <v>733486683.92</v>
      </c>
      <c r="G263" s="22" t="n">
        <f aca="false">IFERROR(C263/E263,0)</f>
        <v>0</v>
      </c>
      <c r="H263" s="20"/>
      <c r="I263" s="20"/>
      <c r="J263" s="20"/>
      <c r="K263" s="21" t="n">
        <f aca="false">H263+I263</f>
        <v>0</v>
      </c>
      <c r="L263" s="20"/>
      <c r="M263" s="21" t="n">
        <f aca="false">H263-L263</f>
        <v>0</v>
      </c>
      <c r="N263" s="23" t="n">
        <f aca="false">IFERROR(M263/B263*10000,0)</f>
        <v>0</v>
      </c>
      <c r="O263" s="20"/>
      <c r="P263" s="20"/>
      <c r="Q263" s="21" t="n">
        <f aca="false">O263+P263</f>
        <v>0</v>
      </c>
      <c r="R263" s="22" t="n">
        <f aca="false">IF(A263&lt;HlpChangeDate,HlpSharePre,HlpSharePost)</f>
        <v>0.03</v>
      </c>
      <c r="S263" s="21" t="n">
        <f aca="false">Q263*R263/(1-R263)</f>
        <v>0</v>
      </c>
      <c r="T263" s="20"/>
      <c r="U263" s="21" t="n">
        <f aca="false">S263-T263</f>
        <v>0</v>
      </c>
      <c r="V263" s="21" t="n">
        <f aca="false">Y263-O263*R263/(1-R263)</f>
        <v>0</v>
      </c>
      <c r="W263" s="21" t="n">
        <f aca="false">Z263-P263*R263/(1-R263)</f>
        <v>0</v>
      </c>
      <c r="X263" s="21" t="n">
        <f aca="false">S263+V263+W263</f>
        <v>0</v>
      </c>
      <c r="Y263" s="20"/>
      <c r="Z263" s="20"/>
      <c r="AA263" s="19" t="n">
        <v>0</v>
      </c>
      <c r="AB263" s="20"/>
      <c r="AC263" s="20"/>
      <c r="AD263" s="24" t="n">
        <f aca="false">IFERROR(AA263/AC263,0)</f>
        <v>0</v>
      </c>
      <c r="AE263" s="25" t="n">
        <f aca="false">K263-Q263-X263</f>
        <v>0</v>
      </c>
      <c r="AF263" s="25" t="n">
        <f aca="false">Q263-AA263</f>
        <v>0</v>
      </c>
      <c r="AG263" s="20"/>
      <c r="AH263" s="26" t="n">
        <f aca="false">IFERROR(AG263/Q263,0)</f>
        <v>0</v>
      </c>
      <c r="AI263" s="27" t="n">
        <v>0</v>
      </c>
      <c r="AJ263" s="26" t="n">
        <f aca="false">IF(AI263&gt;0,AprCoef/SQRT(AI263),0)</f>
        <v>0</v>
      </c>
      <c r="AK263" s="24" t="n">
        <f aca="false">AI263*AJ263/365</f>
        <v>0</v>
      </c>
      <c r="AL263" s="24" t="n">
        <f aca="false">AD263</f>
        <v>0</v>
      </c>
      <c r="AM263" s="24" t="n">
        <f aca="false">AK263-AL263</f>
        <v>0</v>
      </c>
      <c r="AN263" s="28" t="str">
        <f aca="false">IF(A263&gt;=Hip3LaunchDate,"YES","")</f>
        <v/>
      </c>
      <c r="AO263" s="28" t="str">
        <f aca="false">IF(A263&lt;Hip4LaunchDate,"pre-launch","live (zero-fee)")</f>
        <v>pre-launch</v>
      </c>
      <c r="AP263" s="20"/>
      <c r="AQ263" s="20"/>
      <c r="AR263" s="20"/>
    </row>
    <row r="264" customFormat="false" ht="15" hidden="false" customHeight="false" outlineLevel="0" collapsed="false">
      <c r="A264" s="18" t="n">
        <v>45325</v>
      </c>
      <c r="B264" s="19" t="n">
        <v>478634733.81</v>
      </c>
      <c r="C264" s="19" t="n">
        <v>0</v>
      </c>
      <c r="D264" s="20"/>
      <c r="E264" s="21" t="n">
        <f aca="false">B264+C264</f>
        <v>478634733.81</v>
      </c>
      <c r="F264" s="21" t="n">
        <f aca="false">E264+D264</f>
        <v>478634733.81</v>
      </c>
      <c r="G264" s="22" t="n">
        <f aca="false">IFERROR(C264/E264,0)</f>
        <v>0</v>
      </c>
      <c r="H264" s="20"/>
      <c r="I264" s="20"/>
      <c r="J264" s="20"/>
      <c r="K264" s="21" t="n">
        <f aca="false">H264+I264</f>
        <v>0</v>
      </c>
      <c r="L264" s="20"/>
      <c r="M264" s="21" t="n">
        <f aca="false">H264-L264</f>
        <v>0</v>
      </c>
      <c r="N264" s="23" t="n">
        <f aca="false">IFERROR(M264/B264*10000,0)</f>
        <v>0</v>
      </c>
      <c r="O264" s="20"/>
      <c r="P264" s="20"/>
      <c r="Q264" s="21" t="n">
        <f aca="false">O264+P264</f>
        <v>0</v>
      </c>
      <c r="R264" s="22" t="n">
        <f aca="false">IF(A264&lt;HlpChangeDate,HlpSharePre,HlpSharePost)</f>
        <v>0.03</v>
      </c>
      <c r="S264" s="21" t="n">
        <f aca="false">Q264*R264/(1-R264)</f>
        <v>0</v>
      </c>
      <c r="T264" s="20"/>
      <c r="U264" s="21" t="n">
        <f aca="false">S264-T264</f>
        <v>0</v>
      </c>
      <c r="V264" s="21" t="n">
        <f aca="false">Y264-O264*R264/(1-R264)</f>
        <v>0</v>
      </c>
      <c r="W264" s="21" t="n">
        <f aca="false">Z264-P264*R264/(1-R264)</f>
        <v>0</v>
      </c>
      <c r="X264" s="21" t="n">
        <f aca="false">S264+V264+W264</f>
        <v>0</v>
      </c>
      <c r="Y264" s="20"/>
      <c r="Z264" s="20"/>
      <c r="AA264" s="19" t="n">
        <v>0</v>
      </c>
      <c r="AB264" s="20"/>
      <c r="AC264" s="20"/>
      <c r="AD264" s="24" t="n">
        <f aca="false">IFERROR(AA264/AC264,0)</f>
        <v>0</v>
      </c>
      <c r="AE264" s="25" t="n">
        <f aca="false">K264-Q264-X264</f>
        <v>0</v>
      </c>
      <c r="AF264" s="25" t="n">
        <f aca="false">Q264-AA264</f>
        <v>0</v>
      </c>
      <c r="AG264" s="20"/>
      <c r="AH264" s="26" t="n">
        <f aca="false">IFERROR(AG264/Q264,0)</f>
        <v>0</v>
      </c>
      <c r="AI264" s="27" t="n">
        <v>0</v>
      </c>
      <c r="AJ264" s="26" t="n">
        <f aca="false">IF(AI264&gt;0,AprCoef/SQRT(AI264),0)</f>
        <v>0</v>
      </c>
      <c r="AK264" s="24" t="n">
        <f aca="false">AI264*AJ264/365</f>
        <v>0</v>
      </c>
      <c r="AL264" s="24" t="n">
        <f aca="false">AD264</f>
        <v>0</v>
      </c>
      <c r="AM264" s="24" t="n">
        <f aca="false">AK264-AL264</f>
        <v>0</v>
      </c>
      <c r="AN264" s="28" t="str">
        <f aca="false">IF(A264&gt;=Hip3LaunchDate,"YES","")</f>
        <v/>
      </c>
      <c r="AO264" s="28" t="str">
        <f aca="false">IF(A264&lt;Hip4LaunchDate,"pre-launch","live (zero-fee)")</f>
        <v>pre-launch</v>
      </c>
      <c r="AP264" s="20"/>
      <c r="AQ264" s="20"/>
      <c r="AR264" s="20"/>
    </row>
    <row r="265" customFormat="false" ht="15" hidden="false" customHeight="false" outlineLevel="0" collapsed="false">
      <c r="A265" s="18" t="n">
        <v>45326</v>
      </c>
      <c r="B265" s="19" t="n">
        <v>607605403.76</v>
      </c>
      <c r="C265" s="19" t="n">
        <v>0</v>
      </c>
      <c r="D265" s="20"/>
      <c r="E265" s="21" t="n">
        <f aca="false">B265+C265</f>
        <v>607605403.76</v>
      </c>
      <c r="F265" s="21" t="n">
        <f aca="false">E265+D265</f>
        <v>607605403.76</v>
      </c>
      <c r="G265" s="22" t="n">
        <f aca="false">IFERROR(C265/E265,0)</f>
        <v>0</v>
      </c>
      <c r="H265" s="20"/>
      <c r="I265" s="20"/>
      <c r="J265" s="20"/>
      <c r="K265" s="21" t="n">
        <f aca="false">H265+I265</f>
        <v>0</v>
      </c>
      <c r="L265" s="20"/>
      <c r="M265" s="21" t="n">
        <f aca="false">H265-L265</f>
        <v>0</v>
      </c>
      <c r="N265" s="23" t="n">
        <f aca="false">IFERROR(M265/B265*10000,0)</f>
        <v>0</v>
      </c>
      <c r="O265" s="20"/>
      <c r="P265" s="20"/>
      <c r="Q265" s="21" t="n">
        <f aca="false">O265+P265</f>
        <v>0</v>
      </c>
      <c r="R265" s="22" t="n">
        <f aca="false">IF(A265&lt;HlpChangeDate,HlpSharePre,HlpSharePost)</f>
        <v>0.03</v>
      </c>
      <c r="S265" s="21" t="n">
        <f aca="false">Q265*R265/(1-R265)</f>
        <v>0</v>
      </c>
      <c r="T265" s="20"/>
      <c r="U265" s="21" t="n">
        <f aca="false">S265-T265</f>
        <v>0</v>
      </c>
      <c r="V265" s="21" t="n">
        <f aca="false">Y265-O265*R265/(1-R265)</f>
        <v>0</v>
      </c>
      <c r="W265" s="21" t="n">
        <f aca="false">Z265-P265*R265/(1-R265)</f>
        <v>0</v>
      </c>
      <c r="X265" s="21" t="n">
        <f aca="false">S265+V265+W265</f>
        <v>0</v>
      </c>
      <c r="Y265" s="20"/>
      <c r="Z265" s="20"/>
      <c r="AA265" s="19" t="n">
        <v>0</v>
      </c>
      <c r="AB265" s="20"/>
      <c r="AC265" s="20"/>
      <c r="AD265" s="24" t="n">
        <f aca="false">IFERROR(AA265/AC265,0)</f>
        <v>0</v>
      </c>
      <c r="AE265" s="25" t="n">
        <f aca="false">K265-Q265-X265</f>
        <v>0</v>
      </c>
      <c r="AF265" s="25" t="n">
        <f aca="false">Q265-AA265</f>
        <v>0</v>
      </c>
      <c r="AG265" s="20"/>
      <c r="AH265" s="26" t="n">
        <f aca="false">IFERROR(AG265/Q265,0)</f>
        <v>0</v>
      </c>
      <c r="AI265" s="27" t="n">
        <v>0</v>
      </c>
      <c r="AJ265" s="26" t="n">
        <f aca="false">IF(AI265&gt;0,AprCoef/SQRT(AI265),0)</f>
        <v>0</v>
      </c>
      <c r="AK265" s="24" t="n">
        <f aca="false">AI265*AJ265/365</f>
        <v>0</v>
      </c>
      <c r="AL265" s="24" t="n">
        <f aca="false">AD265</f>
        <v>0</v>
      </c>
      <c r="AM265" s="24" t="n">
        <f aca="false">AK265-AL265</f>
        <v>0</v>
      </c>
      <c r="AN265" s="28" t="str">
        <f aca="false">IF(A265&gt;=Hip3LaunchDate,"YES","")</f>
        <v/>
      </c>
      <c r="AO265" s="28" t="str">
        <f aca="false">IF(A265&lt;Hip4LaunchDate,"pre-launch","live (zero-fee)")</f>
        <v>pre-launch</v>
      </c>
      <c r="AP265" s="20"/>
      <c r="AQ265" s="20"/>
      <c r="AR265" s="20"/>
    </row>
    <row r="266" customFormat="false" ht="15" hidden="false" customHeight="false" outlineLevel="0" collapsed="false">
      <c r="A266" s="18" t="n">
        <v>45327</v>
      </c>
      <c r="B266" s="19" t="n">
        <v>868938325</v>
      </c>
      <c r="C266" s="19" t="n">
        <v>0</v>
      </c>
      <c r="D266" s="20"/>
      <c r="E266" s="21" t="n">
        <f aca="false">B266+C266</f>
        <v>868938325</v>
      </c>
      <c r="F266" s="21" t="n">
        <f aca="false">E266+D266</f>
        <v>868938325</v>
      </c>
      <c r="G266" s="22" t="n">
        <f aca="false">IFERROR(C266/E266,0)</f>
        <v>0</v>
      </c>
      <c r="H266" s="20"/>
      <c r="I266" s="20"/>
      <c r="J266" s="20"/>
      <c r="K266" s="21" t="n">
        <f aca="false">H266+I266</f>
        <v>0</v>
      </c>
      <c r="L266" s="20"/>
      <c r="M266" s="21" t="n">
        <f aca="false">H266-L266</f>
        <v>0</v>
      </c>
      <c r="N266" s="23" t="n">
        <f aca="false">IFERROR(M266/B266*10000,0)</f>
        <v>0</v>
      </c>
      <c r="O266" s="20"/>
      <c r="P266" s="20"/>
      <c r="Q266" s="21" t="n">
        <f aca="false">O266+P266</f>
        <v>0</v>
      </c>
      <c r="R266" s="22" t="n">
        <f aca="false">IF(A266&lt;HlpChangeDate,HlpSharePre,HlpSharePost)</f>
        <v>0.03</v>
      </c>
      <c r="S266" s="21" t="n">
        <f aca="false">Q266*R266/(1-R266)</f>
        <v>0</v>
      </c>
      <c r="T266" s="20"/>
      <c r="U266" s="21" t="n">
        <f aca="false">S266-T266</f>
        <v>0</v>
      </c>
      <c r="V266" s="21" t="n">
        <f aca="false">Y266-O266*R266/(1-R266)</f>
        <v>0</v>
      </c>
      <c r="W266" s="21" t="n">
        <f aca="false">Z266-P266*R266/(1-R266)</f>
        <v>0</v>
      </c>
      <c r="X266" s="21" t="n">
        <f aca="false">S266+V266+W266</f>
        <v>0</v>
      </c>
      <c r="Y266" s="20"/>
      <c r="Z266" s="20"/>
      <c r="AA266" s="19" t="n">
        <v>0</v>
      </c>
      <c r="AB266" s="20"/>
      <c r="AC266" s="20"/>
      <c r="AD266" s="24" t="n">
        <f aca="false">IFERROR(AA266/AC266,0)</f>
        <v>0</v>
      </c>
      <c r="AE266" s="25" t="n">
        <f aca="false">K266-Q266-X266</f>
        <v>0</v>
      </c>
      <c r="AF266" s="25" t="n">
        <f aca="false">Q266-AA266</f>
        <v>0</v>
      </c>
      <c r="AG266" s="20"/>
      <c r="AH266" s="26" t="n">
        <f aca="false">IFERROR(AG266/Q266,0)</f>
        <v>0</v>
      </c>
      <c r="AI266" s="27" t="n">
        <v>0</v>
      </c>
      <c r="AJ266" s="26" t="n">
        <f aca="false">IF(AI266&gt;0,AprCoef/SQRT(AI266),0)</f>
        <v>0</v>
      </c>
      <c r="AK266" s="24" t="n">
        <f aca="false">AI266*AJ266/365</f>
        <v>0</v>
      </c>
      <c r="AL266" s="24" t="n">
        <f aca="false">AD266</f>
        <v>0</v>
      </c>
      <c r="AM266" s="24" t="n">
        <f aca="false">AK266-AL266</f>
        <v>0</v>
      </c>
      <c r="AN266" s="28" t="str">
        <f aca="false">IF(A266&gt;=Hip3LaunchDate,"YES","")</f>
        <v/>
      </c>
      <c r="AO266" s="28" t="str">
        <f aca="false">IF(A266&lt;Hip4LaunchDate,"pre-launch","live (zero-fee)")</f>
        <v>pre-launch</v>
      </c>
      <c r="AP266" s="20"/>
      <c r="AQ266" s="20"/>
      <c r="AR266" s="20"/>
    </row>
    <row r="267" customFormat="false" ht="15" hidden="false" customHeight="false" outlineLevel="0" collapsed="false">
      <c r="A267" s="18" t="n">
        <v>45328</v>
      </c>
      <c r="B267" s="19" t="n">
        <v>1180970341.39</v>
      </c>
      <c r="C267" s="19" t="n">
        <v>0</v>
      </c>
      <c r="D267" s="20"/>
      <c r="E267" s="21" t="n">
        <f aca="false">B267+C267</f>
        <v>1180970341.39</v>
      </c>
      <c r="F267" s="21" t="n">
        <f aca="false">E267+D267</f>
        <v>1180970341.39</v>
      </c>
      <c r="G267" s="22" t="n">
        <f aca="false">IFERROR(C267/E267,0)</f>
        <v>0</v>
      </c>
      <c r="H267" s="20"/>
      <c r="I267" s="20"/>
      <c r="J267" s="20"/>
      <c r="K267" s="21" t="n">
        <f aca="false">H267+I267</f>
        <v>0</v>
      </c>
      <c r="L267" s="20"/>
      <c r="M267" s="21" t="n">
        <f aca="false">H267-L267</f>
        <v>0</v>
      </c>
      <c r="N267" s="23" t="n">
        <f aca="false">IFERROR(M267/B267*10000,0)</f>
        <v>0</v>
      </c>
      <c r="O267" s="20"/>
      <c r="P267" s="20"/>
      <c r="Q267" s="21" t="n">
        <f aca="false">O267+P267</f>
        <v>0</v>
      </c>
      <c r="R267" s="22" t="n">
        <f aca="false">IF(A267&lt;HlpChangeDate,HlpSharePre,HlpSharePost)</f>
        <v>0.03</v>
      </c>
      <c r="S267" s="21" t="n">
        <f aca="false">Q267*R267/(1-R267)</f>
        <v>0</v>
      </c>
      <c r="T267" s="20"/>
      <c r="U267" s="21" t="n">
        <f aca="false">S267-T267</f>
        <v>0</v>
      </c>
      <c r="V267" s="21" t="n">
        <f aca="false">Y267-O267*R267/(1-R267)</f>
        <v>0</v>
      </c>
      <c r="W267" s="21" t="n">
        <f aca="false">Z267-P267*R267/(1-R267)</f>
        <v>0</v>
      </c>
      <c r="X267" s="21" t="n">
        <f aca="false">S267+V267+W267</f>
        <v>0</v>
      </c>
      <c r="Y267" s="20"/>
      <c r="Z267" s="20"/>
      <c r="AA267" s="19" t="n">
        <v>0</v>
      </c>
      <c r="AB267" s="20"/>
      <c r="AC267" s="20"/>
      <c r="AD267" s="24" t="n">
        <f aca="false">IFERROR(AA267/AC267,0)</f>
        <v>0</v>
      </c>
      <c r="AE267" s="25" t="n">
        <f aca="false">K267-Q267-X267</f>
        <v>0</v>
      </c>
      <c r="AF267" s="25" t="n">
        <f aca="false">Q267-AA267</f>
        <v>0</v>
      </c>
      <c r="AG267" s="20"/>
      <c r="AH267" s="26" t="n">
        <f aca="false">IFERROR(AG267/Q267,0)</f>
        <v>0</v>
      </c>
      <c r="AI267" s="27" t="n">
        <v>0</v>
      </c>
      <c r="AJ267" s="26" t="n">
        <f aca="false">IF(AI267&gt;0,AprCoef/SQRT(AI267),0)</f>
        <v>0</v>
      </c>
      <c r="AK267" s="24" t="n">
        <f aca="false">AI267*AJ267/365</f>
        <v>0</v>
      </c>
      <c r="AL267" s="24" t="n">
        <f aca="false">AD267</f>
        <v>0</v>
      </c>
      <c r="AM267" s="24" t="n">
        <f aca="false">AK267-AL267</f>
        <v>0</v>
      </c>
      <c r="AN267" s="28" t="str">
        <f aca="false">IF(A267&gt;=Hip3LaunchDate,"YES","")</f>
        <v/>
      </c>
      <c r="AO267" s="28" t="str">
        <f aca="false">IF(A267&lt;Hip4LaunchDate,"pre-launch","live (zero-fee)")</f>
        <v>pre-launch</v>
      </c>
      <c r="AP267" s="20"/>
      <c r="AQ267" s="20"/>
      <c r="AR267" s="20"/>
    </row>
    <row r="268" customFormat="false" ht="15" hidden="false" customHeight="false" outlineLevel="0" collapsed="false">
      <c r="A268" s="18" t="n">
        <v>45329</v>
      </c>
      <c r="B268" s="19" t="n">
        <v>900996278.23</v>
      </c>
      <c r="C268" s="19" t="n">
        <v>0</v>
      </c>
      <c r="D268" s="20"/>
      <c r="E268" s="21" t="n">
        <f aca="false">B268+C268</f>
        <v>900996278.23</v>
      </c>
      <c r="F268" s="21" t="n">
        <f aca="false">E268+D268</f>
        <v>900996278.23</v>
      </c>
      <c r="G268" s="22" t="n">
        <f aca="false">IFERROR(C268/E268,0)</f>
        <v>0</v>
      </c>
      <c r="H268" s="20"/>
      <c r="I268" s="20"/>
      <c r="J268" s="20"/>
      <c r="K268" s="21" t="n">
        <f aca="false">H268+I268</f>
        <v>0</v>
      </c>
      <c r="L268" s="20"/>
      <c r="M268" s="21" t="n">
        <f aca="false">H268-L268</f>
        <v>0</v>
      </c>
      <c r="N268" s="23" t="n">
        <f aca="false">IFERROR(M268/B268*10000,0)</f>
        <v>0</v>
      </c>
      <c r="O268" s="20"/>
      <c r="P268" s="20"/>
      <c r="Q268" s="21" t="n">
        <f aca="false">O268+P268</f>
        <v>0</v>
      </c>
      <c r="R268" s="22" t="n">
        <f aca="false">IF(A268&lt;HlpChangeDate,HlpSharePre,HlpSharePost)</f>
        <v>0.03</v>
      </c>
      <c r="S268" s="21" t="n">
        <f aca="false">Q268*R268/(1-R268)</f>
        <v>0</v>
      </c>
      <c r="T268" s="20"/>
      <c r="U268" s="21" t="n">
        <f aca="false">S268-T268</f>
        <v>0</v>
      </c>
      <c r="V268" s="21" t="n">
        <f aca="false">Y268-O268*R268/(1-R268)</f>
        <v>0</v>
      </c>
      <c r="W268" s="21" t="n">
        <f aca="false">Z268-P268*R268/(1-R268)</f>
        <v>0</v>
      </c>
      <c r="X268" s="21" t="n">
        <f aca="false">S268+V268+W268</f>
        <v>0</v>
      </c>
      <c r="Y268" s="20"/>
      <c r="Z268" s="20"/>
      <c r="AA268" s="19" t="n">
        <v>0</v>
      </c>
      <c r="AB268" s="20"/>
      <c r="AC268" s="20"/>
      <c r="AD268" s="24" t="n">
        <f aca="false">IFERROR(AA268/AC268,0)</f>
        <v>0</v>
      </c>
      <c r="AE268" s="25" t="n">
        <f aca="false">K268-Q268-X268</f>
        <v>0</v>
      </c>
      <c r="AF268" s="25" t="n">
        <f aca="false">Q268-AA268</f>
        <v>0</v>
      </c>
      <c r="AG268" s="20"/>
      <c r="AH268" s="26" t="n">
        <f aca="false">IFERROR(AG268/Q268,0)</f>
        <v>0</v>
      </c>
      <c r="AI268" s="27" t="n">
        <v>0</v>
      </c>
      <c r="AJ268" s="26" t="n">
        <f aca="false">IF(AI268&gt;0,AprCoef/SQRT(AI268),0)</f>
        <v>0</v>
      </c>
      <c r="AK268" s="24" t="n">
        <f aca="false">AI268*AJ268/365</f>
        <v>0</v>
      </c>
      <c r="AL268" s="24" t="n">
        <f aca="false">AD268</f>
        <v>0</v>
      </c>
      <c r="AM268" s="24" t="n">
        <f aca="false">AK268-AL268</f>
        <v>0</v>
      </c>
      <c r="AN268" s="28" t="str">
        <f aca="false">IF(A268&gt;=Hip3LaunchDate,"YES","")</f>
        <v/>
      </c>
      <c r="AO268" s="28" t="str">
        <f aca="false">IF(A268&lt;Hip4LaunchDate,"pre-launch","live (zero-fee)")</f>
        <v>pre-launch</v>
      </c>
      <c r="AP268" s="20"/>
      <c r="AQ268" s="20"/>
      <c r="AR268" s="20"/>
    </row>
    <row r="269" customFormat="false" ht="15" hidden="false" customHeight="false" outlineLevel="0" collapsed="false">
      <c r="A269" s="18" t="n">
        <v>45330</v>
      </c>
      <c r="B269" s="19" t="n">
        <v>950411326.19</v>
      </c>
      <c r="C269" s="19" t="n">
        <v>0</v>
      </c>
      <c r="D269" s="20"/>
      <c r="E269" s="21" t="n">
        <f aca="false">B269+C269</f>
        <v>950411326.19</v>
      </c>
      <c r="F269" s="21" t="n">
        <f aca="false">E269+D269</f>
        <v>950411326.19</v>
      </c>
      <c r="G269" s="22" t="n">
        <f aca="false">IFERROR(C269/E269,0)</f>
        <v>0</v>
      </c>
      <c r="H269" s="20"/>
      <c r="I269" s="20"/>
      <c r="J269" s="20"/>
      <c r="K269" s="21" t="n">
        <f aca="false">H269+I269</f>
        <v>0</v>
      </c>
      <c r="L269" s="20"/>
      <c r="M269" s="21" t="n">
        <f aca="false">H269-L269</f>
        <v>0</v>
      </c>
      <c r="N269" s="23" t="n">
        <f aca="false">IFERROR(M269/B269*10000,0)</f>
        <v>0</v>
      </c>
      <c r="O269" s="20"/>
      <c r="P269" s="20"/>
      <c r="Q269" s="21" t="n">
        <f aca="false">O269+P269</f>
        <v>0</v>
      </c>
      <c r="R269" s="22" t="n">
        <f aca="false">IF(A269&lt;HlpChangeDate,HlpSharePre,HlpSharePost)</f>
        <v>0.03</v>
      </c>
      <c r="S269" s="21" t="n">
        <f aca="false">Q269*R269/(1-R269)</f>
        <v>0</v>
      </c>
      <c r="T269" s="20"/>
      <c r="U269" s="21" t="n">
        <f aca="false">S269-T269</f>
        <v>0</v>
      </c>
      <c r="V269" s="21" t="n">
        <f aca="false">Y269-O269*R269/(1-R269)</f>
        <v>0</v>
      </c>
      <c r="W269" s="21" t="n">
        <f aca="false">Z269-P269*R269/(1-R269)</f>
        <v>0</v>
      </c>
      <c r="X269" s="21" t="n">
        <f aca="false">S269+V269+W269</f>
        <v>0</v>
      </c>
      <c r="Y269" s="20"/>
      <c r="Z269" s="20"/>
      <c r="AA269" s="19" t="n">
        <v>0</v>
      </c>
      <c r="AB269" s="20"/>
      <c r="AC269" s="20"/>
      <c r="AD269" s="24" t="n">
        <f aca="false">IFERROR(AA269/AC269,0)</f>
        <v>0</v>
      </c>
      <c r="AE269" s="25" t="n">
        <f aca="false">K269-Q269-X269</f>
        <v>0</v>
      </c>
      <c r="AF269" s="25" t="n">
        <f aca="false">Q269-AA269</f>
        <v>0</v>
      </c>
      <c r="AG269" s="20"/>
      <c r="AH269" s="26" t="n">
        <f aca="false">IFERROR(AG269/Q269,0)</f>
        <v>0</v>
      </c>
      <c r="AI269" s="27" t="n">
        <v>0</v>
      </c>
      <c r="AJ269" s="26" t="n">
        <f aca="false">IF(AI269&gt;0,AprCoef/SQRT(AI269),0)</f>
        <v>0</v>
      </c>
      <c r="AK269" s="24" t="n">
        <f aca="false">AI269*AJ269/365</f>
        <v>0</v>
      </c>
      <c r="AL269" s="24" t="n">
        <f aca="false">AD269</f>
        <v>0</v>
      </c>
      <c r="AM269" s="24" t="n">
        <f aca="false">AK269-AL269</f>
        <v>0</v>
      </c>
      <c r="AN269" s="28" t="str">
        <f aca="false">IF(A269&gt;=Hip3LaunchDate,"YES","")</f>
        <v/>
      </c>
      <c r="AO269" s="28" t="str">
        <f aca="false">IF(A269&lt;Hip4LaunchDate,"pre-launch","live (zero-fee)")</f>
        <v>pre-launch</v>
      </c>
      <c r="AP269" s="20"/>
      <c r="AQ269" s="20"/>
      <c r="AR269" s="20"/>
    </row>
    <row r="270" customFormat="false" ht="15" hidden="false" customHeight="false" outlineLevel="0" collapsed="false">
      <c r="A270" s="18" t="n">
        <v>45331</v>
      </c>
      <c r="B270" s="19" t="n">
        <v>1076212657.73</v>
      </c>
      <c r="C270" s="19" t="n">
        <v>0</v>
      </c>
      <c r="D270" s="20"/>
      <c r="E270" s="21" t="n">
        <f aca="false">B270+C270</f>
        <v>1076212657.73</v>
      </c>
      <c r="F270" s="21" t="n">
        <f aca="false">E270+D270</f>
        <v>1076212657.73</v>
      </c>
      <c r="G270" s="22" t="n">
        <f aca="false">IFERROR(C270/E270,0)</f>
        <v>0</v>
      </c>
      <c r="H270" s="20"/>
      <c r="I270" s="20"/>
      <c r="J270" s="20"/>
      <c r="K270" s="21" t="n">
        <f aca="false">H270+I270</f>
        <v>0</v>
      </c>
      <c r="L270" s="20"/>
      <c r="M270" s="21" t="n">
        <f aca="false">H270-L270</f>
        <v>0</v>
      </c>
      <c r="N270" s="23" t="n">
        <f aca="false">IFERROR(M270/B270*10000,0)</f>
        <v>0</v>
      </c>
      <c r="O270" s="20"/>
      <c r="P270" s="20"/>
      <c r="Q270" s="21" t="n">
        <f aca="false">O270+P270</f>
        <v>0</v>
      </c>
      <c r="R270" s="22" t="n">
        <f aca="false">IF(A270&lt;HlpChangeDate,HlpSharePre,HlpSharePost)</f>
        <v>0.03</v>
      </c>
      <c r="S270" s="21" t="n">
        <f aca="false">Q270*R270/(1-R270)</f>
        <v>0</v>
      </c>
      <c r="T270" s="20"/>
      <c r="U270" s="21" t="n">
        <f aca="false">S270-T270</f>
        <v>0</v>
      </c>
      <c r="V270" s="21" t="n">
        <f aca="false">Y270-O270*R270/(1-R270)</f>
        <v>0</v>
      </c>
      <c r="W270" s="21" t="n">
        <f aca="false">Z270-P270*R270/(1-R270)</f>
        <v>0</v>
      </c>
      <c r="X270" s="21" t="n">
        <f aca="false">S270+V270+W270</f>
        <v>0</v>
      </c>
      <c r="Y270" s="20"/>
      <c r="Z270" s="20"/>
      <c r="AA270" s="19" t="n">
        <v>0</v>
      </c>
      <c r="AB270" s="20"/>
      <c r="AC270" s="20"/>
      <c r="AD270" s="24" t="n">
        <f aca="false">IFERROR(AA270/AC270,0)</f>
        <v>0</v>
      </c>
      <c r="AE270" s="25" t="n">
        <f aca="false">K270-Q270-X270</f>
        <v>0</v>
      </c>
      <c r="AF270" s="25" t="n">
        <f aca="false">Q270-AA270</f>
        <v>0</v>
      </c>
      <c r="AG270" s="20"/>
      <c r="AH270" s="26" t="n">
        <f aca="false">IFERROR(AG270/Q270,0)</f>
        <v>0</v>
      </c>
      <c r="AI270" s="27" t="n">
        <v>0</v>
      </c>
      <c r="AJ270" s="26" t="n">
        <f aca="false">IF(AI270&gt;0,AprCoef/SQRT(AI270),0)</f>
        <v>0</v>
      </c>
      <c r="AK270" s="24" t="n">
        <f aca="false">AI270*AJ270/365</f>
        <v>0</v>
      </c>
      <c r="AL270" s="24" t="n">
        <f aca="false">AD270</f>
        <v>0</v>
      </c>
      <c r="AM270" s="24" t="n">
        <f aca="false">AK270-AL270</f>
        <v>0</v>
      </c>
      <c r="AN270" s="28" t="str">
        <f aca="false">IF(A270&gt;=Hip3LaunchDate,"YES","")</f>
        <v/>
      </c>
      <c r="AO270" s="28" t="str">
        <f aca="false">IF(A270&lt;Hip4LaunchDate,"pre-launch","live (zero-fee)")</f>
        <v>pre-launch</v>
      </c>
      <c r="AP270" s="20"/>
      <c r="AQ270" s="20"/>
      <c r="AR270" s="20"/>
    </row>
    <row r="271" customFormat="false" ht="15" hidden="false" customHeight="false" outlineLevel="0" collapsed="false">
      <c r="A271" s="18" t="n">
        <v>45332</v>
      </c>
      <c r="B271" s="19" t="n">
        <v>857138637.15</v>
      </c>
      <c r="C271" s="19" t="n">
        <v>0</v>
      </c>
      <c r="D271" s="20"/>
      <c r="E271" s="21" t="n">
        <f aca="false">B271+C271</f>
        <v>857138637.15</v>
      </c>
      <c r="F271" s="21" t="n">
        <f aca="false">E271+D271</f>
        <v>857138637.15</v>
      </c>
      <c r="G271" s="22" t="n">
        <f aca="false">IFERROR(C271/E271,0)</f>
        <v>0</v>
      </c>
      <c r="H271" s="20"/>
      <c r="I271" s="20"/>
      <c r="J271" s="20"/>
      <c r="K271" s="21" t="n">
        <f aca="false">H271+I271</f>
        <v>0</v>
      </c>
      <c r="L271" s="20"/>
      <c r="M271" s="21" t="n">
        <f aca="false">H271-L271</f>
        <v>0</v>
      </c>
      <c r="N271" s="23" t="n">
        <f aca="false">IFERROR(M271/B271*10000,0)</f>
        <v>0</v>
      </c>
      <c r="O271" s="20"/>
      <c r="P271" s="20"/>
      <c r="Q271" s="21" t="n">
        <f aca="false">O271+P271</f>
        <v>0</v>
      </c>
      <c r="R271" s="22" t="n">
        <f aca="false">IF(A271&lt;HlpChangeDate,HlpSharePre,HlpSharePost)</f>
        <v>0.03</v>
      </c>
      <c r="S271" s="21" t="n">
        <f aca="false">Q271*R271/(1-R271)</f>
        <v>0</v>
      </c>
      <c r="T271" s="20"/>
      <c r="U271" s="21" t="n">
        <f aca="false">S271-T271</f>
        <v>0</v>
      </c>
      <c r="V271" s="21" t="n">
        <f aca="false">Y271-O271*R271/(1-R271)</f>
        <v>0</v>
      </c>
      <c r="W271" s="21" t="n">
        <f aca="false">Z271-P271*R271/(1-R271)</f>
        <v>0</v>
      </c>
      <c r="X271" s="21" t="n">
        <f aca="false">S271+V271+W271</f>
        <v>0</v>
      </c>
      <c r="Y271" s="20"/>
      <c r="Z271" s="20"/>
      <c r="AA271" s="19" t="n">
        <v>0</v>
      </c>
      <c r="AB271" s="20"/>
      <c r="AC271" s="20"/>
      <c r="AD271" s="24" t="n">
        <f aca="false">IFERROR(AA271/AC271,0)</f>
        <v>0</v>
      </c>
      <c r="AE271" s="25" t="n">
        <f aca="false">K271-Q271-X271</f>
        <v>0</v>
      </c>
      <c r="AF271" s="25" t="n">
        <f aca="false">Q271-AA271</f>
        <v>0</v>
      </c>
      <c r="AG271" s="20"/>
      <c r="AH271" s="26" t="n">
        <f aca="false">IFERROR(AG271/Q271,0)</f>
        <v>0</v>
      </c>
      <c r="AI271" s="27" t="n">
        <v>0</v>
      </c>
      <c r="AJ271" s="26" t="n">
        <f aca="false">IF(AI271&gt;0,AprCoef/SQRT(AI271),0)</f>
        <v>0</v>
      </c>
      <c r="AK271" s="24" t="n">
        <f aca="false">AI271*AJ271/365</f>
        <v>0</v>
      </c>
      <c r="AL271" s="24" t="n">
        <f aca="false">AD271</f>
        <v>0</v>
      </c>
      <c r="AM271" s="24" t="n">
        <f aca="false">AK271-AL271</f>
        <v>0</v>
      </c>
      <c r="AN271" s="28" t="str">
        <f aca="false">IF(A271&gt;=Hip3LaunchDate,"YES","")</f>
        <v/>
      </c>
      <c r="AO271" s="28" t="str">
        <f aca="false">IF(A271&lt;Hip4LaunchDate,"pre-launch","live (zero-fee)")</f>
        <v>pre-launch</v>
      </c>
      <c r="AP271" s="20"/>
      <c r="AQ271" s="20"/>
      <c r="AR271" s="20"/>
    </row>
    <row r="272" customFormat="false" ht="15" hidden="false" customHeight="false" outlineLevel="0" collapsed="false">
      <c r="A272" s="18" t="n">
        <v>45333</v>
      </c>
      <c r="B272" s="19" t="n">
        <v>854925007.71</v>
      </c>
      <c r="C272" s="19" t="n">
        <v>0</v>
      </c>
      <c r="D272" s="20"/>
      <c r="E272" s="21" t="n">
        <f aca="false">B272+C272</f>
        <v>854925007.71</v>
      </c>
      <c r="F272" s="21" t="n">
        <f aca="false">E272+D272</f>
        <v>854925007.71</v>
      </c>
      <c r="G272" s="22" t="n">
        <f aca="false">IFERROR(C272/E272,0)</f>
        <v>0</v>
      </c>
      <c r="H272" s="20"/>
      <c r="I272" s="20"/>
      <c r="J272" s="20"/>
      <c r="K272" s="21" t="n">
        <f aca="false">H272+I272</f>
        <v>0</v>
      </c>
      <c r="L272" s="20"/>
      <c r="M272" s="21" t="n">
        <f aca="false">H272-L272</f>
        <v>0</v>
      </c>
      <c r="N272" s="23" t="n">
        <f aca="false">IFERROR(M272/B272*10000,0)</f>
        <v>0</v>
      </c>
      <c r="O272" s="20"/>
      <c r="P272" s="20"/>
      <c r="Q272" s="21" t="n">
        <f aca="false">O272+P272</f>
        <v>0</v>
      </c>
      <c r="R272" s="22" t="n">
        <f aca="false">IF(A272&lt;HlpChangeDate,HlpSharePre,HlpSharePost)</f>
        <v>0.03</v>
      </c>
      <c r="S272" s="21" t="n">
        <f aca="false">Q272*R272/(1-R272)</f>
        <v>0</v>
      </c>
      <c r="T272" s="20"/>
      <c r="U272" s="21" t="n">
        <f aca="false">S272-T272</f>
        <v>0</v>
      </c>
      <c r="V272" s="21" t="n">
        <f aca="false">Y272-O272*R272/(1-R272)</f>
        <v>0</v>
      </c>
      <c r="W272" s="21" t="n">
        <f aca="false">Z272-P272*R272/(1-R272)</f>
        <v>0</v>
      </c>
      <c r="X272" s="21" t="n">
        <f aca="false">S272+V272+W272</f>
        <v>0</v>
      </c>
      <c r="Y272" s="20"/>
      <c r="Z272" s="20"/>
      <c r="AA272" s="19" t="n">
        <v>0</v>
      </c>
      <c r="AB272" s="20"/>
      <c r="AC272" s="20"/>
      <c r="AD272" s="24" t="n">
        <f aca="false">IFERROR(AA272/AC272,0)</f>
        <v>0</v>
      </c>
      <c r="AE272" s="25" t="n">
        <f aca="false">K272-Q272-X272</f>
        <v>0</v>
      </c>
      <c r="AF272" s="25" t="n">
        <f aca="false">Q272-AA272</f>
        <v>0</v>
      </c>
      <c r="AG272" s="20"/>
      <c r="AH272" s="26" t="n">
        <f aca="false">IFERROR(AG272/Q272,0)</f>
        <v>0</v>
      </c>
      <c r="AI272" s="27" t="n">
        <v>0</v>
      </c>
      <c r="AJ272" s="26" t="n">
        <f aca="false">IF(AI272&gt;0,AprCoef/SQRT(AI272),0)</f>
        <v>0</v>
      </c>
      <c r="AK272" s="24" t="n">
        <f aca="false">AI272*AJ272/365</f>
        <v>0</v>
      </c>
      <c r="AL272" s="24" t="n">
        <f aca="false">AD272</f>
        <v>0</v>
      </c>
      <c r="AM272" s="24" t="n">
        <f aca="false">AK272-AL272</f>
        <v>0</v>
      </c>
      <c r="AN272" s="28" t="str">
        <f aca="false">IF(A272&gt;=Hip3LaunchDate,"YES","")</f>
        <v/>
      </c>
      <c r="AO272" s="28" t="str">
        <f aca="false">IF(A272&lt;Hip4LaunchDate,"pre-launch","live (zero-fee)")</f>
        <v>pre-launch</v>
      </c>
      <c r="AP272" s="20"/>
      <c r="AQ272" s="20"/>
      <c r="AR272" s="20"/>
    </row>
    <row r="273" customFormat="false" ht="15" hidden="false" customHeight="false" outlineLevel="0" collapsed="false">
      <c r="A273" s="18" t="n">
        <v>45334</v>
      </c>
      <c r="B273" s="19" t="n">
        <v>1602381632.66</v>
      </c>
      <c r="C273" s="19" t="n">
        <v>0</v>
      </c>
      <c r="D273" s="20"/>
      <c r="E273" s="21" t="n">
        <f aca="false">B273+C273</f>
        <v>1602381632.66</v>
      </c>
      <c r="F273" s="21" t="n">
        <f aca="false">E273+D273</f>
        <v>1602381632.66</v>
      </c>
      <c r="G273" s="22" t="n">
        <f aca="false">IFERROR(C273/E273,0)</f>
        <v>0</v>
      </c>
      <c r="H273" s="20"/>
      <c r="I273" s="20"/>
      <c r="J273" s="20"/>
      <c r="K273" s="21" t="n">
        <f aca="false">H273+I273</f>
        <v>0</v>
      </c>
      <c r="L273" s="20"/>
      <c r="M273" s="21" t="n">
        <f aca="false">H273-L273</f>
        <v>0</v>
      </c>
      <c r="N273" s="23" t="n">
        <f aca="false">IFERROR(M273/B273*10000,0)</f>
        <v>0</v>
      </c>
      <c r="O273" s="20"/>
      <c r="P273" s="20"/>
      <c r="Q273" s="21" t="n">
        <f aca="false">O273+P273</f>
        <v>0</v>
      </c>
      <c r="R273" s="22" t="n">
        <f aca="false">IF(A273&lt;HlpChangeDate,HlpSharePre,HlpSharePost)</f>
        <v>0.03</v>
      </c>
      <c r="S273" s="21" t="n">
        <f aca="false">Q273*R273/(1-R273)</f>
        <v>0</v>
      </c>
      <c r="T273" s="20"/>
      <c r="U273" s="21" t="n">
        <f aca="false">S273-T273</f>
        <v>0</v>
      </c>
      <c r="V273" s="21" t="n">
        <f aca="false">Y273-O273*R273/(1-R273)</f>
        <v>0</v>
      </c>
      <c r="W273" s="21" t="n">
        <f aca="false">Z273-P273*R273/(1-R273)</f>
        <v>0</v>
      </c>
      <c r="X273" s="21" t="n">
        <f aca="false">S273+V273+W273</f>
        <v>0</v>
      </c>
      <c r="Y273" s="20"/>
      <c r="Z273" s="20"/>
      <c r="AA273" s="19" t="n">
        <v>0</v>
      </c>
      <c r="AB273" s="20"/>
      <c r="AC273" s="20"/>
      <c r="AD273" s="24" t="n">
        <f aca="false">IFERROR(AA273/AC273,0)</f>
        <v>0</v>
      </c>
      <c r="AE273" s="25" t="n">
        <f aca="false">K273-Q273-X273</f>
        <v>0</v>
      </c>
      <c r="AF273" s="25" t="n">
        <f aca="false">Q273-AA273</f>
        <v>0</v>
      </c>
      <c r="AG273" s="20"/>
      <c r="AH273" s="26" t="n">
        <f aca="false">IFERROR(AG273/Q273,0)</f>
        <v>0</v>
      </c>
      <c r="AI273" s="27" t="n">
        <v>0</v>
      </c>
      <c r="AJ273" s="26" t="n">
        <f aca="false">IF(AI273&gt;0,AprCoef/SQRT(AI273),0)</f>
        <v>0</v>
      </c>
      <c r="AK273" s="24" t="n">
        <f aca="false">AI273*AJ273/365</f>
        <v>0</v>
      </c>
      <c r="AL273" s="24" t="n">
        <f aca="false">AD273</f>
        <v>0</v>
      </c>
      <c r="AM273" s="24" t="n">
        <f aca="false">AK273-AL273</f>
        <v>0</v>
      </c>
      <c r="AN273" s="28" t="str">
        <f aca="false">IF(A273&gt;=Hip3LaunchDate,"YES","")</f>
        <v/>
      </c>
      <c r="AO273" s="28" t="str">
        <f aca="false">IF(A273&lt;Hip4LaunchDate,"pre-launch","live (zero-fee)")</f>
        <v>pre-launch</v>
      </c>
      <c r="AP273" s="20"/>
      <c r="AQ273" s="20"/>
      <c r="AR273" s="20"/>
    </row>
    <row r="274" customFormat="false" ht="15" hidden="false" customHeight="false" outlineLevel="0" collapsed="false">
      <c r="A274" s="18" t="n">
        <v>45335</v>
      </c>
      <c r="B274" s="19" t="n">
        <v>1329719148.53</v>
      </c>
      <c r="C274" s="19" t="n">
        <v>0</v>
      </c>
      <c r="D274" s="20"/>
      <c r="E274" s="21" t="n">
        <f aca="false">B274+C274</f>
        <v>1329719148.53</v>
      </c>
      <c r="F274" s="21" t="n">
        <f aca="false">E274+D274</f>
        <v>1329719148.53</v>
      </c>
      <c r="G274" s="22" t="n">
        <f aca="false">IFERROR(C274/E274,0)</f>
        <v>0</v>
      </c>
      <c r="H274" s="20"/>
      <c r="I274" s="20"/>
      <c r="J274" s="20"/>
      <c r="K274" s="21" t="n">
        <f aca="false">H274+I274</f>
        <v>0</v>
      </c>
      <c r="L274" s="20"/>
      <c r="M274" s="21" t="n">
        <f aca="false">H274-L274</f>
        <v>0</v>
      </c>
      <c r="N274" s="23" t="n">
        <f aca="false">IFERROR(M274/B274*10000,0)</f>
        <v>0</v>
      </c>
      <c r="O274" s="20"/>
      <c r="P274" s="20"/>
      <c r="Q274" s="21" t="n">
        <f aca="false">O274+P274</f>
        <v>0</v>
      </c>
      <c r="R274" s="22" t="n">
        <f aca="false">IF(A274&lt;HlpChangeDate,HlpSharePre,HlpSharePost)</f>
        <v>0.03</v>
      </c>
      <c r="S274" s="21" t="n">
        <f aca="false">Q274*R274/(1-R274)</f>
        <v>0</v>
      </c>
      <c r="T274" s="20"/>
      <c r="U274" s="21" t="n">
        <f aca="false">S274-T274</f>
        <v>0</v>
      </c>
      <c r="V274" s="21" t="n">
        <f aca="false">Y274-O274*R274/(1-R274)</f>
        <v>0</v>
      </c>
      <c r="W274" s="21" t="n">
        <f aca="false">Z274-P274*R274/(1-R274)</f>
        <v>0</v>
      </c>
      <c r="X274" s="21" t="n">
        <f aca="false">S274+V274+W274</f>
        <v>0</v>
      </c>
      <c r="Y274" s="20"/>
      <c r="Z274" s="20"/>
      <c r="AA274" s="19" t="n">
        <v>0</v>
      </c>
      <c r="AB274" s="20"/>
      <c r="AC274" s="20"/>
      <c r="AD274" s="24" t="n">
        <f aca="false">IFERROR(AA274/AC274,0)</f>
        <v>0</v>
      </c>
      <c r="AE274" s="25" t="n">
        <f aca="false">K274-Q274-X274</f>
        <v>0</v>
      </c>
      <c r="AF274" s="25" t="n">
        <f aca="false">Q274-AA274</f>
        <v>0</v>
      </c>
      <c r="AG274" s="20"/>
      <c r="AH274" s="26" t="n">
        <f aca="false">IFERROR(AG274/Q274,0)</f>
        <v>0</v>
      </c>
      <c r="AI274" s="27" t="n">
        <v>0</v>
      </c>
      <c r="AJ274" s="26" t="n">
        <f aca="false">IF(AI274&gt;0,AprCoef/SQRT(AI274),0)</f>
        <v>0</v>
      </c>
      <c r="AK274" s="24" t="n">
        <f aca="false">AI274*AJ274/365</f>
        <v>0</v>
      </c>
      <c r="AL274" s="24" t="n">
        <f aca="false">AD274</f>
        <v>0</v>
      </c>
      <c r="AM274" s="24" t="n">
        <f aca="false">AK274-AL274</f>
        <v>0</v>
      </c>
      <c r="AN274" s="28" t="str">
        <f aca="false">IF(A274&gt;=Hip3LaunchDate,"YES","")</f>
        <v/>
      </c>
      <c r="AO274" s="28" t="str">
        <f aca="false">IF(A274&lt;Hip4LaunchDate,"pre-launch","live (zero-fee)")</f>
        <v>pre-launch</v>
      </c>
      <c r="AP274" s="20"/>
      <c r="AQ274" s="20"/>
      <c r="AR274" s="20"/>
    </row>
    <row r="275" customFormat="false" ht="15" hidden="false" customHeight="false" outlineLevel="0" collapsed="false">
      <c r="A275" s="18" t="n">
        <v>45336</v>
      </c>
      <c r="B275" s="19" t="n">
        <v>1002771115.35</v>
      </c>
      <c r="C275" s="19" t="n">
        <v>0</v>
      </c>
      <c r="D275" s="20"/>
      <c r="E275" s="21" t="n">
        <f aca="false">B275+C275</f>
        <v>1002771115.35</v>
      </c>
      <c r="F275" s="21" t="n">
        <f aca="false">E275+D275</f>
        <v>1002771115.35</v>
      </c>
      <c r="G275" s="22" t="n">
        <f aca="false">IFERROR(C275/E275,0)</f>
        <v>0</v>
      </c>
      <c r="H275" s="20"/>
      <c r="I275" s="20"/>
      <c r="J275" s="20"/>
      <c r="K275" s="21" t="n">
        <f aca="false">H275+I275</f>
        <v>0</v>
      </c>
      <c r="L275" s="20"/>
      <c r="M275" s="21" t="n">
        <f aca="false">H275-L275</f>
        <v>0</v>
      </c>
      <c r="N275" s="23" t="n">
        <f aca="false">IFERROR(M275/B275*10000,0)</f>
        <v>0</v>
      </c>
      <c r="O275" s="20"/>
      <c r="P275" s="20"/>
      <c r="Q275" s="21" t="n">
        <f aca="false">O275+P275</f>
        <v>0</v>
      </c>
      <c r="R275" s="22" t="n">
        <f aca="false">IF(A275&lt;HlpChangeDate,HlpSharePre,HlpSharePost)</f>
        <v>0.03</v>
      </c>
      <c r="S275" s="21" t="n">
        <f aca="false">Q275*R275/(1-R275)</f>
        <v>0</v>
      </c>
      <c r="T275" s="20"/>
      <c r="U275" s="21" t="n">
        <f aca="false">S275-T275</f>
        <v>0</v>
      </c>
      <c r="V275" s="21" t="n">
        <f aca="false">Y275-O275*R275/(1-R275)</f>
        <v>0</v>
      </c>
      <c r="W275" s="21" t="n">
        <f aca="false">Z275-P275*R275/(1-R275)</f>
        <v>0</v>
      </c>
      <c r="X275" s="21" t="n">
        <f aca="false">S275+V275+W275</f>
        <v>0</v>
      </c>
      <c r="Y275" s="20"/>
      <c r="Z275" s="20"/>
      <c r="AA275" s="19" t="n">
        <v>0</v>
      </c>
      <c r="AB275" s="20"/>
      <c r="AC275" s="20"/>
      <c r="AD275" s="24" t="n">
        <f aca="false">IFERROR(AA275/AC275,0)</f>
        <v>0</v>
      </c>
      <c r="AE275" s="25" t="n">
        <f aca="false">K275-Q275-X275</f>
        <v>0</v>
      </c>
      <c r="AF275" s="25" t="n">
        <f aca="false">Q275-AA275</f>
        <v>0</v>
      </c>
      <c r="AG275" s="20"/>
      <c r="AH275" s="26" t="n">
        <f aca="false">IFERROR(AG275/Q275,0)</f>
        <v>0</v>
      </c>
      <c r="AI275" s="27" t="n">
        <v>0</v>
      </c>
      <c r="AJ275" s="26" t="n">
        <f aca="false">IF(AI275&gt;0,AprCoef/SQRT(AI275),0)</f>
        <v>0</v>
      </c>
      <c r="AK275" s="24" t="n">
        <f aca="false">AI275*AJ275/365</f>
        <v>0</v>
      </c>
      <c r="AL275" s="24" t="n">
        <f aca="false">AD275</f>
        <v>0</v>
      </c>
      <c r="AM275" s="24" t="n">
        <f aca="false">AK275-AL275</f>
        <v>0</v>
      </c>
      <c r="AN275" s="28" t="str">
        <f aca="false">IF(A275&gt;=Hip3LaunchDate,"YES","")</f>
        <v/>
      </c>
      <c r="AO275" s="28" t="str">
        <f aca="false">IF(A275&lt;Hip4LaunchDate,"pre-launch","live (zero-fee)")</f>
        <v>pre-launch</v>
      </c>
      <c r="AP275" s="20"/>
      <c r="AQ275" s="20"/>
      <c r="AR275" s="20"/>
    </row>
    <row r="276" customFormat="false" ht="15" hidden="false" customHeight="false" outlineLevel="0" collapsed="false">
      <c r="A276" s="18" t="n">
        <v>45337</v>
      </c>
      <c r="B276" s="19" t="n">
        <v>1259018100.8</v>
      </c>
      <c r="C276" s="19" t="n">
        <v>0</v>
      </c>
      <c r="D276" s="20"/>
      <c r="E276" s="21" t="n">
        <f aca="false">B276+C276</f>
        <v>1259018100.8</v>
      </c>
      <c r="F276" s="21" t="n">
        <f aca="false">E276+D276</f>
        <v>1259018100.8</v>
      </c>
      <c r="G276" s="22" t="n">
        <f aca="false">IFERROR(C276/E276,0)</f>
        <v>0</v>
      </c>
      <c r="H276" s="20"/>
      <c r="I276" s="20"/>
      <c r="J276" s="20"/>
      <c r="K276" s="21" t="n">
        <f aca="false">H276+I276</f>
        <v>0</v>
      </c>
      <c r="L276" s="20"/>
      <c r="M276" s="21" t="n">
        <f aca="false">H276-L276</f>
        <v>0</v>
      </c>
      <c r="N276" s="23" t="n">
        <f aca="false">IFERROR(M276/B276*10000,0)</f>
        <v>0</v>
      </c>
      <c r="O276" s="20"/>
      <c r="P276" s="20"/>
      <c r="Q276" s="21" t="n">
        <f aca="false">O276+P276</f>
        <v>0</v>
      </c>
      <c r="R276" s="22" t="n">
        <f aca="false">IF(A276&lt;HlpChangeDate,HlpSharePre,HlpSharePost)</f>
        <v>0.03</v>
      </c>
      <c r="S276" s="21" t="n">
        <f aca="false">Q276*R276/(1-R276)</f>
        <v>0</v>
      </c>
      <c r="T276" s="20"/>
      <c r="U276" s="21" t="n">
        <f aca="false">S276-T276</f>
        <v>0</v>
      </c>
      <c r="V276" s="21" t="n">
        <f aca="false">Y276-O276*R276/(1-R276)</f>
        <v>0</v>
      </c>
      <c r="W276" s="21" t="n">
        <f aca="false">Z276-P276*R276/(1-R276)</f>
        <v>0</v>
      </c>
      <c r="X276" s="21" t="n">
        <f aca="false">S276+V276+W276</f>
        <v>0</v>
      </c>
      <c r="Y276" s="20"/>
      <c r="Z276" s="20"/>
      <c r="AA276" s="19" t="n">
        <v>0</v>
      </c>
      <c r="AB276" s="20"/>
      <c r="AC276" s="20"/>
      <c r="AD276" s="24" t="n">
        <f aca="false">IFERROR(AA276/AC276,0)</f>
        <v>0</v>
      </c>
      <c r="AE276" s="25" t="n">
        <f aca="false">K276-Q276-X276</f>
        <v>0</v>
      </c>
      <c r="AF276" s="25" t="n">
        <f aca="false">Q276-AA276</f>
        <v>0</v>
      </c>
      <c r="AG276" s="20"/>
      <c r="AH276" s="26" t="n">
        <f aca="false">IFERROR(AG276/Q276,0)</f>
        <v>0</v>
      </c>
      <c r="AI276" s="27" t="n">
        <v>0</v>
      </c>
      <c r="AJ276" s="26" t="n">
        <f aca="false">IF(AI276&gt;0,AprCoef/SQRT(AI276),0)</f>
        <v>0</v>
      </c>
      <c r="AK276" s="24" t="n">
        <f aca="false">AI276*AJ276/365</f>
        <v>0</v>
      </c>
      <c r="AL276" s="24" t="n">
        <f aca="false">AD276</f>
        <v>0</v>
      </c>
      <c r="AM276" s="24" t="n">
        <f aca="false">AK276-AL276</f>
        <v>0</v>
      </c>
      <c r="AN276" s="28" t="str">
        <f aca="false">IF(A276&gt;=Hip3LaunchDate,"YES","")</f>
        <v/>
      </c>
      <c r="AO276" s="28" t="str">
        <f aca="false">IF(A276&lt;Hip4LaunchDate,"pre-launch","live (zero-fee)")</f>
        <v>pre-launch</v>
      </c>
      <c r="AP276" s="20"/>
      <c r="AQ276" s="20"/>
      <c r="AR276" s="20"/>
    </row>
    <row r="277" customFormat="false" ht="15" hidden="false" customHeight="false" outlineLevel="0" collapsed="false">
      <c r="A277" s="18" t="n">
        <v>45338</v>
      </c>
      <c r="B277" s="19" t="n">
        <v>1102340858.66</v>
      </c>
      <c r="C277" s="19" t="n">
        <v>0</v>
      </c>
      <c r="D277" s="20"/>
      <c r="E277" s="21" t="n">
        <f aca="false">B277+C277</f>
        <v>1102340858.66</v>
      </c>
      <c r="F277" s="21" t="n">
        <f aca="false">E277+D277</f>
        <v>1102340858.66</v>
      </c>
      <c r="G277" s="22" t="n">
        <f aca="false">IFERROR(C277/E277,0)</f>
        <v>0</v>
      </c>
      <c r="H277" s="20"/>
      <c r="I277" s="20"/>
      <c r="J277" s="20"/>
      <c r="K277" s="21" t="n">
        <f aca="false">H277+I277</f>
        <v>0</v>
      </c>
      <c r="L277" s="20"/>
      <c r="M277" s="21" t="n">
        <f aca="false">H277-L277</f>
        <v>0</v>
      </c>
      <c r="N277" s="23" t="n">
        <f aca="false">IFERROR(M277/B277*10000,0)</f>
        <v>0</v>
      </c>
      <c r="O277" s="20"/>
      <c r="P277" s="20"/>
      <c r="Q277" s="21" t="n">
        <f aca="false">O277+P277</f>
        <v>0</v>
      </c>
      <c r="R277" s="22" t="n">
        <f aca="false">IF(A277&lt;HlpChangeDate,HlpSharePre,HlpSharePost)</f>
        <v>0.03</v>
      </c>
      <c r="S277" s="21" t="n">
        <f aca="false">Q277*R277/(1-R277)</f>
        <v>0</v>
      </c>
      <c r="T277" s="20"/>
      <c r="U277" s="21" t="n">
        <f aca="false">S277-T277</f>
        <v>0</v>
      </c>
      <c r="V277" s="21" t="n">
        <f aca="false">Y277-O277*R277/(1-R277)</f>
        <v>0</v>
      </c>
      <c r="W277" s="21" t="n">
        <f aca="false">Z277-P277*R277/(1-R277)</f>
        <v>0</v>
      </c>
      <c r="X277" s="21" t="n">
        <f aca="false">S277+V277+W277</f>
        <v>0</v>
      </c>
      <c r="Y277" s="20"/>
      <c r="Z277" s="20"/>
      <c r="AA277" s="19" t="n">
        <v>0</v>
      </c>
      <c r="AB277" s="20"/>
      <c r="AC277" s="20"/>
      <c r="AD277" s="24" t="n">
        <f aca="false">IFERROR(AA277/AC277,0)</f>
        <v>0</v>
      </c>
      <c r="AE277" s="25" t="n">
        <f aca="false">K277-Q277-X277</f>
        <v>0</v>
      </c>
      <c r="AF277" s="25" t="n">
        <f aca="false">Q277-AA277</f>
        <v>0</v>
      </c>
      <c r="AG277" s="20"/>
      <c r="AH277" s="26" t="n">
        <f aca="false">IFERROR(AG277/Q277,0)</f>
        <v>0</v>
      </c>
      <c r="AI277" s="27" t="n">
        <v>0</v>
      </c>
      <c r="AJ277" s="26" t="n">
        <f aca="false">IF(AI277&gt;0,AprCoef/SQRT(AI277),0)</f>
        <v>0</v>
      </c>
      <c r="AK277" s="24" t="n">
        <f aca="false">AI277*AJ277/365</f>
        <v>0</v>
      </c>
      <c r="AL277" s="24" t="n">
        <f aca="false">AD277</f>
        <v>0</v>
      </c>
      <c r="AM277" s="24" t="n">
        <f aca="false">AK277-AL277</f>
        <v>0</v>
      </c>
      <c r="AN277" s="28" t="str">
        <f aca="false">IF(A277&gt;=Hip3LaunchDate,"YES","")</f>
        <v/>
      </c>
      <c r="AO277" s="28" t="str">
        <f aca="false">IF(A277&lt;Hip4LaunchDate,"pre-launch","live (zero-fee)")</f>
        <v>pre-launch</v>
      </c>
      <c r="AP277" s="20"/>
      <c r="AQ277" s="20"/>
      <c r="AR277" s="20"/>
    </row>
    <row r="278" customFormat="false" ht="15" hidden="false" customHeight="false" outlineLevel="0" collapsed="false">
      <c r="A278" s="18" t="n">
        <v>45339</v>
      </c>
      <c r="B278" s="19" t="n">
        <v>745778482.75</v>
      </c>
      <c r="C278" s="19" t="n">
        <v>0</v>
      </c>
      <c r="D278" s="20"/>
      <c r="E278" s="21" t="n">
        <f aca="false">B278+C278</f>
        <v>745778482.75</v>
      </c>
      <c r="F278" s="21" t="n">
        <f aca="false">E278+D278</f>
        <v>745778482.75</v>
      </c>
      <c r="G278" s="22" t="n">
        <f aca="false">IFERROR(C278/E278,0)</f>
        <v>0</v>
      </c>
      <c r="H278" s="20"/>
      <c r="I278" s="20"/>
      <c r="J278" s="20"/>
      <c r="K278" s="21" t="n">
        <f aca="false">H278+I278</f>
        <v>0</v>
      </c>
      <c r="L278" s="20"/>
      <c r="M278" s="21" t="n">
        <f aca="false">H278-L278</f>
        <v>0</v>
      </c>
      <c r="N278" s="23" t="n">
        <f aca="false">IFERROR(M278/B278*10000,0)</f>
        <v>0</v>
      </c>
      <c r="O278" s="20"/>
      <c r="P278" s="20"/>
      <c r="Q278" s="21" t="n">
        <f aca="false">O278+P278</f>
        <v>0</v>
      </c>
      <c r="R278" s="22" t="n">
        <f aca="false">IF(A278&lt;HlpChangeDate,HlpSharePre,HlpSharePost)</f>
        <v>0.03</v>
      </c>
      <c r="S278" s="21" t="n">
        <f aca="false">Q278*R278/(1-R278)</f>
        <v>0</v>
      </c>
      <c r="T278" s="20"/>
      <c r="U278" s="21" t="n">
        <f aca="false">S278-T278</f>
        <v>0</v>
      </c>
      <c r="V278" s="21" t="n">
        <f aca="false">Y278-O278*R278/(1-R278)</f>
        <v>0</v>
      </c>
      <c r="W278" s="21" t="n">
        <f aca="false">Z278-P278*R278/(1-R278)</f>
        <v>0</v>
      </c>
      <c r="X278" s="21" t="n">
        <f aca="false">S278+V278+W278</f>
        <v>0</v>
      </c>
      <c r="Y278" s="20"/>
      <c r="Z278" s="20"/>
      <c r="AA278" s="19" t="n">
        <v>0</v>
      </c>
      <c r="AB278" s="20"/>
      <c r="AC278" s="20"/>
      <c r="AD278" s="24" t="n">
        <f aca="false">IFERROR(AA278/AC278,0)</f>
        <v>0</v>
      </c>
      <c r="AE278" s="25" t="n">
        <f aca="false">K278-Q278-X278</f>
        <v>0</v>
      </c>
      <c r="AF278" s="25" t="n">
        <f aca="false">Q278-AA278</f>
        <v>0</v>
      </c>
      <c r="AG278" s="20"/>
      <c r="AH278" s="26" t="n">
        <f aca="false">IFERROR(AG278/Q278,0)</f>
        <v>0</v>
      </c>
      <c r="AI278" s="27" t="n">
        <v>0</v>
      </c>
      <c r="AJ278" s="26" t="n">
        <f aca="false">IF(AI278&gt;0,AprCoef/SQRT(AI278),0)</f>
        <v>0</v>
      </c>
      <c r="AK278" s="24" t="n">
        <f aca="false">AI278*AJ278/365</f>
        <v>0</v>
      </c>
      <c r="AL278" s="24" t="n">
        <f aca="false">AD278</f>
        <v>0</v>
      </c>
      <c r="AM278" s="24" t="n">
        <f aca="false">AK278-AL278</f>
        <v>0</v>
      </c>
      <c r="AN278" s="28" t="str">
        <f aca="false">IF(A278&gt;=Hip3LaunchDate,"YES","")</f>
        <v/>
      </c>
      <c r="AO278" s="28" t="str">
        <f aca="false">IF(A278&lt;Hip4LaunchDate,"pre-launch","live (zero-fee)")</f>
        <v>pre-launch</v>
      </c>
      <c r="AP278" s="20"/>
      <c r="AQ278" s="20"/>
      <c r="AR278" s="20"/>
    </row>
    <row r="279" customFormat="false" ht="15" hidden="false" customHeight="false" outlineLevel="0" collapsed="false">
      <c r="A279" s="18" t="n">
        <v>45340</v>
      </c>
      <c r="B279" s="19" t="n">
        <v>855460139.82</v>
      </c>
      <c r="C279" s="19" t="n">
        <v>0</v>
      </c>
      <c r="D279" s="20"/>
      <c r="E279" s="21" t="n">
        <f aca="false">B279+C279</f>
        <v>855460139.82</v>
      </c>
      <c r="F279" s="21" t="n">
        <f aca="false">E279+D279</f>
        <v>855460139.82</v>
      </c>
      <c r="G279" s="22" t="n">
        <f aca="false">IFERROR(C279/E279,0)</f>
        <v>0</v>
      </c>
      <c r="H279" s="20"/>
      <c r="I279" s="20"/>
      <c r="J279" s="20"/>
      <c r="K279" s="21" t="n">
        <f aca="false">H279+I279</f>
        <v>0</v>
      </c>
      <c r="L279" s="20"/>
      <c r="M279" s="21" t="n">
        <f aca="false">H279-L279</f>
        <v>0</v>
      </c>
      <c r="N279" s="23" t="n">
        <f aca="false">IFERROR(M279/B279*10000,0)</f>
        <v>0</v>
      </c>
      <c r="O279" s="20"/>
      <c r="P279" s="20"/>
      <c r="Q279" s="21" t="n">
        <f aca="false">O279+P279</f>
        <v>0</v>
      </c>
      <c r="R279" s="22" t="n">
        <f aca="false">IF(A279&lt;HlpChangeDate,HlpSharePre,HlpSharePost)</f>
        <v>0.03</v>
      </c>
      <c r="S279" s="21" t="n">
        <f aca="false">Q279*R279/(1-R279)</f>
        <v>0</v>
      </c>
      <c r="T279" s="20"/>
      <c r="U279" s="21" t="n">
        <f aca="false">S279-T279</f>
        <v>0</v>
      </c>
      <c r="V279" s="21" t="n">
        <f aca="false">Y279-O279*R279/(1-R279)</f>
        <v>0</v>
      </c>
      <c r="W279" s="21" t="n">
        <f aca="false">Z279-P279*R279/(1-R279)</f>
        <v>0</v>
      </c>
      <c r="X279" s="21" t="n">
        <f aca="false">S279+V279+W279</f>
        <v>0</v>
      </c>
      <c r="Y279" s="20"/>
      <c r="Z279" s="20"/>
      <c r="AA279" s="19" t="n">
        <v>0</v>
      </c>
      <c r="AB279" s="20"/>
      <c r="AC279" s="20"/>
      <c r="AD279" s="24" t="n">
        <f aca="false">IFERROR(AA279/AC279,0)</f>
        <v>0</v>
      </c>
      <c r="AE279" s="25" t="n">
        <f aca="false">K279-Q279-X279</f>
        <v>0</v>
      </c>
      <c r="AF279" s="25" t="n">
        <f aca="false">Q279-AA279</f>
        <v>0</v>
      </c>
      <c r="AG279" s="20"/>
      <c r="AH279" s="26" t="n">
        <f aca="false">IFERROR(AG279/Q279,0)</f>
        <v>0</v>
      </c>
      <c r="AI279" s="27" t="n">
        <v>0</v>
      </c>
      <c r="AJ279" s="26" t="n">
        <f aca="false">IF(AI279&gt;0,AprCoef/SQRT(AI279),0)</f>
        <v>0</v>
      </c>
      <c r="AK279" s="24" t="n">
        <f aca="false">AI279*AJ279/365</f>
        <v>0</v>
      </c>
      <c r="AL279" s="24" t="n">
        <f aca="false">AD279</f>
        <v>0</v>
      </c>
      <c r="AM279" s="24" t="n">
        <f aca="false">AK279-AL279</f>
        <v>0</v>
      </c>
      <c r="AN279" s="28" t="str">
        <f aca="false">IF(A279&gt;=Hip3LaunchDate,"YES","")</f>
        <v/>
      </c>
      <c r="AO279" s="28" t="str">
        <f aca="false">IF(A279&lt;Hip4LaunchDate,"pre-launch","live (zero-fee)")</f>
        <v>pre-launch</v>
      </c>
      <c r="AP279" s="20"/>
      <c r="AQ279" s="20"/>
      <c r="AR279" s="20"/>
    </row>
    <row r="280" customFormat="false" ht="15" hidden="false" customHeight="false" outlineLevel="0" collapsed="false">
      <c r="A280" s="18" t="n">
        <v>45341</v>
      </c>
      <c r="B280" s="19" t="n">
        <v>1106053516.8</v>
      </c>
      <c r="C280" s="19" t="n">
        <v>0</v>
      </c>
      <c r="D280" s="20"/>
      <c r="E280" s="21" t="n">
        <f aca="false">B280+C280</f>
        <v>1106053516.8</v>
      </c>
      <c r="F280" s="21" t="n">
        <f aca="false">E280+D280</f>
        <v>1106053516.8</v>
      </c>
      <c r="G280" s="22" t="n">
        <f aca="false">IFERROR(C280/E280,0)</f>
        <v>0</v>
      </c>
      <c r="H280" s="20"/>
      <c r="I280" s="20"/>
      <c r="J280" s="20"/>
      <c r="K280" s="21" t="n">
        <f aca="false">H280+I280</f>
        <v>0</v>
      </c>
      <c r="L280" s="20"/>
      <c r="M280" s="21" t="n">
        <f aca="false">H280-L280</f>
        <v>0</v>
      </c>
      <c r="N280" s="23" t="n">
        <f aca="false">IFERROR(M280/B280*10000,0)</f>
        <v>0</v>
      </c>
      <c r="O280" s="20"/>
      <c r="P280" s="20"/>
      <c r="Q280" s="21" t="n">
        <f aca="false">O280+P280</f>
        <v>0</v>
      </c>
      <c r="R280" s="22" t="n">
        <f aca="false">IF(A280&lt;HlpChangeDate,HlpSharePre,HlpSharePost)</f>
        <v>0.03</v>
      </c>
      <c r="S280" s="21" t="n">
        <f aca="false">Q280*R280/(1-R280)</f>
        <v>0</v>
      </c>
      <c r="T280" s="20"/>
      <c r="U280" s="21" t="n">
        <f aca="false">S280-T280</f>
        <v>0</v>
      </c>
      <c r="V280" s="21" t="n">
        <f aca="false">Y280-O280*R280/(1-R280)</f>
        <v>0</v>
      </c>
      <c r="W280" s="21" t="n">
        <f aca="false">Z280-P280*R280/(1-R280)</f>
        <v>0</v>
      </c>
      <c r="X280" s="21" t="n">
        <f aca="false">S280+V280+W280</f>
        <v>0</v>
      </c>
      <c r="Y280" s="20"/>
      <c r="Z280" s="20"/>
      <c r="AA280" s="19" t="n">
        <v>0</v>
      </c>
      <c r="AB280" s="20"/>
      <c r="AC280" s="20"/>
      <c r="AD280" s="24" t="n">
        <f aca="false">IFERROR(AA280/AC280,0)</f>
        <v>0</v>
      </c>
      <c r="AE280" s="25" t="n">
        <f aca="false">K280-Q280-X280</f>
        <v>0</v>
      </c>
      <c r="AF280" s="25" t="n">
        <f aca="false">Q280-AA280</f>
        <v>0</v>
      </c>
      <c r="AG280" s="20"/>
      <c r="AH280" s="26" t="n">
        <f aca="false">IFERROR(AG280/Q280,0)</f>
        <v>0</v>
      </c>
      <c r="AI280" s="27" t="n">
        <v>0</v>
      </c>
      <c r="AJ280" s="26" t="n">
        <f aca="false">IF(AI280&gt;0,AprCoef/SQRT(AI280),0)</f>
        <v>0</v>
      </c>
      <c r="AK280" s="24" t="n">
        <f aca="false">AI280*AJ280/365</f>
        <v>0</v>
      </c>
      <c r="AL280" s="24" t="n">
        <f aca="false">AD280</f>
        <v>0</v>
      </c>
      <c r="AM280" s="24" t="n">
        <f aca="false">AK280-AL280</f>
        <v>0</v>
      </c>
      <c r="AN280" s="28" t="str">
        <f aca="false">IF(A280&gt;=Hip3LaunchDate,"YES","")</f>
        <v/>
      </c>
      <c r="AO280" s="28" t="str">
        <f aca="false">IF(A280&lt;Hip4LaunchDate,"pre-launch","live (zero-fee)")</f>
        <v>pre-launch</v>
      </c>
      <c r="AP280" s="20"/>
      <c r="AQ280" s="20"/>
      <c r="AR280" s="20"/>
    </row>
    <row r="281" customFormat="false" ht="15" hidden="false" customHeight="false" outlineLevel="0" collapsed="false">
      <c r="A281" s="18" t="n">
        <v>45342</v>
      </c>
      <c r="B281" s="19" t="n">
        <v>1560628097.24</v>
      </c>
      <c r="C281" s="19" t="n">
        <v>0</v>
      </c>
      <c r="D281" s="20"/>
      <c r="E281" s="21" t="n">
        <f aca="false">B281+C281</f>
        <v>1560628097.24</v>
      </c>
      <c r="F281" s="21" t="n">
        <f aca="false">E281+D281</f>
        <v>1560628097.24</v>
      </c>
      <c r="G281" s="22" t="n">
        <f aca="false">IFERROR(C281/E281,0)</f>
        <v>0</v>
      </c>
      <c r="H281" s="20"/>
      <c r="I281" s="20"/>
      <c r="J281" s="20"/>
      <c r="K281" s="21" t="n">
        <f aca="false">H281+I281</f>
        <v>0</v>
      </c>
      <c r="L281" s="20"/>
      <c r="M281" s="21" t="n">
        <f aca="false">H281-L281</f>
        <v>0</v>
      </c>
      <c r="N281" s="23" t="n">
        <f aca="false">IFERROR(M281/B281*10000,0)</f>
        <v>0</v>
      </c>
      <c r="O281" s="20"/>
      <c r="P281" s="20"/>
      <c r="Q281" s="21" t="n">
        <f aca="false">O281+P281</f>
        <v>0</v>
      </c>
      <c r="R281" s="22" t="n">
        <f aca="false">IF(A281&lt;HlpChangeDate,HlpSharePre,HlpSharePost)</f>
        <v>0.03</v>
      </c>
      <c r="S281" s="21" t="n">
        <f aca="false">Q281*R281/(1-R281)</f>
        <v>0</v>
      </c>
      <c r="T281" s="20"/>
      <c r="U281" s="21" t="n">
        <f aca="false">S281-T281</f>
        <v>0</v>
      </c>
      <c r="V281" s="21" t="n">
        <f aca="false">Y281-O281*R281/(1-R281)</f>
        <v>0</v>
      </c>
      <c r="W281" s="21" t="n">
        <f aca="false">Z281-P281*R281/(1-R281)</f>
        <v>0</v>
      </c>
      <c r="X281" s="21" t="n">
        <f aca="false">S281+V281+W281</f>
        <v>0</v>
      </c>
      <c r="Y281" s="20"/>
      <c r="Z281" s="20"/>
      <c r="AA281" s="19" t="n">
        <v>0</v>
      </c>
      <c r="AB281" s="20"/>
      <c r="AC281" s="20"/>
      <c r="AD281" s="24" t="n">
        <f aca="false">IFERROR(AA281/AC281,0)</f>
        <v>0</v>
      </c>
      <c r="AE281" s="25" t="n">
        <f aca="false">K281-Q281-X281</f>
        <v>0</v>
      </c>
      <c r="AF281" s="25" t="n">
        <f aca="false">Q281-AA281</f>
        <v>0</v>
      </c>
      <c r="AG281" s="20"/>
      <c r="AH281" s="26" t="n">
        <f aca="false">IFERROR(AG281/Q281,0)</f>
        <v>0</v>
      </c>
      <c r="AI281" s="27" t="n">
        <v>0</v>
      </c>
      <c r="AJ281" s="26" t="n">
        <f aca="false">IF(AI281&gt;0,AprCoef/SQRT(AI281),0)</f>
        <v>0</v>
      </c>
      <c r="AK281" s="24" t="n">
        <f aca="false">AI281*AJ281/365</f>
        <v>0</v>
      </c>
      <c r="AL281" s="24" t="n">
        <f aca="false">AD281</f>
        <v>0</v>
      </c>
      <c r="AM281" s="24" t="n">
        <f aca="false">AK281-AL281</f>
        <v>0</v>
      </c>
      <c r="AN281" s="28" t="str">
        <f aca="false">IF(A281&gt;=Hip3LaunchDate,"YES","")</f>
        <v/>
      </c>
      <c r="AO281" s="28" t="str">
        <f aca="false">IF(A281&lt;Hip4LaunchDate,"pre-launch","live (zero-fee)")</f>
        <v>pre-launch</v>
      </c>
      <c r="AP281" s="20"/>
      <c r="AQ281" s="20"/>
      <c r="AR281" s="20"/>
    </row>
    <row r="282" customFormat="false" ht="15" hidden="false" customHeight="false" outlineLevel="0" collapsed="false">
      <c r="A282" s="18" t="n">
        <v>45343</v>
      </c>
      <c r="B282" s="19" t="n">
        <v>1380216333.37</v>
      </c>
      <c r="C282" s="19" t="n">
        <v>0</v>
      </c>
      <c r="D282" s="20"/>
      <c r="E282" s="21" t="n">
        <f aca="false">B282+C282</f>
        <v>1380216333.37</v>
      </c>
      <c r="F282" s="21" t="n">
        <f aca="false">E282+D282</f>
        <v>1380216333.37</v>
      </c>
      <c r="G282" s="22" t="n">
        <f aca="false">IFERROR(C282/E282,0)</f>
        <v>0</v>
      </c>
      <c r="H282" s="20"/>
      <c r="I282" s="20"/>
      <c r="J282" s="20"/>
      <c r="K282" s="21" t="n">
        <f aca="false">H282+I282</f>
        <v>0</v>
      </c>
      <c r="L282" s="20"/>
      <c r="M282" s="21" t="n">
        <f aca="false">H282-L282</f>
        <v>0</v>
      </c>
      <c r="N282" s="23" t="n">
        <f aca="false">IFERROR(M282/B282*10000,0)</f>
        <v>0</v>
      </c>
      <c r="O282" s="20"/>
      <c r="P282" s="20"/>
      <c r="Q282" s="21" t="n">
        <f aca="false">O282+P282</f>
        <v>0</v>
      </c>
      <c r="R282" s="22" t="n">
        <f aca="false">IF(A282&lt;HlpChangeDate,HlpSharePre,HlpSharePost)</f>
        <v>0.03</v>
      </c>
      <c r="S282" s="21" t="n">
        <f aca="false">Q282*R282/(1-R282)</f>
        <v>0</v>
      </c>
      <c r="T282" s="20"/>
      <c r="U282" s="21" t="n">
        <f aca="false">S282-T282</f>
        <v>0</v>
      </c>
      <c r="V282" s="21" t="n">
        <f aca="false">Y282-O282*R282/(1-R282)</f>
        <v>0</v>
      </c>
      <c r="W282" s="21" t="n">
        <f aca="false">Z282-P282*R282/(1-R282)</f>
        <v>0</v>
      </c>
      <c r="X282" s="21" t="n">
        <f aca="false">S282+V282+W282</f>
        <v>0</v>
      </c>
      <c r="Y282" s="20"/>
      <c r="Z282" s="20"/>
      <c r="AA282" s="19" t="n">
        <v>0</v>
      </c>
      <c r="AB282" s="20"/>
      <c r="AC282" s="20"/>
      <c r="AD282" s="24" t="n">
        <f aca="false">IFERROR(AA282/AC282,0)</f>
        <v>0</v>
      </c>
      <c r="AE282" s="25" t="n">
        <f aca="false">K282-Q282-X282</f>
        <v>0</v>
      </c>
      <c r="AF282" s="25" t="n">
        <f aca="false">Q282-AA282</f>
        <v>0</v>
      </c>
      <c r="AG282" s="20"/>
      <c r="AH282" s="26" t="n">
        <f aca="false">IFERROR(AG282/Q282,0)</f>
        <v>0</v>
      </c>
      <c r="AI282" s="27" t="n">
        <v>0</v>
      </c>
      <c r="AJ282" s="26" t="n">
        <f aca="false">IF(AI282&gt;0,AprCoef/SQRT(AI282),0)</f>
        <v>0</v>
      </c>
      <c r="AK282" s="24" t="n">
        <f aca="false">AI282*AJ282/365</f>
        <v>0</v>
      </c>
      <c r="AL282" s="24" t="n">
        <f aca="false">AD282</f>
        <v>0</v>
      </c>
      <c r="AM282" s="24" t="n">
        <f aca="false">AK282-AL282</f>
        <v>0</v>
      </c>
      <c r="AN282" s="28" t="str">
        <f aca="false">IF(A282&gt;=Hip3LaunchDate,"YES","")</f>
        <v/>
      </c>
      <c r="AO282" s="28" t="str">
        <f aca="false">IF(A282&lt;Hip4LaunchDate,"pre-launch","live (zero-fee)")</f>
        <v>pre-launch</v>
      </c>
      <c r="AP282" s="20"/>
      <c r="AQ282" s="20"/>
      <c r="AR282" s="20"/>
    </row>
    <row r="283" customFormat="false" ht="15" hidden="false" customHeight="false" outlineLevel="0" collapsed="false">
      <c r="A283" s="18" t="n">
        <v>45344</v>
      </c>
      <c r="B283" s="19" t="n">
        <v>1253038799.73</v>
      </c>
      <c r="C283" s="19" t="n">
        <v>0</v>
      </c>
      <c r="D283" s="20"/>
      <c r="E283" s="21" t="n">
        <f aca="false">B283+C283</f>
        <v>1253038799.73</v>
      </c>
      <c r="F283" s="21" t="n">
        <f aca="false">E283+D283</f>
        <v>1253038799.73</v>
      </c>
      <c r="G283" s="22" t="n">
        <f aca="false">IFERROR(C283/E283,0)</f>
        <v>0</v>
      </c>
      <c r="H283" s="20"/>
      <c r="I283" s="20"/>
      <c r="J283" s="20"/>
      <c r="K283" s="21" t="n">
        <f aca="false">H283+I283</f>
        <v>0</v>
      </c>
      <c r="L283" s="20"/>
      <c r="M283" s="21" t="n">
        <f aca="false">H283-L283</f>
        <v>0</v>
      </c>
      <c r="N283" s="23" t="n">
        <f aca="false">IFERROR(M283/B283*10000,0)</f>
        <v>0</v>
      </c>
      <c r="O283" s="20"/>
      <c r="P283" s="20"/>
      <c r="Q283" s="21" t="n">
        <f aca="false">O283+P283</f>
        <v>0</v>
      </c>
      <c r="R283" s="22" t="n">
        <f aca="false">IF(A283&lt;HlpChangeDate,HlpSharePre,HlpSharePost)</f>
        <v>0.03</v>
      </c>
      <c r="S283" s="21" t="n">
        <f aca="false">Q283*R283/(1-R283)</f>
        <v>0</v>
      </c>
      <c r="T283" s="20"/>
      <c r="U283" s="21" t="n">
        <f aca="false">S283-T283</f>
        <v>0</v>
      </c>
      <c r="V283" s="21" t="n">
        <f aca="false">Y283-O283*R283/(1-R283)</f>
        <v>0</v>
      </c>
      <c r="W283" s="21" t="n">
        <f aca="false">Z283-P283*R283/(1-R283)</f>
        <v>0</v>
      </c>
      <c r="X283" s="21" t="n">
        <f aca="false">S283+V283+W283</f>
        <v>0</v>
      </c>
      <c r="Y283" s="20"/>
      <c r="Z283" s="20"/>
      <c r="AA283" s="19" t="n">
        <v>0</v>
      </c>
      <c r="AB283" s="20"/>
      <c r="AC283" s="20"/>
      <c r="AD283" s="24" t="n">
        <f aca="false">IFERROR(AA283/AC283,0)</f>
        <v>0</v>
      </c>
      <c r="AE283" s="25" t="n">
        <f aca="false">K283-Q283-X283</f>
        <v>0</v>
      </c>
      <c r="AF283" s="25" t="n">
        <f aca="false">Q283-AA283</f>
        <v>0</v>
      </c>
      <c r="AG283" s="20"/>
      <c r="AH283" s="26" t="n">
        <f aca="false">IFERROR(AG283/Q283,0)</f>
        <v>0</v>
      </c>
      <c r="AI283" s="27" t="n">
        <v>0</v>
      </c>
      <c r="AJ283" s="26" t="n">
        <f aca="false">IF(AI283&gt;0,AprCoef/SQRT(AI283),0)</f>
        <v>0</v>
      </c>
      <c r="AK283" s="24" t="n">
        <f aca="false">AI283*AJ283/365</f>
        <v>0</v>
      </c>
      <c r="AL283" s="24" t="n">
        <f aca="false">AD283</f>
        <v>0</v>
      </c>
      <c r="AM283" s="24" t="n">
        <f aca="false">AK283-AL283</f>
        <v>0</v>
      </c>
      <c r="AN283" s="28" t="str">
        <f aca="false">IF(A283&gt;=Hip3LaunchDate,"YES","")</f>
        <v/>
      </c>
      <c r="AO283" s="28" t="str">
        <f aca="false">IF(A283&lt;Hip4LaunchDate,"pre-launch","live (zero-fee)")</f>
        <v>pre-launch</v>
      </c>
      <c r="AP283" s="20"/>
      <c r="AQ283" s="20"/>
      <c r="AR283" s="20"/>
    </row>
    <row r="284" customFormat="false" ht="15" hidden="false" customHeight="false" outlineLevel="0" collapsed="false">
      <c r="A284" s="18" t="n">
        <v>45345</v>
      </c>
      <c r="B284" s="19" t="n">
        <v>1124666431.66</v>
      </c>
      <c r="C284" s="19" t="n">
        <v>0</v>
      </c>
      <c r="D284" s="20"/>
      <c r="E284" s="21" t="n">
        <f aca="false">B284+C284</f>
        <v>1124666431.66</v>
      </c>
      <c r="F284" s="21" t="n">
        <f aca="false">E284+D284</f>
        <v>1124666431.66</v>
      </c>
      <c r="G284" s="22" t="n">
        <f aca="false">IFERROR(C284/E284,0)</f>
        <v>0</v>
      </c>
      <c r="H284" s="20"/>
      <c r="I284" s="20"/>
      <c r="J284" s="20"/>
      <c r="K284" s="21" t="n">
        <f aca="false">H284+I284</f>
        <v>0</v>
      </c>
      <c r="L284" s="20"/>
      <c r="M284" s="21" t="n">
        <f aca="false">H284-L284</f>
        <v>0</v>
      </c>
      <c r="N284" s="23" t="n">
        <f aca="false">IFERROR(M284/B284*10000,0)</f>
        <v>0</v>
      </c>
      <c r="O284" s="20"/>
      <c r="P284" s="20"/>
      <c r="Q284" s="21" t="n">
        <f aca="false">O284+P284</f>
        <v>0</v>
      </c>
      <c r="R284" s="22" t="n">
        <f aca="false">IF(A284&lt;HlpChangeDate,HlpSharePre,HlpSharePost)</f>
        <v>0.03</v>
      </c>
      <c r="S284" s="21" t="n">
        <f aca="false">Q284*R284/(1-R284)</f>
        <v>0</v>
      </c>
      <c r="T284" s="20"/>
      <c r="U284" s="21" t="n">
        <f aca="false">S284-T284</f>
        <v>0</v>
      </c>
      <c r="V284" s="21" t="n">
        <f aca="false">Y284-O284*R284/(1-R284)</f>
        <v>0</v>
      </c>
      <c r="W284" s="21" t="n">
        <f aca="false">Z284-P284*R284/(1-R284)</f>
        <v>0</v>
      </c>
      <c r="X284" s="21" t="n">
        <f aca="false">S284+V284+W284</f>
        <v>0</v>
      </c>
      <c r="Y284" s="20"/>
      <c r="Z284" s="20"/>
      <c r="AA284" s="19" t="n">
        <v>0</v>
      </c>
      <c r="AB284" s="20"/>
      <c r="AC284" s="20"/>
      <c r="AD284" s="24" t="n">
        <f aca="false">IFERROR(AA284/AC284,0)</f>
        <v>0</v>
      </c>
      <c r="AE284" s="25" t="n">
        <f aca="false">K284-Q284-X284</f>
        <v>0</v>
      </c>
      <c r="AF284" s="25" t="n">
        <f aca="false">Q284-AA284</f>
        <v>0</v>
      </c>
      <c r="AG284" s="20"/>
      <c r="AH284" s="26" t="n">
        <f aca="false">IFERROR(AG284/Q284,0)</f>
        <v>0</v>
      </c>
      <c r="AI284" s="27" t="n">
        <v>0</v>
      </c>
      <c r="AJ284" s="26" t="n">
        <f aca="false">IF(AI284&gt;0,AprCoef/SQRT(AI284),0)</f>
        <v>0</v>
      </c>
      <c r="AK284" s="24" t="n">
        <f aca="false">AI284*AJ284/365</f>
        <v>0</v>
      </c>
      <c r="AL284" s="24" t="n">
        <f aca="false">AD284</f>
        <v>0</v>
      </c>
      <c r="AM284" s="24" t="n">
        <f aca="false">AK284-AL284</f>
        <v>0</v>
      </c>
      <c r="AN284" s="28" t="str">
        <f aca="false">IF(A284&gt;=Hip3LaunchDate,"YES","")</f>
        <v/>
      </c>
      <c r="AO284" s="28" t="str">
        <f aca="false">IF(A284&lt;Hip4LaunchDate,"pre-launch","live (zero-fee)")</f>
        <v>pre-launch</v>
      </c>
      <c r="AP284" s="20"/>
      <c r="AQ284" s="20"/>
      <c r="AR284" s="20"/>
    </row>
    <row r="285" customFormat="false" ht="15" hidden="false" customHeight="false" outlineLevel="0" collapsed="false">
      <c r="A285" s="18" t="n">
        <v>45346</v>
      </c>
      <c r="B285" s="19" t="n">
        <v>736294574.31</v>
      </c>
      <c r="C285" s="19" t="n">
        <v>0</v>
      </c>
      <c r="D285" s="20"/>
      <c r="E285" s="21" t="n">
        <f aca="false">B285+C285</f>
        <v>736294574.31</v>
      </c>
      <c r="F285" s="21" t="n">
        <f aca="false">E285+D285</f>
        <v>736294574.31</v>
      </c>
      <c r="G285" s="22" t="n">
        <f aca="false">IFERROR(C285/E285,0)</f>
        <v>0</v>
      </c>
      <c r="H285" s="20"/>
      <c r="I285" s="20"/>
      <c r="J285" s="20"/>
      <c r="K285" s="21" t="n">
        <f aca="false">H285+I285</f>
        <v>0</v>
      </c>
      <c r="L285" s="20"/>
      <c r="M285" s="21" t="n">
        <f aca="false">H285-L285</f>
        <v>0</v>
      </c>
      <c r="N285" s="23" t="n">
        <f aca="false">IFERROR(M285/B285*10000,0)</f>
        <v>0</v>
      </c>
      <c r="O285" s="20"/>
      <c r="P285" s="20"/>
      <c r="Q285" s="21" t="n">
        <f aca="false">O285+P285</f>
        <v>0</v>
      </c>
      <c r="R285" s="22" t="n">
        <f aca="false">IF(A285&lt;HlpChangeDate,HlpSharePre,HlpSharePost)</f>
        <v>0.03</v>
      </c>
      <c r="S285" s="21" t="n">
        <f aca="false">Q285*R285/(1-R285)</f>
        <v>0</v>
      </c>
      <c r="T285" s="20"/>
      <c r="U285" s="21" t="n">
        <f aca="false">S285-T285</f>
        <v>0</v>
      </c>
      <c r="V285" s="21" t="n">
        <f aca="false">Y285-O285*R285/(1-R285)</f>
        <v>0</v>
      </c>
      <c r="W285" s="21" t="n">
        <f aca="false">Z285-P285*R285/(1-R285)</f>
        <v>0</v>
      </c>
      <c r="X285" s="21" t="n">
        <f aca="false">S285+V285+W285</f>
        <v>0</v>
      </c>
      <c r="Y285" s="20"/>
      <c r="Z285" s="20"/>
      <c r="AA285" s="19" t="n">
        <v>0</v>
      </c>
      <c r="AB285" s="20"/>
      <c r="AC285" s="20"/>
      <c r="AD285" s="24" t="n">
        <f aca="false">IFERROR(AA285/AC285,0)</f>
        <v>0</v>
      </c>
      <c r="AE285" s="25" t="n">
        <f aca="false">K285-Q285-X285</f>
        <v>0</v>
      </c>
      <c r="AF285" s="25" t="n">
        <f aca="false">Q285-AA285</f>
        <v>0</v>
      </c>
      <c r="AG285" s="20"/>
      <c r="AH285" s="26" t="n">
        <f aca="false">IFERROR(AG285/Q285,0)</f>
        <v>0</v>
      </c>
      <c r="AI285" s="27" t="n">
        <v>0</v>
      </c>
      <c r="AJ285" s="26" t="n">
        <f aca="false">IF(AI285&gt;0,AprCoef/SQRT(AI285),0)</f>
        <v>0</v>
      </c>
      <c r="AK285" s="24" t="n">
        <f aca="false">AI285*AJ285/365</f>
        <v>0</v>
      </c>
      <c r="AL285" s="24" t="n">
        <f aca="false">AD285</f>
        <v>0</v>
      </c>
      <c r="AM285" s="24" t="n">
        <f aca="false">AK285-AL285</f>
        <v>0</v>
      </c>
      <c r="AN285" s="28" t="str">
        <f aca="false">IF(A285&gt;=Hip3LaunchDate,"YES","")</f>
        <v/>
      </c>
      <c r="AO285" s="28" t="str">
        <f aca="false">IF(A285&lt;Hip4LaunchDate,"pre-launch","live (zero-fee)")</f>
        <v>pre-launch</v>
      </c>
      <c r="AP285" s="20"/>
      <c r="AQ285" s="20"/>
      <c r="AR285" s="20"/>
    </row>
    <row r="286" customFormat="false" ht="15" hidden="false" customHeight="false" outlineLevel="0" collapsed="false">
      <c r="A286" s="18" t="n">
        <v>45347</v>
      </c>
      <c r="B286" s="19" t="n">
        <v>994369059.29</v>
      </c>
      <c r="C286" s="19" t="n">
        <v>0</v>
      </c>
      <c r="D286" s="20"/>
      <c r="E286" s="21" t="n">
        <f aca="false">B286+C286</f>
        <v>994369059.29</v>
      </c>
      <c r="F286" s="21" t="n">
        <f aca="false">E286+D286</f>
        <v>994369059.29</v>
      </c>
      <c r="G286" s="22" t="n">
        <f aca="false">IFERROR(C286/E286,0)</f>
        <v>0</v>
      </c>
      <c r="H286" s="20"/>
      <c r="I286" s="20"/>
      <c r="J286" s="20"/>
      <c r="K286" s="21" t="n">
        <f aca="false">H286+I286</f>
        <v>0</v>
      </c>
      <c r="L286" s="20"/>
      <c r="M286" s="21" t="n">
        <f aca="false">H286-L286</f>
        <v>0</v>
      </c>
      <c r="N286" s="23" t="n">
        <f aca="false">IFERROR(M286/B286*10000,0)</f>
        <v>0</v>
      </c>
      <c r="O286" s="20"/>
      <c r="P286" s="20"/>
      <c r="Q286" s="21" t="n">
        <f aca="false">O286+P286</f>
        <v>0</v>
      </c>
      <c r="R286" s="22" t="n">
        <f aca="false">IF(A286&lt;HlpChangeDate,HlpSharePre,HlpSharePost)</f>
        <v>0.03</v>
      </c>
      <c r="S286" s="21" t="n">
        <f aca="false">Q286*R286/(1-R286)</f>
        <v>0</v>
      </c>
      <c r="T286" s="20"/>
      <c r="U286" s="21" t="n">
        <f aca="false">S286-T286</f>
        <v>0</v>
      </c>
      <c r="V286" s="21" t="n">
        <f aca="false">Y286-O286*R286/(1-R286)</f>
        <v>0</v>
      </c>
      <c r="W286" s="21" t="n">
        <f aca="false">Z286-P286*R286/(1-R286)</f>
        <v>0</v>
      </c>
      <c r="X286" s="21" t="n">
        <f aca="false">S286+V286+W286</f>
        <v>0</v>
      </c>
      <c r="Y286" s="20"/>
      <c r="Z286" s="20"/>
      <c r="AA286" s="19" t="n">
        <v>0</v>
      </c>
      <c r="AB286" s="20"/>
      <c r="AC286" s="20"/>
      <c r="AD286" s="24" t="n">
        <f aca="false">IFERROR(AA286/AC286,0)</f>
        <v>0</v>
      </c>
      <c r="AE286" s="25" t="n">
        <f aca="false">K286-Q286-X286</f>
        <v>0</v>
      </c>
      <c r="AF286" s="25" t="n">
        <f aca="false">Q286-AA286</f>
        <v>0</v>
      </c>
      <c r="AG286" s="20"/>
      <c r="AH286" s="26" t="n">
        <f aca="false">IFERROR(AG286/Q286,0)</f>
        <v>0</v>
      </c>
      <c r="AI286" s="27" t="n">
        <v>0</v>
      </c>
      <c r="AJ286" s="26" t="n">
        <f aca="false">IF(AI286&gt;0,AprCoef/SQRT(AI286),0)</f>
        <v>0</v>
      </c>
      <c r="AK286" s="24" t="n">
        <f aca="false">AI286*AJ286/365</f>
        <v>0</v>
      </c>
      <c r="AL286" s="24" t="n">
        <f aca="false">AD286</f>
        <v>0</v>
      </c>
      <c r="AM286" s="24" t="n">
        <f aca="false">AK286-AL286</f>
        <v>0</v>
      </c>
      <c r="AN286" s="28" t="str">
        <f aca="false">IF(A286&gt;=Hip3LaunchDate,"YES","")</f>
        <v/>
      </c>
      <c r="AO286" s="28" t="str">
        <f aca="false">IF(A286&lt;Hip4LaunchDate,"pre-launch","live (zero-fee)")</f>
        <v>pre-launch</v>
      </c>
      <c r="AP286" s="20"/>
      <c r="AQ286" s="20"/>
      <c r="AR286" s="20"/>
    </row>
    <row r="287" customFormat="false" ht="15" hidden="false" customHeight="false" outlineLevel="0" collapsed="false">
      <c r="A287" s="18" t="n">
        <v>45348</v>
      </c>
      <c r="B287" s="19" t="n">
        <v>1436034414.63</v>
      </c>
      <c r="C287" s="19" t="n">
        <v>0</v>
      </c>
      <c r="D287" s="20"/>
      <c r="E287" s="21" t="n">
        <f aca="false">B287+C287</f>
        <v>1436034414.63</v>
      </c>
      <c r="F287" s="21" t="n">
        <f aca="false">E287+D287</f>
        <v>1436034414.63</v>
      </c>
      <c r="G287" s="22" t="n">
        <f aca="false">IFERROR(C287/E287,0)</f>
        <v>0</v>
      </c>
      <c r="H287" s="20"/>
      <c r="I287" s="20"/>
      <c r="J287" s="20"/>
      <c r="K287" s="21" t="n">
        <f aca="false">H287+I287</f>
        <v>0</v>
      </c>
      <c r="L287" s="20"/>
      <c r="M287" s="21" t="n">
        <f aca="false">H287-L287</f>
        <v>0</v>
      </c>
      <c r="N287" s="23" t="n">
        <f aca="false">IFERROR(M287/B287*10000,0)</f>
        <v>0</v>
      </c>
      <c r="O287" s="20"/>
      <c r="P287" s="20"/>
      <c r="Q287" s="21" t="n">
        <f aca="false">O287+P287</f>
        <v>0</v>
      </c>
      <c r="R287" s="22" t="n">
        <f aca="false">IF(A287&lt;HlpChangeDate,HlpSharePre,HlpSharePost)</f>
        <v>0.03</v>
      </c>
      <c r="S287" s="21" t="n">
        <f aca="false">Q287*R287/(1-R287)</f>
        <v>0</v>
      </c>
      <c r="T287" s="20"/>
      <c r="U287" s="21" t="n">
        <f aca="false">S287-T287</f>
        <v>0</v>
      </c>
      <c r="V287" s="21" t="n">
        <f aca="false">Y287-O287*R287/(1-R287)</f>
        <v>0</v>
      </c>
      <c r="W287" s="21" t="n">
        <f aca="false">Z287-P287*R287/(1-R287)</f>
        <v>0</v>
      </c>
      <c r="X287" s="21" t="n">
        <f aca="false">S287+V287+W287</f>
        <v>0</v>
      </c>
      <c r="Y287" s="20"/>
      <c r="Z287" s="20"/>
      <c r="AA287" s="19" t="n">
        <v>0</v>
      </c>
      <c r="AB287" s="20"/>
      <c r="AC287" s="20"/>
      <c r="AD287" s="24" t="n">
        <f aca="false">IFERROR(AA287/AC287,0)</f>
        <v>0</v>
      </c>
      <c r="AE287" s="25" t="n">
        <f aca="false">K287-Q287-X287</f>
        <v>0</v>
      </c>
      <c r="AF287" s="25" t="n">
        <f aca="false">Q287-AA287</f>
        <v>0</v>
      </c>
      <c r="AG287" s="20"/>
      <c r="AH287" s="26" t="n">
        <f aca="false">IFERROR(AG287/Q287,0)</f>
        <v>0</v>
      </c>
      <c r="AI287" s="27" t="n">
        <v>0</v>
      </c>
      <c r="AJ287" s="26" t="n">
        <f aca="false">IF(AI287&gt;0,AprCoef/SQRT(AI287),0)</f>
        <v>0</v>
      </c>
      <c r="AK287" s="24" t="n">
        <f aca="false">AI287*AJ287/365</f>
        <v>0</v>
      </c>
      <c r="AL287" s="24" t="n">
        <f aca="false">AD287</f>
        <v>0</v>
      </c>
      <c r="AM287" s="24" t="n">
        <f aca="false">AK287-AL287</f>
        <v>0</v>
      </c>
      <c r="AN287" s="28" t="str">
        <f aca="false">IF(A287&gt;=Hip3LaunchDate,"YES","")</f>
        <v/>
      </c>
      <c r="AO287" s="28" t="str">
        <f aca="false">IF(A287&lt;Hip4LaunchDate,"pre-launch","live (zero-fee)")</f>
        <v>pre-launch</v>
      </c>
      <c r="AP287" s="20"/>
      <c r="AQ287" s="20"/>
      <c r="AR287" s="20"/>
    </row>
    <row r="288" customFormat="false" ht="15" hidden="false" customHeight="false" outlineLevel="0" collapsed="false">
      <c r="A288" s="18" t="n">
        <v>45349</v>
      </c>
      <c r="B288" s="19" t="n">
        <v>1732677761.81</v>
      </c>
      <c r="C288" s="19" t="n">
        <v>0</v>
      </c>
      <c r="D288" s="20"/>
      <c r="E288" s="21" t="n">
        <f aca="false">B288+C288</f>
        <v>1732677761.81</v>
      </c>
      <c r="F288" s="21" t="n">
        <f aca="false">E288+D288</f>
        <v>1732677761.81</v>
      </c>
      <c r="G288" s="22" t="n">
        <f aca="false">IFERROR(C288/E288,0)</f>
        <v>0</v>
      </c>
      <c r="H288" s="20"/>
      <c r="I288" s="20"/>
      <c r="J288" s="20"/>
      <c r="K288" s="21" t="n">
        <f aca="false">H288+I288</f>
        <v>0</v>
      </c>
      <c r="L288" s="20"/>
      <c r="M288" s="21" t="n">
        <f aca="false">H288-L288</f>
        <v>0</v>
      </c>
      <c r="N288" s="23" t="n">
        <f aca="false">IFERROR(M288/B288*10000,0)</f>
        <v>0</v>
      </c>
      <c r="O288" s="20"/>
      <c r="P288" s="20"/>
      <c r="Q288" s="21" t="n">
        <f aca="false">O288+P288</f>
        <v>0</v>
      </c>
      <c r="R288" s="22" t="n">
        <f aca="false">IF(A288&lt;HlpChangeDate,HlpSharePre,HlpSharePost)</f>
        <v>0.03</v>
      </c>
      <c r="S288" s="21" t="n">
        <f aca="false">Q288*R288/(1-R288)</f>
        <v>0</v>
      </c>
      <c r="T288" s="20"/>
      <c r="U288" s="21" t="n">
        <f aca="false">S288-T288</f>
        <v>0</v>
      </c>
      <c r="V288" s="21" t="n">
        <f aca="false">Y288-O288*R288/(1-R288)</f>
        <v>0</v>
      </c>
      <c r="W288" s="21" t="n">
        <f aca="false">Z288-P288*R288/(1-R288)</f>
        <v>0</v>
      </c>
      <c r="X288" s="21" t="n">
        <f aca="false">S288+V288+W288</f>
        <v>0</v>
      </c>
      <c r="Y288" s="20"/>
      <c r="Z288" s="20"/>
      <c r="AA288" s="19" t="n">
        <v>0</v>
      </c>
      <c r="AB288" s="20"/>
      <c r="AC288" s="20"/>
      <c r="AD288" s="24" t="n">
        <f aca="false">IFERROR(AA288/AC288,0)</f>
        <v>0</v>
      </c>
      <c r="AE288" s="25" t="n">
        <f aca="false">K288-Q288-X288</f>
        <v>0</v>
      </c>
      <c r="AF288" s="25" t="n">
        <f aca="false">Q288-AA288</f>
        <v>0</v>
      </c>
      <c r="AG288" s="20"/>
      <c r="AH288" s="26" t="n">
        <f aca="false">IFERROR(AG288/Q288,0)</f>
        <v>0</v>
      </c>
      <c r="AI288" s="27" t="n">
        <v>0</v>
      </c>
      <c r="AJ288" s="26" t="n">
        <f aca="false">IF(AI288&gt;0,AprCoef/SQRT(AI288),0)</f>
        <v>0</v>
      </c>
      <c r="AK288" s="24" t="n">
        <f aca="false">AI288*AJ288/365</f>
        <v>0</v>
      </c>
      <c r="AL288" s="24" t="n">
        <f aca="false">AD288</f>
        <v>0</v>
      </c>
      <c r="AM288" s="24" t="n">
        <f aca="false">AK288-AL288</f>
        <v>0</v>
      </c>
      <c r="AN288" s="28" t="str">
        <f aca="false">IF(A288&gt;=Hip3LaunchDate,"YES","")</f>
        <v/>
      </c>
      <c r="AO288" s="28" t="str">
        <f aca="false">IF(A288&lt;Hip4LaunchDate,"pre-launch","live (zero-fee)")</f>
        <v>pre-launch</v>
      </c>
      <c r="AP288" s="20"/>
      <c r="AQ288" s="20"/>
      <c r="AR288" s="20"/>
    </row>
    <row r="289" customFormat="false" ht="15" hidden="false" customHeight="false" outlineLevel="0" collapsed="false">
      <c r="A289" s="18" t="n">
        <v>45350</v>
      </c>
      <c r="B289" s="19" t="n">
        <v>3027279326.17</v>
      </c>
      <c r="C289" s="19" t="n">
        <v>0</v>
      </c>
      <c r="D289" s="20"/>
      <c r="E289" s="21" t="n">
        <f aca="false">B289+C289</f>
        <v>3027279326.17</v>
      </c>
      <c r="F289" s="21" t="n">
        <f aca="false">E289+D289</f>
        <v>3027279326.17</v>
      </c>
      <c r="G289" s="22" t="n">
        <f aca="false">IFERROR(C289/E289,0)</f>
        <v>0</v>
      </c>
      <c r="H289" s="20"/>
      <c r="I289" s="20"/>
      <c r="J289" s="20"/>
      <c r="K289" s="21" t="n">
        <f aca="false">H289+I289</f>
        <v>0</v>
      </c>
      <c r="L289" s="20"/>
      <c r="M289" s="21" t="n">
        <f aca="false">H289-L289</f>
        <v>0</v>
      </c>
      <c r="N289" s="23" t="n">
        <f aca="false">IFERROR(M289/B289*10000,0)</f>
        <v>0</v>
      </c>
      <c r="O289" s="20"/>
      <c r="P289" s="20"/>
      <c r="Q289" s="21" t="n">
        <f aca="false">O289+P289</f>
        <v>0</v>
      </c>
      <c r="R289" s="22" t="n">
        <f aca="false">IF(A289&lt;HlpChangeDate,HlpSharePre,HlpSharePost)</f>
        <v>0.03</v>
      </c>
      <c r="S289" s="21" t="n">
        <f aca="false">Q289*R289/(1-R289)</f>
        <v>0</v>
      </c>
      <c r="T289" s="20"/>
      <c r="U289" s="21" t="n">
        <f aca="false">S289-T289</f>
        <v>0</v>
      </c>
      <c r="V289" s="21" t="n">
        <f aca="false">Y289-O289*R289/(1-R289)</f>
        <v>0</v>
      </c>
      <c r="W289" s="21" t="n">
        <f aca="false">Z289-P289*R289/(1-R289)</f>
        <v>0</v>
      </c>
      <c r="X289" s="21" t="n">
        <f aca="false">S289+V289+W289</f>
        <v>0</v>
      </c>
      <c r="Y289" s="20"/>
      <c r="Z289" s="20"/>
      <c r="AA289" s="19" t="n">
        <v>0</v>
      </c>
      <c r="AB289" s="20"/>
      <c r="AC289" s="20"/>
      <c r="AD289" s="24" t="n">
        <f aca="false">IFERROR(AA289/AC289,0)</f>
        <v>0</v>
      </c>
      <c r="AE289" s="25" t="n">
        <f aca="false">K289-Q289-X289</f>
        <v>0</v>
      </c>
      <c r="AF289" s="25" t="n">
        <f aca="false">Q289-AA289</f>
        <v>0</v>
      </c>
      <c r="AG289" s="20"/>
      <c r="AH289" s="26" t="n">
        <f aca="false">IFERROR(AG289/Q289,0)</f>
        <v>0</v>
      </c>
      <c r="AI289" s="27" t="n">
        <v>0</v>
      </c>
      <c r="AJ289" s="26" t="n">
        <f aca="false">IF(AI289&gt;0,AprCoef/SQRT(AI289),0)</f>
        <v>0</v>
      </c>
      <c r="AK289" s="24" t="n">
        <f aca="false">AI289*AJ289/365</f>
        <v>0</v>
      </c>
      <c r="AL289" s="24" t="n">
        <f aca="false">AD289</f>
        <v>0</v>
      </c>
      <c r="AM289" s="24" t="n">
        <f aca="false">AK289-AL289</f>
        <v>0</v>
      </c>
      <c r="AN289" s="28" t="str">
        <f aca="false">IF(A289&gt;=Hip3LaunchDate,"YES","")</f>
        <v/>
      </c>
      <c r="AO289" s="28" t="str">
        <f aca="false">IF(A289&lt;Hip4LaunchDate,"pre-launch","live (zero-fee)")</f>
        <v>pre-launch</v>
      </c>
      <c r="AP289" s="20"/>
      <c r="AQ289" s="20"/>
      <c r="AR289" s="20"/>
    </row>
    <row r="290" customFormat="false" ht="15" hidden="false" customHeight="false" outlineLevel="0" collapsed="false">
      <c r="A290" s="18" t="n">
        <v>45351</v>
      </c>
      <c r="B290" s="19" t="n">
        <v>1627665734.29</v>
      </c>
      <c r="C290" s="19" t="n">
        <v>0</v>
      </c>
      <c r="D290" s="20"/>
      <c r="E290" s="21" t="n">
        <f aca="false">B290+C290</f>
        <v>1627665734.29</v>
      </c>
      <c r="F290" s="21" t="n">
        <f aca="false">E290+D290</f>
        <v>1627665734.29</v>
      </c>
      <c r="G290" s="22" t="n">
        <f aca="false">IFERROR(C290/E290,0)</f>
        <v>0</v>
      </c>
      <c r="H290" s="20"/>
      <c r="I290" s="20"/>
      <c r="J290" s="20"/>
      <c r="K290" s="21" t="n">
        <f aca="false">H290+I290</f>
        <v>0</v>
      </c>
      <c r="L290" s="20"/>
      <c r="M290" s="21" t="n">
        <f aca="false">H290-L290</f>
        <v>0</v>
      </c>
      <c r="N290" s="23" t="n">
        <f aca="false">IFERROR(M290/B290*10000,0)</f>
        <v>0</v>
      </c>
      <c r="O290" s="20"/>
      <c r="P290" s="20"/>
      <c r="Q290" s="21" t="n">
        <f aca="false">O290+P290</f>
        <v>0</v>
      </c>
      <c r="R290" s="22" t="n">
        <f aca="false">IF(A290&lt;HlpChangeDate,HlpSharePre,HlpSharePost)</f>
        <v>0.03</v>
      </c>
      <c r="S290" s="21" t="n">
        <f aca="false">Q290*R290/(1-R290)</f>
        <v>0</v>
      </c>
      <c r="T290" s="20"/>
      <c r="U290" s="21" t="n">
        <f aca="false">S290-T290</f>
        <v>0</v>
      </c>
      <c r="V290" s="21" t="n">
        <f aca="false">Y290-O290*R290/(1-R290)</f>
        <v>0</v>
      </c>
      <c r="W290" s="21" t="n">
        <f aca="false">Z290-P290*R290/(1-R290)</f>
        <v>0</v>
      </c>
      <c r="X290" s="21" t="n">
        <f aca="false">S290+V290+W290</f>
        <v>0</v>
      </c>
      <c r="Y290" s="20"/>
      <c r="Z290" s="20"/>
      <c r="AA290" s="19" t="n">
        <v>0</v>
      </c>
      <c r="AB290" s="20"/>
      <c r="AC290" s="20"/>
      <c r="AD290" s="24" t="n">
        <f aca="false">IFERROR(AA290/AC290,0)</f>
        <v>0</v>
      </c>
      <c r="AE290" s="25" t="n">
        <f aca="false">K290-Q290-X290</f>
        <v>0</v>
      </c>
      <c r="AF290" s="25" t="n">
        <f aca="false">Q290-AA290</f>
        <v>0</v>
      </c>
      <c r="AG290" s="20"/>
      <c r="AH290" s="26" t="n">
        <f aca="false">IFERROR(AG290/Q290,0)</f>
        <v>0</v>
      </c>
      <c r="AI290" s="27" t="n">
        <v>0</v>
      </c>
      <c r="AJ290" s="26" t="n">
        <f aca="false">IF(AI290&gt;0,AprCoef/SQRT(AI290),0)</f>
        <v>0</v>
      </c>
      <c r="AK290" s="24" t="n">
        <f aca="false">AI290*AJ290/365</f>
        <v>0</v>
      </c>
      <c r="AL290" s="24" t="n">
        <f aca="false">AD290</f>
        <v>0</v>
      </c>
      <c r="AM290" s="24" t="n">
        <f aca="false">AK290-AL290</f>
        <v>0</v>
      </c>
      <c r="AN290" s="28" t="str">
        <f aca="false">IF(A290&gt;=Hip3LaunchDate,"YES","")</f>
        <v/>
      </c>
      <c r="AO290" s="28" t="str">
        <f aca="false">IF(A290&lt;Hip4LaunchDate,"pre-launch","live (zero-fee)")</f>
        <v>pre-launch</v>
      </c>
      <c r="AP290" s="20"/>
      <c r="AQ290" s="20"/>
      <c r="AR290" s="20"/>
    </row>
    <row r="291" customFormat="false" ht="15" hidden="false" customHeight="false" outlineLevel="0" collapsed="false">
      <c r="A291" s="18" t="n">
        <v>45352</v>
      </c>
      <c r="B291" s="19" t="n">
        <v>1587453073.97</v>
      </c>
      <c r="C291" s="19" t="n">
        <v>0</v>
      </c>
      <c r="D291" s="20"/>
      <c r="E291" s="21" t="n">
        <f aca="false">B291+C291</f>
        <v>1587453073.97</v>
      </c>
      <c r="F291" s="21" t="n">
        <f aca="false">E291+D291</f>
        <v>1587453073.97</v>
      </c>
      <c r="G291" s="22" t="n">
        <f aca="false">IFERROR(C291/E291,0)</f>
        <v>0</v>
      </c>
      <c r="H291" s="20"/>
      <c r="I291" s="20"/>
      <c r="J291" s="20"/>
      <c r="K291" s="21" t="n">
        <f aca="false">H291+I291</f>
        <v>0</v>
      </c>
      <c r="L291" s="20"/>
      <c r="M291" s="21" t="n">
        <f aca="false">H291-L291</f>
        <v>0</v>
      </c>
      <c r="N291" s="23" t="n">
        <f aca="false">IFERROR(M291/B291*10000,0)</f>
        <v>0</v>
      </c>
      <c r="O291" s="20"/>
      <c r="P291" s="20"/>
      <c r="Q291" s="21" t="n">
        <f aca="false">O291+P291</f>
        <v>0</v>
      </c>
      <c r="R291" s="22" t="n">
        <f aca="false">IF(A291&lt;HlpChangeDate,HlpSharePre,HlpSharePost)</f>
        <v>0.03</v>
      </c>
      <c r="S291" s="21" t="n">
        <f aca="false">Q291*R291/(1-R291)</f>
        <v>0</v>
      </c>
      <c r="T291" s="20"/>
      <c r="U291" s="21" t="n">
        <f aca="false">S291-T291</f>
        <v>0</v>
      </c>
      <c r="V291" s="21" t="n">
        <f aca="false">Y291-O291*R291/(1-R291)</f>
        <v>0</v>
      </c>
      <c r="W291" s="21" t="n">
        <f aca="false">Z291-P291*R291/(1-R291)</f>
        <v>0</v>
      </c>
      <c r="X291" s="21" t="n">
        <f aca="false">S291+V291+W291</f>
        <v>0</v>
      </c>
      <c r="Y291" s="20"/>
      <c r="Z291" s="20"/>
      <c r="AA291" s="19" t="n">
        <v>0</v>
      </c>
      <c r="AB291" s="20"/>
      <c r="AC291" s="20"/>
      <c r="AD291" s="24" t="n">
        <f aca="false">IFERROR(AA291/AC291,0)</f>
        <v>0</v>
      </c>
      <c r="AE291" s="25" t="n">
        <f aca="false">K291-Q291-X291</f>
        <v>0</v>
      </c>
      <c r="AF291" s="25" t="n">
        <f aca="false">Q291-AA291</f>
        <v>0</v>
      </c>
      <c r="AG291" s="20"/>
      <c r="AH291" s="26" t="n">
        <f aca="false">IFERROR(AG291/Q291,0)</f>
        <v>0</v>
      </c>
      <c r="AI291" s="27" t="n">
        <v>0</v>
      </c>
      <c r="AJ291" s="26" t="n">
        <f aca="false">IF(AI291&gt;0,AprCoef/SQRT(AI291),0)</f>
        <v>0</v>
      </c>
      <c r="AK291" s="24" t="n">
        <f aca="false">AI291*AJ291/365</f>
        <v>0</v>
      </c>
      <c r="AL291" s="24" t="n">
        <f aca="false">AD291</f>
        <v>0</v>
      </c>
      <c r="AM291" s="24" t="n">
        <f aca="false">AK291-AL291</f>
        <v>0</v>
      </c>
      <c r="AN291" s="28" t="str">
        <f aca="false">IF(A291&gt;=Hip3LaunchDate,"YES","")</f>
        <v/>
      </c>
      <c r="AO291" s="28" t="str">
        <f aca="false">IF(A291&lt;Hip4LaunchDate,"pre-launch","live (zero-fee)")</f>
        <v>pre-launch</v>
      </c>
      <c r="AP291" s="20"/>
      <c r="AQ291" s="20"/>
      <c r="AR291" s="20"/>
    </row>
    <row r="292" customFormat="false" ht="15" hidden="false" customHeight="false" outlineLevel="0" collapsed="false">
      <c r="A292" s="18" t="n">
        <v>45353</v>
      </c>
      <c r="B292" s="19" t="n">
        <v>1138112722.3</v>
      </c>
      <c r="C292" s="19" t="n">
        <v>0</v>
      </c>
      <c r="D292" s="20"/>
      <c r="E292" s="21" t="n">
        <f aca="false">B292+C292</f>
        <v>1138112722.3</v>
      </c>
      <c r="F292" s="21" t="n">
        <f aca="false">E292+D292</f>
        <v>1138112722.3</v>
      </c>
      <c r="G292" s="22" t="n">
        <f aca="false">IFERROR(C292/E292,0)</f>
        <v>0</v>
      </c>
      <c r="H292" s="20"/>
      <c r="I292" s="20"/>
      <c r="J292" s="20"/>
      <c r="K292" s="21" t="n">
        <f aca="false">H292+I292</f>
        <v>0</v>
      </c>
      <c r="L292" s="20"/>
      <c r="M292" s="21" t="n">
        <f aca="false">H292-L292</f>
        <v>0</v>
      </c>
      <c r="N292" s="23" t="n">
        <f aca="false">IFERROR(M292/B292*10000,0)</f>
        <v>0</v>
      </c>
      <c r="O292" s="20"/>
      <c r="P292" s="20"/>
      <c r="Q292" s="21" t="n">
        <f aca="false">O292+P292</f>
        <v>0</v>
      </c>
      <c r="R292" s="22" t="n">
        <f aca="false">IF(A292&lt;HlpChangeDate,HlpSharePre,HlpSharePost)</f>
        <v>0.03</v>
      </c>
      <c r="S292" s="21" t="n">
        <f aca="false">Q292*R292/(1-R292)</f>
        <v>0</v>
      </c>
      <c r="T292" s="20"/>
      <c r="U292" s="21" t="n">
        <f aca="false">S292-T292</f>
        <v>0</v>
      </c>
      <c r="V292" s="21" t="n">
        <f aca="false">Y292-O292*R292/(1-R292)</f>
        <v>0</v>
      </c>
      <c r="W292" s="21" t="n">
        <f aca="false">Z292-P292*R292/(1-R292)</f>
        <v>0</v>
      </c>
      <c r="X292" s="21" t="n">
        <f aca="false">S292+V292+W292</f>
        <v>0</v>
      </c>
      <c r="Y292" s="20"/>
      <c r="Z292" s="20"/>
      <c r="AA292" s="19" t="n">
        <v>0</v>
      </c>
      <c r="AB292" s="20"/>
      <c r="AC292" s="20"/>
      <c r="AD292" s="24" t="n">
        <f aca="false">IFERROR(AA292/AC292,0)</f>
        <v>0</v>
      </c>
      <c r="AE292" s="25" t="n">
        <f aca="false">K292-Q292-X292</f>
        <v>0</v>
      </c>
      <c r="AF292" s="25" t="n">
        <f aca="false">Q292-AA292</f>
        <v>0</v>
      </c>
      <c r="AG292" s="20"/>
      <c r="AH292" s="26" t="n">
        <f aca="false">IFERROR(AG292/Q292,0)</f>
        <v>0</v>
      </c>
      <c r="AI292" s="27" t="n">
        <v>0</v>
      </c>
      <c r="AJ292" s="26" t="n">
        <f aca="false">IF(AI292&gt;0,AprCoef/SQRT(AI292),0)</f>
        <v>0</v>
      </c>
      <c r="AK292" s="24" t="n">
        <f aca="false">AI292*AJ292/365</f>
        <v>0</v>
      </c>
      <c r="AL292" s="24" t="n">
        <f aca="false">AD292</f>
        <v>0</v>
      </c>
      <c r="AM292" s="24" t="n">
        <f aca="false">AK292-AL292</f>
        <v>0</v>
      </c>
      <c r="AN292" s="28" t="str">
        <f aca="false">IF(A292&gt;=Hip3LaunchDate,"YES","")</f>
        <v/>
      </c>
      <c r="AO292" s="28" t="str">
        <f aca="false">IF(A292&lt;Hip4LaunchDate,"pre-launch","live (zero-fee)")</f>
        <v>pre-launch</v>
      </c>
      <c r="AP292" s="20"/>
      <c r="AQ292" s="20"/>
      <c r="AR292" s="20"/>
    </row>
    <row r="293" customFormat="false" ht="15" hidden="false" customHeight="false" outlineLevel="0" collapsed="false">
      <c r="A293" s="18" t="n">
        <v>45354</v>
      </c>
      <c r="B293" s="19" t="n">
        <v>1275075543.43</v>
      </c>
      <c r="C293" s="19" t="n">
        <v>0</v>
      </c>
      <c r="D293" s="20"/>
      <c r="E293" s="21" t="n">
        <f aca="false">B293+C293</f>
        <v>1275075543.43</v>
      </c>
      <c r="F293" s="21" t="n">
        <f aca="false">E293+D293</f>
        <v>1275075543.43</v>
      </c>
      <c r="G293" s="22" t="n">
        <f aca="false">IFERROR(C293/E293,0)</f>
        <v>0</v>
      </c>
      <c r="H293" s="20"/>
      <c r="I293" s="20"/>
      <c r="J293" s="20"/>
      <c r="K293" s="21" t="n">
        <f aca="false">H293+I293</f>
        <v>0</v>
      </c>
      <c r="L293" s="20"/>
      <c r="M293" s="21" t="n">
        <f aca="false">H293-L293</f>
        <v>0</v>
      </c>
      <c r="N293" s="23" t="n">
        <f aca="false">IFERROR(M293/B293*10000,0)</f>
        <v>0</v>
      </c>
      <c r="O293" s="20"/>
      <c r="P293" s="20"/>
      <c r="Q293" s="21" t="n">
        <f aca="false">O293+P293</f>
        <v>0</v>
      </c>
      <c r="R293" s="22" t="n">
        <f aca="false">IF(A293&lt;HlpChangeDate,HlpSharePre,HlpSharePost)</f>
        <v>0.03</v>
      </c>
      <c r="S293" s="21" t="n">
        <f aca="false">Q293*R293/(1-R293)</f>
        <v>0</v>
      </c>
      <c r="T293" s="20"/>
      <c r="U293" s="21" t="n">
        <f aca="false">S293-T293</f>
        <v>0</v>
      </c>
      <c r="V293" s="21" t="n">
        <f aca="false">Y293-O293*R293/(1-R293)</f>
        <v>0</v>
      </c>
      <c r="W293" s="21" t="n">
        <f aca="false">Z293-P293*R293/(1-R293)</f>
        <v>0</v>
      </c>
      <c r="X293" s="21" t="n">
        <f aca="false">S293+V293+W293</f>
        <v>0</v>
      </c>
      <c r="Y293" s="20"/>
      <c r="Z293" s="20"/>
      <c r="AA293" s="19" t="n">
        <v>0</v>
      </c>
      <c r="AB293" s="20"/>
      <c r="AC293" s="20"/>
      <c r="AD293" s="24" t="n">
        <f aca="false">IFERROR(AA293/AC293,0)</f>
        <v>0</v>
      </c>
      <c r="AE293" s="25" t="n">
        <f aca="false">K293-Q293-X293</f>
        <v>0</v>
      </c>
      <c r="AF293" s="25" t="n">
        <f aca="false">Q293-AA293</f>
        <v>0</v>
      </c>
      <c r="AG293" s="20"/>
      <c r="AH293" s="26" t="n">
        <f aca="false">IFERROR(AG293/Q293,0)</f>
        <v>0</v>
      </c>
      <c r="AI293" s="27" t="n">
        <v>0</v>
      </c>
      <c r="AJ293" s="26" t="n">
        <f aca="false">IF(AI293&gt;0,AprCoef/SQRT(AI293),0)</f>
        <v>0</v>
      </c>
      <c r="AK293" s="24" t="n">
        <f aca="false">AI293*AJ293/365</f>
        <v>0</v>
      </c>
      <c r="AL293" s="24" t="n">
        <f aca="false">AD293</f>
        <v>0</v>
      </c>
      <c r="AM293" s="24" t="n">
        <f aca="false">AK293-AL293</f>
        <v>0</v>
      </c>
      <c r="AN293" s="28" t="str">
        <f aca="false">IF(A293&gt;=Hip3LaunchDate,"YES","")</f>
        <v/>
      </c>
      <c r="AO293" s="28" t="str">
        <f aca="false">IF(A293&lt;Hip4LaunchDate,"pre-launch","live (zero-fee)")</f>
        <v>pre-launch</v>
      </c>
      <c r="AP293" s="20"/>
      <c r="AQ293" s="20"/>
      <c r="AR293" s="20"/>
    </row>
    <row r="294" customFormat="false" ht="15" hidden="false" customHeight="false" outlineLevel="0" collapsed="false">
      <c r="A294" s="18" t="n">
        <v>45355</v>
      </c>
      <c r="B294" s="19" t="n">
        <v>3565698057.96</v>
      </c>
      <c r="C294" s="19" t="n">
        <v>0</v>
      </c>
      <c r="D294" s="20"/>
      <c r="E294" s="21" t="n">
        <f aca="false">B294+C294</f>
        <v>3565698057.96</v>
      </c>
      <c r="F294" s="21" t="n">
        <f aca="false">E294+D294</f>
        <v>3565698057.96</v>
      </c>
      <c r="G294" s="22" t="n">
        <f aca="false">IFERROR(C294/E294,0)</f>
        <v>0</v>
      </c>
      <c r="H294" s="20"/>
      <c r="I294" s="20"/>
      <c r="J294" s="20"/>
      <c r="K294" s="21" t="n">
        <f aca="false">H294+I294</f>
        <v>0</v>
      </c>
      <c r="L294" s="20"/>
      <c r="M294" s="21" t="n">
        <f aca="false">H294-L294</f>
        <v>0</v>
      </c>
      <c r="N294" s="23" t="n">
        <f aca="false">IFERROR(M294/B294*10000,0)</f>
        <v>0</v>
      </c>
      <c r="O294" s="20"/>
      <c r="P294" s="20"/>
      <c r="Q294" s="21" t="n">
        <f aca="false">O294+P294</f>
        <v>0</v>
      </c>
      <c r="R294" s="22" t="n">
        <f aca="false">IF(A294&lt;HlpChangeDate,HlpSharePre,HlpSharePost)</f>
        <v>0.03</v>
      </c>
      <c r="S294" s="21" t="n">
        <f aca="false">Q294*R294/(1-R294)</f>
        <v>0</v>
      </c>
      <c r="T294" s="20"/>
      <c r="U294" s="21" t="n">
        <f aca="false">S294-T294</f>
        <v>0</v>
      </c>
      <c r="V294" s="21" t="n">
        <f aca="false">Y294-O294*R294/(1-R294)</f>
        <v>0</v>
      </c>
      <c r="W294" s="21" t="n">
        <f aca="false">Z294-P294*R294/(1-R294)</f>
        <v>0</v>
      </c>
      <c r="X294" s="21" t="n">
        <f aca="false">S294+V294+W294</f>
        <v>0</v>
      </c>
      <c r="Y294" s="20"/>
      <c r="Z294" s="20"/>
      <c r="AA294" s="19" t="n">
        <v>0</v>
      </c>
      <c r="AB294" s="20"/>
      <c r="AC294" s="20"/>
      <c r="AD294" s="24" t="n">
        <f aca="false">IFERROR(AA294/AC294,0)</f>
        <v>0</v>
      </c>
      <c r="AE294" s="25" t="n">
        <f aca="false">K294-Q294-X294</f>
        <v>0</v>
      </c>
      <c r="AF294" s="25" t="n">
        <f aca="false">Q294-AA294</f>
        <v>0</v>
      </c>
      <c r="AG294" s="20"/>
      <c r="AH294" s="26" t="n">
        <f aca="false">IFERROR(AG294/Q294,0)</f>
        <v>0</v>
      </c>
      <c r="AI294" s="27" t="n">
        <v>0</v>
      </c>
      <c r="AJ294" s="26" t="n">
        <f aca="false">IF(AI294&gt;0,AprCoef/SQRT(AI294),0)</f>
        <v>0</v>
      </c>
      <c r="AK294" s="24" t="n">
        <f aca="false">AI294*AJ294/365</f>
        <v>0</v>
      </c>
      <c r="AL294" s="24" t="n">
        <f aca="false">AD294</f>
        <v>0</v>
      </c>
      <c r="AM294" s="24" t="n">
        <f aca="false">AK294-AL294</f>
        <v>0</v>
      </c>
      <c r="AN294" s="28" t="str">
        <f aca="false">IF(A294&gt;=Hip3LaunchDate,"YES","")</f>
        <v/>
      </c>
      <c r="AO294" s="28" t="str">
        <f aca="false">IF(A294&lt;Hip4LaunchDate,"pre-launch","live (zero-fee)")</f>
        <v>pre-launch</v>
      </c>
      <c r="AP294" s="20"/>
      <c r="AQ294" s="20"/>
      <c r="AR294" s="20"/>
    </row>
    <row r="295" customFormat="false" ht="15" hidden="false" customHeight="false" outlineLevel="0" collapsed="false">
      <c r="A295" s="18" t="n">
        <v>45356</v>
      </c>
      <c r="B295" s="19" t="n">
        <v>3195966710.85</v>
      </c>
      <c r="C295" s="19" t="n">
        <v>0</v>
      </c>
      <c r="D295" s="20"/>
      <c r="E295" s="21" t="n">
        <f aca="false">B295+C295</f>
        <v>3195966710.85</v>
      </c>
      <c r="F295" s="21" t="n">
        <f aca="false">E295+D295</f>
        <v>3195966710.85</v>
      </c>
      <c r="G295" s="22" t="n">
        <f aca="false">IFERROR(C295/E295,0)</f>
        <v>0</v>
      </c>
      <c r="H295" s="20"/>
      <c r="I295" s="20"/>
      <c r="J295" s="20"/>
      <c r="K295" s="21" t="n">
        <f aca="false">H295+I295</f>
        <v>0</v>
      </c>
      <c r="L295" s="20"/>
      <c r="M295" s="21" t="n">
        <f aca="false">H295-L295</f>
        <v>0</v>
      </c>
      <c r="N295" s="23" t="n">
        <f aca="false">IFERROR(M295/B295*10000,0)</f>
        <v>0</v>
      </c>
      <c r="O295" s="20"/>
      <c r="P295" s="20"/>
      <c r="Q295" s="21" t="n">
        <f aca="false">O295+P295</f>
        <v>0</v>
      </c>
      <c r="R295" s="22" t="n">
        <f aca="false">IF(A295&lt;HlpChangeDate,HlpSharePre,HlpSharePost)</f>
        <v>0.03</v>
      </c>
      <c r="S295" s="21" t="n">
        <f aca="false">Q295*R295/(1-R295)</f>
        <v>0</v>
      </c>
      <c r="T295" s="20"/>
      <c r="U295" s="21" t="n">
        <f aca="false">S295-T295</f>
        <v>0</v>
      </c>
      <c r="V295" s="21" t="n">
        <f aca="false">Y295-O295*R295/(1-R295)</f>
        <v>0</v>
      </c>
      <c r="W295" s="21" t="n">
        <f aca="false">Z295-P295*R295/(1-R295)</f>
        <v>0</v>
      </c>
      <c r="X295" s="21" t="n">
        <f aca="false">S295+V295+W295</f>
        <v>0</v>
      </c>
      <c r="Y295" s="20"/>
      <c r="Z295" s="20"/>
      <c r="AA295" s="19" t="n">
        <v>0</v>
      </c>
      <c r="AB295" s="20"/>
      <c r="AC295" s="20"/>
      <c r="AD295" s="24" t="n">
        <f aca="false">IFERROR(AA295/AC295,0)</f>
        <v>0</v>
      </c>
      <c r="AE295" s="25" t="n">
        <f aca="false">K295-Q295-X295</f>
        <v>0</v>
      </c>
      <c r="AF295" s="25" t="n">
        <f aca="false">Q295-AA295</f>
        <v>0</v>
      </c>
      <c r="AG295" s="20"/>
      <c r="AH295" s="26" t="n">
        <f aca="false">IFERROR(AG295/Q295,0)</f>
        <v>0</v>
      </c>
      <c r="AI295" s="27" t="n">
        <v>0</v>
      </c>
      <c r="AJ295" s="26" t="n">
        <f aca="false">IF(AI295&gt;0,AprCoef/SQRT(AI295),0)</f>
        <v>0</v>
      </c>
      <c r="AK295" s="24" t="n">
        <f aca="false">AI295*AJ295/365</f>
        <v>0</v>
      </c>
      <c r="AL295" s="24" t="n">
        <f aca="false">AD295</f>
        <v>0</v>
      </c>
      <c r="AM295" s="24" t="n">
        <f aca="false">AK295-AL295</f>
        <v>0</v>
      </c>
      <c r="AN295" s="28" t="str">
        <f aca="false">IF(A295&gt;=Hip3LaunchDate,"YES","")</f>
        <v/>
      </c>
      <c r="AO295" s="28" t="str">
        <f aca="false">IF(A295&lt;Hip4LaunchDate,"pre-launch","live (zero-fee)")</f>
        <v>pre-launch</v>
      </c>
      <c r="AP295" s="20"/>
      <c r="AQ295" s="20"/>
      <c r="AR295" s="20"/>
    </row>
    <row r="296" customFormat="false" ht="15" hidden="false" customHeight="false" outlineLevel="0" collapsed="false">
      <c r="A296" s="18" t="n">
        <v>45357</v>
      </c>
      <c r="B296" s="19" t="n">
        <v>1928068325.07</v>
      </c>
      <c r="C296" s="19" t="n">
        <v>0</v>
      </c>
      <c r="D296" s="20"/>
      <c r="E296" s="21" t="n">
        <f aca="false">B296+C296</f>
        <v>1928068325.07</v>
      </c>
      <c r="F296" s="21" t="n">
        <f aca="false">E296+D296</f>
        <v>1928068325.07</v>
      </c>
      <c r="G296" s="22" t="n">
        <f aca="false">IFERROR(C296/E296,0)</f>
        <v>0</v>
      </c>
      <c r="H296" s="20"/>
      <c r="I296" s="20"/>
      <c r="J296" s="20"/>
      <c r="K296" s="21" t="n">
        <f aca="false">H296+I296</f>
        <v>0</v>
      </c>
      <c r="L296" s="20"/>
      <c r="M296" s="21" t="n">
        <f aca="false">H296-L296</f>
        <v>0</v>
      </c>
      <c r="N296" s="23" t="n">
        <f aca="false">IFERROR(M296/B296*10000,0)</f>
        <v>0</v>
      </c>
      <c r="O296" s="20"/>
      <c r="P296" s="20"/>
      <c r="Q296" s="21" t="n">
        <f aca="false">O296+P296</f>
        <v>0</v>
      </c>
      <c r="R296" s="22" t="n">
        <f aca="false">IF(A296&lt;HlpChangeDate,HlpSharePre,HlpSharePost)</f>
        <v>0.03</v>
      </c>
      <c r="S296" s="21" t="n">
        <f aca="false">Q296*R296/(1-R296)</f>
        <v>0</v>
      </c>
      <c r="T296" s="20"/>
      <c r="U296" s="21" t="n">
        <f aca="false">S296-T296</f>
        <v>0</v>
      </c>
      <c r="V296" s="21" t="n">
        <f aca="false">Y296-O296*R296/(1-R296)</f>
        <v>0</v>
      </c>
      <c r="W296" s="21" t="n">
        <f aca="false">Z296-P296*R296/(1-R296)</f>
        <v>0</v>
      </c>
      <c r="X296" s="21" t="n">
        <f aca="false">S296+V296+W296</f>
        <v>0</v>
      </c>
      <c r="Y296" s="20"/>
      <c r="Z296" s="20"/>
      <c r="AA296" s="19" t="n">
        <v>0</v>
      </c>
      <c r="AB296" s="20"/>
      <c r="AC296" s="20"/>
      <c r="AD296" s="24" t="n">
        <f aca="false">IFERROR(AA296/AC296,0)</f>
        <v>0</v>
      </c>
      <c r="AE296" s="25" t="n">
        <f aca="false">K296-Q296-X296</f>
        <v>0</v>
      </c>
      <c r="AF296" s="25" t="n">
        <f aca="false">Q296-AA296</f>
        <v>0</v>
      </c>
      <c r="AG296" s="20"/>
      <c r="AH296" s="26" t="n">
        <f aca="false">IFERROR(AG296/Q296,0)</f>
        <v>0</v>
      </c>
      <c r="AI296" s="27" t="n">
        <v>0</v>
      </c>
      <c r="AJ296" s="26" t="n">
        <f aca="false">IF(AI296&gt;0,AprCoef/SQRT(AI296),0)</f>
        <v>0</v>
      </c>
      <c r="AK296" s="24" t="n">
        <f aca="false">AI296*AJ296/365</f>
        <v>0</v>
      </c>
      <c r="AL296" s="24" t="n">
        <f aca="false">AD296</f>
        <v>0</v>
      </c>
      <c r="AM296" s="24" t="n">
        <f aca="false">AK296-AL296</f>
        <v>0</v>
      </c>
      <c r="AN296" s="28" t="str">
        <f aca="false">IF(A296&gt;=Hip3LaunchDate,"YES","")</f>
        <v/>
      </c>
      <c r="AO296" s="28" t="str">
        <f aca="false">IF(A296&lt;Hip4LaunchDate,"pre-launch","live (zero-fee)")</f>
        <v>pre-launch</v>
      </c>
      <c r="AP296" s="20"/>
      <c r="AQ296" s="20"/>
      <c r="AR296" s="20"/>
    </row>
    <row r="297" customFormat="false" ht="15" hidden="false" customHeight="false" outlineLevel="0" collapsed="false">
      <c r="A297" s="18" t="n">
        <v>45358</v>
      </c>
      <c r="B297" s="19" t="n">
        <v>1560843136.08</v>
      </c>
      <c r="C297" s="19" t="n">
        <v>0</v>
      </c>
      <c r="D297" s="20"/>
      <c r="E297" s="21" t="n">
        <f aca="false">B297+C297</f>
        <v>1560843136.08</v>
      </c>
      <c r="F297" s="21" t="n">
        <f aca="false">E297+D297</f>
        <v>1560843136.08</v>
      </c>
      <c r="G297" s="22" t="n">
        <f aca="false">IFERROR(C297/E297,0)</f>
        <v>0</v>
      </c>
      <c r="H297" s="20"/>
      <c r="I297" s="20"/>
      <c r="J297" s="20"/>
      <c r="K297" s="21" t="n">
        <f aca="false">H297+I297</f>
        <v>0</v>
      </c>
      <c r="L297" s="20"/>
      <c r="M297" s="21" t="n">
        <f aca="false">H297-L297</f>
        <v>0</v>
      </c>
      <c r="N297" s="23" t="n">
        <f aca="false">IFERROR(M297/B297*10000,0)</f>
        <v>0</v>
      </c>
      <c r="O297" s="20"/>
      <c r="P297" s="20"/>
      <c r="Q297" s="21" t="n">
        <f aca="false">O297+P297</f>
        <v>0</v>
      </c>
      <c r="R297" s="22" t="n">
        <f aca="false">IF(A297&lt;HlpChangeDate,HlpSharePre,HlpSharePost)</f>
        <v>0.03</v>
      </c>
      <c r="S297" s="21" t="n">
        <f aca="false">Q297*R297/(1-R297)</f>
        <v>0</v>
      </c>
      <c r="T297" s="20"/>
      <c r="U297" s="21" t="n">
        <f aca="false">S297-T297</f>
        <v>0</v>
      </c>
      <c r="V297" s="21" t="n">
        <f aca="false">Y297-O297*R297/(1-R297)</f>
        <v>0</v>
      </c>
      <c r="W297" s="21" t="n">
        <f aca="false">Z297-P297*R297/(1-R297)</f>
        <v>0</v>
      </c>
      <c r="X297" s="21" t="n">
        <f aca="false">S297+V297+W297</f>
        <v>0</v>
      </c>
      <c r="Y297" s="20"/>
      <c r="Z297" s="20"/>
      <c r="AA297" s="19" t="n">
        <v>0</v>
      </c>
      <c r="AB297" s="20"/>
      <c r="AC297" s="20"/>
      <c r="AD297" s="24" t="n">
        <f aca="false">IFERROR(AA297/AC297,0)</f>
        <v>0</v>
      </c>
      <c r="AE297" s="25" t="n">
        <f aca="false">K297-Q297-X297</f>
        <v>0</v>
      </c>
      <c r="AF297" s="25" t="n">
        <f aca="false">Q297-AA297</f>
        <v>0</v>
      </c>
      <c r="AG297" s="20"/>
      <c r="AH297" s="26" t="n">
        <f aca="false">IFERROR(AG297/Q297,0)</f>
        <v>0</v>
      </c>
      <c r="AI297" s="27" t="n">
        <v>0</v>
      </c>
      <c r="AJ297" s="26" t="n">
        <f aca="false">IF(AI297&gt;0,AprCoef/SQRT(AI297),0)</f>
        <v>0</v>
      </c>
      <c r="AK297" s="24" t="n">
        <f aca="false">AI297*AJ297/365</f>
        <v>0</v>
      </c>
      <c r="AL297" s="24" t="n">
        <f aca="false">AD297</f>
        <v>0</v>
      </c>
      <c r="AM297" s="24" t="n">
        <f aca="false">AK297-AL297</f>
        <v>0</v>
      </c>
      <c r="AN297" s="28" t="str">
        <f aca="false">IF(A297&gt;=Hip3LaunchDate,"YES","")</f>
        <v/>
      </c>
      <c r="AO297" s="28" t="str">
        <f aca="false">IF(A297&lt;Hip4LaunchDate,"pre-launch","live (zero-fee)")</f>
        <v>pre-launch</v>
      </c>
      <c r="AP297" s="20"/>
      <c r="AQ297" s="20"/>
      <c r="AR297" s="20"/>
    </row>
    <row r="298" customFormat="false" ht="15" hidden="false" customHeight="false" outlineLevel="0" collapsed="false">
      <c r="A298" s="18" t="n">
        <v>45359</v>
      </c>
      <c r="B298" s="19" t="n">
        <v>1755543758.52</v>
      </c>
      <c r="C298" s="19" t="n">
        <v>0</v>
      </c>
      <c r="D298" s="20"/>
      <c r="E298" s="21" t="n">
        <f aca="false">B298+C298</f>
        <v>1755543758.52</v>
      </c>
      <c r="F298" s="21" t="n">
        <f aca="false">E298+D298</f>
        <v>1755543758.52</v>
      </c>
      <c r="G298" s="22" t="n">
        <f aca="false">IFERROR(C298/E298,0)</f>
        <v>0</v>
      </c>
      <c r="H298" s="20"/>
      <c r="I298" s="20"/>
      <c r="J298" s="20"/>
      <c r="K298" s="21" t="n">
        <f aca="false">H298+I298</f>
        <v>0</v>
      </c>
      <c r="L298" s="20"/>
      <c r="M298" s="21" t="n">
        <f aca="false">H298-L298</f>
        <v>0</v>
      </c>
      <c r="N298" s="23" t="n">
        <f aca="false">IFERROR(M298/B298*10000,0)</f>
        <v>0</v>
      </c>
      <c r="O298" s="20"/>
      <c r="P298" s="20"/>
      <c r="Q298" s="21" t="n">
        <f aca="false">O298+P298</f>
        <v>0</v>
      </c>
      <c r="R298" s="22" t="n">
        <f aca="false">IF(A298&lt;HlpChangeDate,HlpSharePre,HlpSharePost)</f>
        <v>0.03</v>
      </c>
      <c r="S298" s="21" t="n">
        <f aca="false">Q298*R298/(1-R298)</f>
        <v>0</v>
      </c>
      <c r="T298" s="20"/>
      <c r="U298" s="21" t="n">
        <f aca="false">S298-T298</f>
        <v>0</v>
      </c>
      <c r="V298" s="21" t="n">
        <f aca="false">Y298-O298*R298/(1-R298)</f>
        <v>0</v>
      </c>
      <c r="W298" s="21" t="n">
        <f aca="false">Z298-P298*R298/(1-R298)</f>
        <v>0</v>
      </c>
      <c r="X298" s="21" t="n">
        <f aca="false">S298+V298+W298</f>
        <v>0</v>
      </c>
      <c r="Y298" s="20"/>
      <c r="Z298" s="20"/>
      <c r="AA298" s="19" t="n">
        <v>0</v>
      </c>
      <c r="AB298" s="20"/>
      <c r="AC298" s="20"/>
      <c r="AD298" s="24" t="n">
        <f aca="false">IFERROR(AA298/AC298,0)</f>
        <v>0</v>
      </c>
      <c r="AE298" s="25" t="n">
        <f aca="false">K298-Q298-X298</f>
        <v>0</v>
      </c>
      <c r="AF298" s="25" t="n">
        <f aca="false">Q298-AA298</f>
        <v>0</v>
      </c>
      <c r="AG298" s="20"/>
      <c r="AH298" s="26" t="n">
        <f aca="false">IFERROR(AG298/Q298,0)</f>
        <v>0</v>
      </c>
      <c r="AI298" s="27" t="n">
        <v>0</v>
      </c>
      <c r="AJ298" s="26" t="n">
        <f aca="false">IF(AI298&gt;0,AprCoef/SQRT(AI298),0)</f>
        <v>0</v>
      </c>
      <c r="AK298" s="24" t="n">
        <f aca="false">AI298*AJ298/365</f>
        <v>0</v>
      </c>
      <c r="AL298" s="24" t="n">
        <f aca="false">AD298</f>
        <v>0</v>
      </c>
      <c r="AM298" s="24" t="n">
        <f aca="false">AK298-AL298</f>
        <v>0</v>
      </c>
      <c r="AN298" s="28" t="str">
        <f aca="false">IF(A298&gt;=Hip3LaunchDate,"YES","")</f>
        <v/>
      </c>
      <c r="AO298" s="28" t="str">
        <f aca="false">IF(A298&lt;Hip4LaunchDate,"pre-launch","live (zero-fee)")</f>
        <v>pre-launch</v>
      </c>
      <c r="AP298" s="20"/>
      <c r="AQ298" s="20"/>
      <c r="AR298" s="20"/>
    </row>
    <row r="299" customFormat="false" ht="15" hidden="false" customHeight="false" outlineLevel="0" collapsed="false">
      <c r="A299" s="18" t="n">
        <v>45360</v>
      </c>
      <c r="B299" s="19" t="n">
        <v>863120543.7</v>
      </c>
      <c r="C299" s="19" t="n">
        <v>0</v>
      </c>
      <c r="D299" s="20"/>
      <c r="E299" s="21" t="n">
        <f aca="false">B299+C299</f>
        <v>863120543.7</v>
      </c>
      <c r="F299" s="21" t="n">
        <f aca="false">E299+D299</f>
        <v>863120543.7</v>
      </c>
      <c r="G299" s="22" t="n">
        <f aca="false">IFERROR(C299/E299,0)</f>
        <v>0</v>
      </c>
      <c r="H299" s="20"/>
      <c r="I299" s="20"/>
      <c r="J299" s="20"/>
      <c r="K299" s="21" t="n">
        <f aca="false">H299+I299</f>
        <v>0</v>
      </c>
      <c r="L299" s="20"/>
      <c r="M299" s="21" t="n">
        <f aca="false">H299-L299</f>
        <v>0</v>
      </c>
      <c r="N299" s="23" t="n">
        <f aca="false">IFERROR(M299/B299*10000,0)</f>
        <v>0</v>
      </c>
      <c r="O299" s="20"/>
      <c r="P299" s="20"/>
      <c r="Q299" s="21" t="n">
        <f aca="false">O299+P299</f>
        <v>0</v>
      </c>
      <c r="R299" s="22" t="n">
        <f aca="false">IF(A299&lt;HlpChangeDate,HlpSharePre,HlpSharePost)</f>
        <v>0.03</v>
      </c>
      <c r="S299" s="21" t="n">
        <f aca="false">Q299*R299/(1-R299)</f>
        <v>0</v>
      </c>
      <c r="T299" s="20"/>
      <c r="U299" s="21" t="n">
        <f aca="false">S299-T299</f>
        <v>0</v>
      </c>
      <c r="V299" s="21" t="n">
        <f aca="false">Y299-O299*R299/(1-R299)</f>
        <v>0</v>
      </c>
      <c r="W299" s="21" t="n">
        <f aca="false">Z299-P299*R299/(1-R299)</f>
        <v>0</v>
      </c>
      <c r="X299" s="21" t="n">
        <f aca="false">S299+V299+W299</f>
        <v>0</v>
      </c>
      <c r="Y299" s="20"/>
      <c r="Z299" s="20"/>
      <c r="AA299" s="19" t="n">
        <v>0</v>
      </c>
      <c r="AB299" s="20"/>
      <c r="AC299" s="20"/>
      <c r="AD299" s="24" t="n">
        <f aca="false">IFERROR(AA299/AC299,0)</f>
        <v>0</v>
      </c>
      <c r="AE299" s="25" t="n">
        <f aca="false">K299-Q299-X299</f>
        <v>0</v>
      </c>
      <c r="AF299" s="25" t="n">
        <f aca="false">Q299-AA299</f>
        <v>0</v>
      </c>
      <c r="AG299" s="20"/>
      <c r="AH299" s="26" t="n">
        <f aca="false">IFERROR(AG299/Q299,0)</f>
        <v>0</v>
      </c>
      <c r="AI299" s="27" t="n">
        <v>0</v>
      </c>
      <c r="AJ299" s="26" t="n">
        <f aca="false">IF(AI299&gt;0,AprCoef/SQRT(AI299),0)</f>
        <v>0</v>
      </c>
      <c r="AK299" s="24" t="n">
        <f aca="false">AI299*AJ299/365</f>
        <v>0</v>
      </c>
      <c r="AL299" s="24" t="n">
        <f aca="false">AD299</f>
        <v>0</v>
      </c>
      <c r="AM299" s="24" t="n">
        <f aca="false">AK299-AL299</f>
        <v>0</v>
      </c>
      <c r="AN299" s="28" t="str">
        <f aca="false">IF(A299&gt;=Hip3LaunchDate,"YES","")</f>
        <v/>
      </c>
      <c r="AO299" s="28" t="str">
        <f aca="false">IF(A299&lt;Hip4LaunchDate,"pre-launch","live (zero-fee)")</f>
        <v>pre-launch</v>
      </c>
      <c r="AP299" s="20"/>
      <c r="AQ299" s="20"/>
      <c r="AR299" s="20"/>
    </row>
    <row r="300" customFormat="false" ht="15" hidden="false" customHeight="false" outlineLevel="0" collapsed="false">
      <c r="A300" s="18" t="n">
        <v>45361</v>
      </c>
      <c r="B300" s="19" t="n">
        <v>1226594895.94</v>
      </c>
      <c r="C300" s="19" t="n">
        <v>0</v>
      </c>
      <c r="D300" s="20"/>
      <c r="E300" s="21" t="n">
        <f aca="false">B300+C300</f>
        <v>1226594895.94</v>
      </c>
      <c r="F300" s="21" t="n">
        <f aca="false">E300+D300</f>
        <v>1226594895.94</v>
      </c>
      <c r="G300" s="22" t="n">
        <f aca="false">IFERROR(C300/E300,0)</f>
        <v>0</v>
      </c>
      <c r="H300" s="20"/>
      <c r="I300" s="20"/>
      <c r="J300" s="20"/>
      <c r="K300" s="21" t="n">
        <f aca="false">H300+I300</f>
        <v>0</v>
      </c>
      <c r="L300" s="20"/>
      <c r="M300" s="21" t="n">
        <f aca="false">H300-L300</f>
        <v>0</v>
      </c>
      <c r="N300" s="23" t="n">
        <f aca="false">IFERROR(M300/B300*10000,0)</f>
        <v>0</v>
      </c>
      <c r="O300" s="20"/>
      <c r="P300" s="20"/>
      <c r="Q300" s="21" t="n">
        <f aca="false">O300+P300</f>
        <v>0</v>
      </c>
      <c r="R300" s="22" t="n">
        <f aca="false">IF(A300&lt;HlpChangeDate,HlpSharePre,HlpSharePost)</f>
        <v>0.03</v>
      </c>
      <c r="S300" s="21" t="n">
        <f aca="false">Q300*R300/(1-R300)</f>
        <v>0</v>
      </c>
      <c r="T300" s="20"/>
      <c r="U300" s="21" t="n">
        <f aca="false">S300-T300</f>
        <v>0</v>
      </c>
      <c r="V300" s="21" t="n">
        <f aca="false">Y300-O300*R300/(1-R300)</f>
        <v>0</v>
      </c>
      <c r="W300" s="21" t="n">
        <f aca="false">Z300-P300*R300/(1-R300)</f>
        <v>0</v>
      </c>
      <c r="X300" s="21" t="n">
        <f aca="false">S300+V300+W300</f>
        <v>0</v>
      </c>
      <c r="Y300" s="20"/>
      <c r="Z300" s="20"/>
      <c r="AA300" s="19" t="n">
        <v>0</v>
      </c>
      <c r="AB300" s="20"/>
      <c r="AC300" s="20"/>
      <c r="AD300" s="24" t="n">
        <f aca="false">IFERROR(AA300/AC300,0)</f>
        <v>0</v>
      </c>
      <c r="AE300" s="25" t="n">
        <f aca="false">K300-Q300-X300</f>
        <v>0</v>
      </c>
      <c r="AF300" s="25" t="n">
        <f aca="false">Q300-AA300</f>
        <v>0</v>
      </c>
      <c r="AG300" s="20"/>
      <c r="AH300" s="26" t="n">
        <f aca="false">IFERROR(AG300/Q300,0)</f>
        <v>0</v>
      </c>
      <c r="AI300" s="27" t="n">
        <v>0</v>
      </c>
      <c r="AJ300" s="26" t="n">
        <f aca="false">IF(AI300&gt;0,AprCoef/SQRT(AI300),0)</f>
        <v>0</v>
      </c>
      <c r="AK300" s="24" t="n">
        <f aca="false">AI300*AJ300/365</f>
        <v>0</v>
      </c>
      <c r="AL300" s="24" t="n">
        <f aca="false">AD300</f>
        <v>0</v>
      </c>
      <c r="AM300" s="24" t="n">
        <f aca="false">AK300-AL300</f>
        <v>0</v>
      </c>
      <c r="AN300" s="28" t="str">
        <f aca="false">IF(A300&gt;=Hip3LaunchDate,"YES","")</f>
        <v/>
      </c>
      <c r="AO300" s="28" t="str">
        <f aca="false">IF(A300&lt;Hip4LaunchDate,"pre-launch","live (zero-fee)")</f>
        <v>pre-launch</v>
      </c>
      <c r="AP300" s="20"/>
      <c r="AQ300" s="20"/>
      <c r="AR300" s="20"/>
    </row>
    <row r="301" customFormat="false" ht="15" hidden="false" customHeight="false" outlineLevel="0" collapsed="false">
      <c r="A301" s="18" t="n">
        <v>45362</v>
      </c>
      <c r="B301" s="19" t="n">
        <v>1741075759.17</v>
      </c>
      <c r="C301" s="19" t="n">
        <v>0</v>
      </c>
      <c r="D301" s="20"/>
      <c r="E301" s="21" t="n">
        <f aca="false">B301+C301</f>
        <v>1741075759.17</v>
      </c>
      <c r="F301" s="21" t="n">
        <f aca="false">E301+D301</f>
        <v>1741075759.17</v>
      </c>
      <c r="G301" s="22" t="n">
        <f aca="false">IFERROR(C301/E301,0)</f>
        <v>0</v>
      </c>
      <c r="H301" s="20"/>
      <c r="I301" s="20"/>
      <c r="J301" s="20"/>
      <c r="K301" s="21" t="n">
        <f aca="false">H301+I301</f>
        <v>0</v>
      </c>
      <c r="L301" s="20"/>
      <c r="M301" s="21" t="n">
        <f aca="false">H301-L301</f>
        <v>0</v>
      </c>
      <c r="N301" s="23" t="n">
        <f aca="false">IFERROR(M301/B301*10000,0)</f>
        <v>0</v>
      </c>
      <c r="O301" s="20"/>
      <c r="P301" s="20"/>
      <c r="Q301" s="21" t="n">
        <f aca="false">O301+P301</f>
        <v>0</v>
      </c>
      <c r="R301" s="22" t="n">
        <f aca="false">IF(A301&lt;HlpChangeDate,HlpSharePre,HlpSharePost)</f>
        <v>0.03</v>
      </c>
      <c r="S301" s="21" t="n">
        <f aca="false">Q301*R301/(1-R301)</f>
        <v>0</v>
      </c>
      <c r="T301" s="20"/>
      <c r="U301" s="21" t="n">
        <f aca="false">S301-T301</f>
        <v>0</v>
      </c>
      <c r="V301" s="21" t="n">
        <f aca="false">Y301-O301*R301/(1-R301)</f>
        <v>0</v>
      </c>
      <c r="W301" s="21" t="n">
        <f aca="false">Z301-P301*R301/(1-R301)</f>
        <v>0</v>
      </c>
      <c r="X301" s="21" t="n">
        <f aca="false">S301+V301+W301</f>
        <v>0</v>
      </c>
      <c r="Y301" s="20"/>
      <c r="Z301" s="20"/>
      <c r="AA301" s="19" t="n">
        <v>0</v>
      </c>
      <c r="AB301" s="20"/>
      <c r="AC301" s="20"/>
      <c r="AD301" s="24" t="n">
        <f aca="false">IFERROR(AA301/AC301,0)</f>
        <v>0</v>
      </c>
      <c r="AE301" s="25" t="n">
        <f aca="false">K301-Q301-X301</f>
        <v>0</v>
      </c>
      <c r="AF301" s="25" t="n">
        <f aca="false">Q301-AA301</f>
        <v>0</v>
      </c>
      <c r="AG301" s="20"/>
      <c r="AH301" s="26" t="n">
        <f aca="false">IFERROR(AG301/Q301,0)</f>
        <v>0</v>
      </c>
      <c r="AI301" s="27" t="n">
        <v>0</v>
      </c>
      <c r="AJ301" s="26" t="n">
        <f aca="false">IF(AI301&gt;0,AprCoef/SQRT(AI301),0)</f>
        <v>0</v>
      </c>
      <c r="AK301" s="24" t="n">
        <f aca="false">AI301*AJ301/365</f>
        <v>0</v>
      </c>
      <c r="AL301" s="24" t="n">
        <f aca="false">AD301</f>
        <v>0</v>
      </c>
      <c r="AM301" s="24" t="n">
        <f aca="false">AK301-AL301</f>
        <v>0</v>
      </c>
      <c r="AN301" s="28" t="str">
        <f aca="false">IF(A301&gt;=Hip3LaunchDate,"YES","")</f>
        <v/>
      </c>
      <c r="AO301" s="28" t="str">
        <f aca="false">IF(A301&lt;Hip4LaunchDate,"pre-launch","live (zero-fee)")</f>
        <v>pre-launch</v>
      </c>
      <c r="AP301" s="20"/>
      <c r="AQ301" s="20"/>
      <c r="AR301" s="20"/>
    </row>
    <row r="302" customFormat="false" ht="15" hidden="false" customHeight="false" outlineLevel="0" collapsed="false">
      <c r="A302" s="18" t="n">
        <v>45363</v>
      </c>
      <c r="B302" s="19" t="n">
        <v>1744989029.04</v>
      </c>
      <c r="C302" s="19" t="n">
        <v>0</v>
      </c>
      <c r="D302" s="20"/>
      <c r="E302" s="21" t="n">
        <f aca="false">B302+C302</f>
        <v>1744989029.04</v>
      </c>
      <c r="F302" s="21" t="n">
        <f aca="false">E302+D302</f>
        <v>1744989029.04</v>
      </c>
      <c r="G302" s="22" t="n">
        <f aca="false">IFERROR(C302/E302,0)</f>
        <v>0</v>
      </c>
      <c r="H302" s="20"/>
      <c r="I302" s="20"/>
      <c r="J302" s="20"/>
      <c r="K302" s="21" t="n">
        <f aca="false">H302+I302</f>
        <v>0</v>
      </c>
      <c r="L302" s="20"/>
      <c r="M302" s="21" t="n">
        <f aca="false">H302-L302</f>
        <v>0</v>
      </c>
      <c r="N302" s="23" t="n">
        <f aca="false">IFERROR(M302/B302*10000,0)</f>
        <v>0</v>
      </c>
      <c r="O302" s="20"/>
      <c r="P302" s="20"/>
      <c r="Q302" s="21" t="n">
        <f aca="false">O302+P302</f>
        <v>0</v>
      </c>
      <c r="R302" s="22" t="n">
        <f aca="false">IF(A302&lt;HlpChangeDate,HlpSharePre,HlpSharePost)</f>
        <v>0.03</v>
      </c>
      <c r="S302" s="21" t="n">
        <f aca="false">Q302*R302/(1-R302)</f>
        <v>0</v>
      </c>
      <c r="T302" s="20"/>
      <c r="U302" s="21" t="n">
        <f aca="false">S302-T302</f>
        <v>0</v>
      </c>
      <c r="V302" s="21" t="n">
        <f aca="false">Y302-O302*R302/(1-R302)</f>
        <v>0</v>
      </c>
      <c r="W302" s="21" t="n">
        <f aca="false">Z302-P302*R302/(1-R302)</f>
        <v>0</v>
      </c>
      <c r="X302" s="21" t="n">
        <f aca="false">S302+V302+W302</f>
        <v>0</v>
      </c>
      <c r="Y302" s="20"/>
      <c r="Z302" s="20"/>
      <c r="AA302" s="19" t="n">
        <v>0</v>
      </c>
      <c r="AB302" s="20"/>
      <c r="AC302" s="20"/>
      <c r="AD302" s="24" t="n">
        <f aca="false">IFERROR(AA302/AC302,0)</f>
        <v>0</v>
      </c>
      <c r="AE302" s="25" t="n">
        <f aca="false">K302-Q302-X302</f>
        <v>0</v>
      </c>
      <c r="AF302" s="25" t="n">
        <f aca="false">Q302-AA302</f>
        <v>0</v>
      </c>
      <c r="AG302" s="20"/>
      <c r="AH302" s="26" t="n">
        <f aca="false">IFERROR(AG302/Q302,0)</f>
        <v>0</v>
      </c>
      <c r="AI302" s="27" t="n">
        <v>0</v>
      </c>
      <c r="AJ302" s="26" t="n">
        <f aca="false">IF(AI302&gt;0,AprCoef/SQRT(AI302),0)</f>
        <v>0</v>
      </c>
      <c r="AK302" s="24" t="n">
        <f aca="false">AI302*AJ302/365</f>
        <v>0</v>
      </c>
      <c r="AL302" s="24" t="n">
        <f aca="false">AD302</f>
        <v>0</v>
      </c>
      <c r="AM302" s="24" t="n">
        <f aca="false">AK302-AL302</f>
        <v>0</v>
      </c>
      <c r="AN302" s="28" t="str">
        <f aca="false">IF(A302&gt;=Hip3LaunchDate,"YES","")</f>
        <v/>
      </c>
      <c r="AO302" s="28" t="str">
        <f aca="false">IF(A302&lt;Hip4LaunchDate,"pre-launch","live (zero-fee)")</f>
        <v>pre-launch</v>
      </c>
      <c r="AP302" s="20"/>
      <c r="AQ302" s="20"/>
      <c r="AR302" s="20"/>
    </row>
    <row r="303" customFormat="false" ht="15" hidden="false" customHeight="false" outlineLevel="0" collapsed="false">
      <c r="A303" s="18" t="n">
        <v>45364</v>
      </c>
      <c r="B303" s="19" t="n">
        <v>1263731669.67</v>
      </c>
      <c r="C303" s="19" t="n">
        <v>0</v>
      </c>
      <c r="D303" s="20"/>
      <c r="E303" s="21" t="n">
        <f aca="false">B303+C303</f>
        <v>1263731669.67</v>
      </c>
      <c r="F303" s="21" t="n">
        <f aca="false">E303+D303</f>
        <v>1263731669.67</v>
      </c>
      <c r="G303" s="22" t="n">
        <f aca="false">IFERROR(C303/E303,0)</f>
        <v>0</v>
      </c>
      <c r="H303" s="20"/>
      <c r="I303" s="20"/>
      <c r="J303" s="20"/>
      <c r="K303" s="21" t="n">
        <f aca="false">H303+I303</f>
        <v>0</v>
      </c>
      <c r="L303" s="20"/>
      <c r="M303" s="21" t="n">
        <f aca="false">H303-L303</f>
        <v>0</v>
      </c>
      <c r="N303" s="23" t="n">
        <f aca="false">IFERROR(M303/B303*10000,0)</f>
        <v>0</v>
      </c>
      <c r="O303" s="20"/>
      <c r="P303" s="20"/>
      <c r="Q303" s="21" t="n">
        <f aca="false">O303+P303</f>
        <v>0</v>
      </c>
      <c r="R303" s="22" t="n">
        <f aca="false">IF(A303&lt;HlpChangeDate,HlpSharePre,HlpSharePost)</f>
        <v>0.03</v>
      </c>
      <c r="S303" s="21" t="n">
        <f aca="false">Q303*R303/(1-R303)</f>
        <v>0</v>
      </c>
      <c r="T303" s="20"/>
      <c r="U303" s="21" t="n">
        <f aca="false">S303-T303</f>
        <v>0</v>
      </c>
      <c r="V303" s="21" t="n">
        <f aca="false">Y303-O303*R303/(1-R303)</f>
        <v>0</v>
      </c>
      <c r="W303" s="21" t="n">
        <f aca="false">Z303-P303*R303/(1-R303)</f>
        <v>0</v>
      </c>
      <c r="X303" s="21" t="n">
        <f aca="false">S303+V303+W303</f>
        <v>0</v>
      </c>
      <c r="Y303" s="20"/>
      <c r="Z303" s="20"/>
      <c r="AA303" s="19" t="n">
        <v>0</v>
      </c>
      <c r="AB303" s="20"/>
      <c r="AC303" s="20"/>
      <c r="AD303" s="24" t="n">
        <f aca="false">IFERROR(AA303/AC303,0)</f>
        <v>0</v>
      </c>
      <c r="AE303" s="25" t="n">
        <f aca="false">K303-Q303-X303</f>
        <v>0</v>
      </c>
      <c r="AF303" s="25" t="n">
        <f aca="false">Q303-AA303</f>
        <v>0</v>
      </c>
      <c r="AG303" s="20"/>
      <c r="AH303" s="26" t="n">
        <f aca="false">IFERROR(AG303/Q303,0)</f>
        <v>0</v>
      </c>
      <c r="AI303" s="27" t="n">
        <v>0</v>
      </c>
      <c r="AJ303" s="26" t="n">
        <f aca="false">IF(AI303&gt;0,AprCoef/SQRT(AI303),0)</f>
        <v>0</v>
      </c>
      <c r="AK303" s="24" t="n">
        <f aca="false">AI303*AJ303/365</f>
        <v>0</v>
      </c>
      <c r="AL303" s="24" t="n">
        <f aca="false">AD303</f>
        <v>0</v>
      </c>
      <c r="AM303" s="24" t="n">
        <f aca="false">AK303-AL303</f>
        <v>0</v>
      </c>
      <c r="AN303" s="28" t="str">
        <f aca="false">IF(A303&gt;=Hip3LaunchDate,"YES","")</f>
        <v/>
      </c>
      <c r="AO303" s="28" t="str">
        <f aca="false">IF(A303&lt;Hip4LaunchDate,"pre-launch","live (zero-fee)")</f>
        <v>pre-launch</v>
      </c>
      <c r="AP303" s="20"/>
      <c r="AQ303" s="20"/>
      <c r="AR303" s="20"/>
    </row>
    <row r="304" customFormat="false" ht="15" hidden="false" customHeight="false" outlineLevel="0" collapsed="false">
      <c r="A304" s="18" t="n">
        <v>45365</v>
      </c>
      <c r="B304" s="19" t="n">
        <v>2023526891.24</v>
      </c>
      <c r="C304" s="19" t="n">
        <v>0</v>
      </c>
      <c r="D304" s="20"/>
      <c r="E304" s="21" t="n">
        <f aca="false">B304+C304</f>
        <v>2023526891.24</v>
      </c>
      <c r="F304" s="21" t="n">
        <f aca="false">E304+D304</f>
        <v>2023526891.24</v>
      </c>
      <c r="G304" s="22" t="n">
        <f aca="false">IFERROR(C304/E304,0)</f>
        <v>0</v>
      </c>
      <c r="H304" s="20"/>
      <c r="I304" s="20"/>
      <c r="J304" s="20"/>
      <c r="K304" s="21" t="n">
        <f aca="false">H304+I304</f>
        <v>0</v>
      </c>
      <c r="L304" s="20"/>
      <c r="M304" s="21" t="n">
        <f aca="false">H304-L304</f>
        <v>0</v>
      </c>
      <c r="N304" s="23" t="n">
        <f aca="false">IFERROR(M304/B304*10000,0)</f>
        <v>0</v>
      </c>
      <c r="O304" s="20"/>
      <c r="P304" s="20"/>
      <c r="Q304" s="21" t="n">
        <f aca="false">O304+P304</f>
        <v>0</v>
      </c>
      <c r="R304" s="22" t="n">
        <f aca="false">IF(A304&lt;HlpChangeDate,HlpSharePre,HlpSharePost)</f>
        <v>0.03</v>
      </c>
      <c r="S304" s="21" t="n">
        <f aca="false">Q304*R304/(1-R304)</f>
        <v>0</v>
      </c>
      <c r="T304" s="20"/>
      <c r="U304" s="21" t="n">
        <f aca="false">S304-T304</f>
        <v>0</v>
      </c>
      <c r="V304" s="21" t="n">
        <f aca="false">Y304-O304*R304/(1-R304)</f>
        <v>0</v>
      </c>
      <c r="W304" s="21" t="n">
        <f aca="false">Z304-P304*R304/(1-R304)</f>
        <v>0</v>
      </c>
      <c r="X304" s="21" t="n">
        <f aca="false">S304+V304+W304</f>
        <v>0</v>
      </c>
      <c r="Y304" s="20"/>
      <c r="Z304" s="20"/>
      <c r="AA304" s="19" t="n">
        <v>0</v>
      </c>
      <c r="AB304" s="20"/>
      <c r="AC304" s="20"/>
      <c r="AD304" s="24" t="n">
        <f aca="false">IFERROR(AA304/AC304,0)</f>
        <v>0</v>
      </c>
      <c r="AE304" s="25" t="n">
        <f aca="false">K304-Q304-X304</f>
        <v>0</v>
      </c>
      <c r="AF304" s="25" t="n">
        <f aca="false">Q304-AA304</f>
        <v>0</v>
      </c>
      <c r="AG304" s="20"/>
      <c r="AH304" s="26" t="n">
        <f aca="false">IFERROR(AG304/Q304,0)</f>
        <v>0</v>
      </c>
      <c r="AI304" s="27" t="n">
        <v>0</v>
      </c>
      <c r="AJ304" s="26" t="n">
        <f aca="false">IF(AI304&gt;0,AprCoef/SQRT(AI304),0)</f>
        <v>0</v>
      </c>
      <c r="AK304" s="24" t="n">
        <f aca="false">AI304*AJ304/365</f>
        <v>0</v>
      </c>
      <c r="AL304" s="24" t="n">
        <f aca="false">AD304</f>
        <v>0</v>
      </c>
      <c r="AM304" s="24" t="n">
        <f aca="false">AK304-AL304</f>
        <v>0</v>
      </c>
      <c r="AN304" s="28" t="str">
        <f aca="false">IF(A304&gt;=Hip3LaunchDate,"YES","")</f>
        <v/>
      </c>
      <c r="AO304" s="28" t="str">
        <f aca="false">IF(A304&lt;Hip4LaunchDate,"pre-launch","live (zero-fee)")</f>
        <v>pre-launch</v>
      </c>
      <c r="AP304" s="20"/>
      <c r="AQ304" s="20"/>
      <c r="AR304" s="20"/>
    </row>
    <row r="305" customFormat="false" ht="15" hidden="false" customHeight="false" outlineLevel="0" collapsed="false">
      <c r="A305" s="18" t="n">
        <v>45366</v>
      </c>
      <c r="B305" s="19" t="n">
        <v>2663546161.24</v>
      </c>
      <c r="C305" s="19" t="n">
        <v>0</v>
      </c>
      <c r="D305" s="20"/>
      <c r="E305" s="21" t="n">
        <f aca="false">B305+C305</f>
        <v>2663546161.24</v>
      </c>
      <c r="F305" s="21" t="n">
        <f aca="false">E305+D305</f>
        <v>2663546161.24</v>
      </c>
      <c r="G305" s="22" t="n">
        <f aca="false">IFERROR(C305/E305,0)</f>
        <v>0</v>
      </c>
      <c r="H305" s="20"/>
      <c r="I305" s="20"/>
      <c r="J305" s="20"/>
      <c r="K305" s="21" t="n">
        <f aca="false">H305+I305</f>
        <v>0</v>
      </c>
      <c r="L305" s="20"/>
      <c r="M305" s="21" t="n">
        <f aca="false">H305-L305</f>
        <v>0</v>
      </c>
      <c r="N305" s="23" t="n">
        <f aca="false">IFERROR(M305/B305*10000,0)</f>
        <v>0</v>
      </c>
      <c r="O305" s="20"/>
      <c r="P305" s="20"/>
      <c r="Q305" s="21" t="n">
        <f aca="false">O305+P305</f>
        <v>0</v>
      </c>
      <c r="R305" s="22" t="n">
        <f aca="false">IF(A305&lt;HlpChangeDate,HlpSharePre,HlpSharePost)</f>
        <v>0.03</v>
      </c>
      <c r="S305" s="21" t="n">
        <f aca="false">Q305*R305/(1-R305)</f>
        <v>0</v>
      </c>
      <c r="T305" s="20"/>
      <c r="U305" s="21" t="n">
        <f aca="false">S305-T305</f>
        <v>0</v>
      </c>
      <c r="V305" s="21" t="n">
        <f aca="false">Y305-O305*R305/(1-R305)</f>
        <v>0</v>
      </c>
      <c r="W305" s="21" t="n">
        <f aca="false">Z305-P305*R305/(1-R305)</f>
        <v>0</v>
      </c>
      <c r="X305" s="21" t="n">
        <f aca="false">S305+V305+W305</f>
        <v>0</v>
      </c>
      <c r="Y305" s="20"/>
      <c r="Z305" s="20"/>
      <c r="AA305" s="19" t="n">
        <v>0</v>
      </c>
      <c r="AB305" s="20"/>
      <c r="AC305" s="20"/>
      <c r="AD305" s="24" t="n">
        <f aca="false">IFERROR(AA305/AC305,0)</f>
        <v>0</v>
      </c>
      <c r="AE305" s="25" t="n">
        <f aca="false">K305-Q305-X305</f>
        <v>0</v>
      </c>
      <c r="AF305" s="25" t="n">
        <f aca="false">Q305-AA305</f>
        <v>0</v>
      </c>
      <c r="AG305" s="20"/>
      <c r="AH305" s="26" t="n">
        <f aca="false">IFERROR(AG305/Q305,0)</f>
        <v>0</v>
      </c>
      <c r="AI305" s="27" t="n">
        <v>0</v>
      </c>
      <c r="AJ305" s="26" t="n">
        <f aca="false">IF(AI305&gt;0,AprCoef/SQRT(AI305),0)</f>
        <v>0</v>
      </c>
      <c r="AK305" s="24" t="n">
        <f aca="false">AI305*AJ305/365</f>
        <v>0</v>
      </c>
      <c r="AL305" s="24" t="n">
        <f aca="false">AD305</f>
        <v>0</v>
      </c>
      <c r="AM305" s="24" t="n">
        <f aca="false">AK305-AL305</f>
        <v>0</v>
      </c>
      <c r="AN305" s="28" t="str">
        <f aca="false">IF(A305&gt;=Hip3LaunchDate,"YES","")</f>
        <v/>
      </c>
      <c r="AO305" s="28" t="str">
        <f aca="false">IF(A305&lt;Hip4LaunchDate,"pre-launch","live (zero-fee)")</f>
        <v>pre-launch</v>
      </c>
      <c r="AP305" s="20"/>
      <c r="AQ305" s="20"/>
      <c r="AR305" s="20"/>
    </row>
    <row r="306" customFormat="false" ht="15" hidden="false" customHeight="false" outlineLevel="0" collapsed="false">
      <c r="A306" s="18" t="n">
        <v>45367</v>
      </c>
      <c r="B306" s="19" t="n">
        <v>1827728980.01</v>
      </c>
      <c r="C306" s="19" t="n">
        <v>0</v>
      </c>
      <c r="D306" s="20"/>
      <c r="E306" s="21" t="n">
        <f aca="false">B306+C306</f>
        <v>1827728980.01</v>
      </c>
      <c r="F306" s="21" t="n">
        <f aca="false">E306+D306</f>
        <v>1827728980.01</v>
      </c>
      <c r="G306" s="22" t="n">
        <f aca="false">IFERROR(C306/E306,0)</f>
        <v>0</v>
      </c>
      <c r="H306" s="20"/>
      <c r="I306" s="20"/>
      <c r="J306" s="20"/>
      <c r="K306" s="21" t="n">
        <f aca="false">H306+I306</f>
        <v>0</v>
      </c>
      <c r="L306" s="20"/>
      <c r="M306" s="21" t="n">
        <f aca="false">H306-L306</f>
        <v>0</v>
      </c>
      <c r="N306" s="23" t="n">
        <f aca="false">IFERROR(M306/B306*10000,0)</f>
        <v>0</v>
      </c>
      <c r="O306" s="20"/>
      <c r="P306" s="20"/>
      <c r="Q306" s="21" t="n">
        <f aca="false">O306+P306</f>
        <v>0</v>
      </c>
      <c r="R306" s="22" t="n">
        <f aca="false">IF(A306&lt;HlpChangeDate,HlpSharePre,HlpSharePost)</f>
        <v>0.03</v>
      </c>
      <c r="S306" s="21" t="n">
        <f aca="false">Q306*R306/(1-R306)</f>
        <v>0</v>
      </c>
      <c r="T306" s="20"/>
      <c r="U306" s="21" t="n">
        <f aca="false">S306-T306</f>
        <v>0</v>
      </c>
      <c r="V306" s="21" t="n">
        <f aca="false">Y306-O306*R306/(1-R306)</f>
        <v>0</v>
      </c>
      <c r="W306" s="21" t="n">
        <f aca="false">Z306-P306*R306/(1-R306)</f>
        <v>0</v>
      </c>
      <c r="X306" s="21" t="n">
        <f aca="false">S306+V306+W306</f>
        <v>0</v>
      </c>
      <c r="Y306" s="20"/>
      <c r="Z306" s="20"/>
      <c r="AA306" s="19" t="n">
        <v>0</v>
      </c>
      <c r="AB306" s="20"/>
      <c r="AC306" s="20"/>
      <c r="AD306" s="24" t="n">
        <f aca="false">IFERROR(AA306/AC306,0)</f>
        <v>0</v>
      </c>
      <c r="AE306" s="25" t="n">
        <f aca="false">K306-Q306-X306</f>
        <v>0</v>
      </c>
      <c r="AF306" s="25" t="n">
        <f aca="false">Q306-AA306</f>
        <v>0</v>
      </c>
      <c r="AG306" s="20"/>
      <c r="AH306" s="26" t="n">
        <f aca="false">IFERROR(AG306/Q306,0)</f>
        <v>0</v>
      </c>
      <c r="AI306" s="27" t="n">
        <v>0</v>
      </c>
      <c r="AJ306" s="26" t="n">
        <f aca="false">IF(AI306&gt;0,AprCoef/SQRT(AI306),0)</f>
        <v>0</v>
      </c>
      <c r="AK306" s="24" t="n">
        <f aca="false">AI306*AJ306/365</f>
        <v>0</v>
      </c>
      <c r="AL306" s="24" t="n">
        <f aca="false">AD306</f>
        <v>0</v>
      </c>
      <c r="AM306" s="24" t="n">
        <f aca="false">AK306-AL306</f>
        <v>0</v>
      </c>
      <c r="AN306" s="28" t="str">
        <f aca="false">IF(A306&gt;=Hip3LaunchDate,"YES","")</f>
        <v/>
      </c>
      <c r="AO306" s="28" t="str">
        <f aca="false">IF(A306&lt;Hip4LaunchDate,"pre-launch","live (zero-fee)")</f>
        <v>pre-launch</v>
      </c>
      <c r="AP306" s="20"/>
      <c r="AQ306" s="20"/>
      <c r="AR306" s="20"/>
    </row>
    <row r="307" customFormat="false" ht="15" hidden="false" customHeight="false" outlineLevel="0" collapsed="false">
      <c r="A307" s="18" t="n">
        <v>45368</v>
      </c>
      <c r="B307" s="19" t="n">
        <v>1554774346.28</v>
      </c>
      <c r="C307" s="19" t="n">
        <v>0</v>
      </c>
      <c r="D307" s="20"/>
      <c r="E307" s="21" t="n">
        <f aca="false">B307+C307</f>
        <v>1554774346.28</v>
      </c>
      <c r="F307" s="21" t="n">
        <f aca="false">E307+D307</f>
        <v>1554774346.28</v>
      </c>
      <c r="G307" s="22" t="n">
        <f aca="false">IFERROR(C307/E307,0)</f>
        <v>0</v>
      </c>
      <c r="H307" s="20"/>
      <c r="I307" s="20"/>
      <c r="J307" s="20"/>
      <c r="K307" s="21" t="n">
        <f aca="false">H307+I307</f>
        <v>0</v>
      </c>
      <c r="L307" s="20"/>
      <c r="M307" s="21" t="n">
        <f aca="false">H307-L307</f>
        <v>0</v>
      </c>
      <c r="N307" s="23" t="n">
        <f aca="false">IFERROR(M307/B307*10000,0)</f>
        <v>0</v>
      </c>
      <c r="O307" s="20"/>
      <c r="P307" s="20"/>
      <c r="Q307" s="21" t="n">
        <f aca="false">O307+P307</f>
        <v>0</v>
      </c>
      <c r="R307" s="22" t="n">
        <f aca="false">IF(A307&lt;HlpChangeDate,HlpSharePre,HlpSharePost)</f>
        <v>0.03</v>
      </c>
      <c r="S307" s="21" t="n">
        <f aca="false">Q307*R307/(1-R307)</f>
        <v>0</v>
      </c>
      <c r="T307" s="20"/>
      <c r="U307" s="21" t="n">
        <f aca="false">S307-T307</f>
        <v>0</v>
      </c>
      <c r="V307" s="21" t="n">
        <f aca="false">Y307-O307*R307/(1-R307)</f>
        <v>0</v>
      </c>
      <c r="W307" s="21" t="n">
        <f aca="false">Z307-P307*R307/(1-R307)</f>
        <v>0</v>
      </c>
      <c r="X307" s="21" t="n">
        <f aca="false">S307+V307+W307</f>
        <v>0</v>
      </c>
      <c r="Y307" s="20"/>
      <c r="Z307" s="20"/>
      <c r="AA307" s="19" t="n">
        <v>0</v>
      </c>
      <c r="AB307" s="20"/>
      <c r="AC307" s="20"/>
      <c r="AD307" s="24" t="n">
        <f aca="false">IFERROR(AA307/AC307,0)</f>
        <v>0</v>
      </c>
      <c r="AE307" s="25" t="n">
        <f aca="false">K307-Q307-X307</f>
        <v>0</v>
      </c>
      <c r="AF307" s="25" t="n">
        <f aca="false">Q307-AA307</f>
        <v>0</v>
      </c>
      <c r="AG307" s="20"/>
      <c r="AH307" s="26" t="n">
        <f aca="false">IFERROR(AG307/Q307,0)</f>
        <v>0</v>
      </c>
      <c r="AI307" s="27" t="n">
        <v>0</v>
      </c>
      <c r="AJ307" s="26" t="n">
        <f aca="false">IF(AI307&gt;0,AprCoef/SQRT(AI307),0)</f>
        <v>0</v>
      </c>
      <c r="AK307" s="24" t="n">
        <f aca="false">AI307*AJ307/365</f>
        <v>0</v>
      </c>
      <c r="AL307" s="24" t="n">
        <f aca="false">AD307</f>
        <v>0</v>
      </c>
      <c r="AM307" s="24" t="n">
        <f aca="false">AK307-AL307</f>
        <v>0</v>
      </c>
      <c r="AN307" s="28" t="str">
        <f aca="false">IF(A307&gt;=Hip3LaunchDate,"YES","")</f>
        <v/>
      </c>
      <c r="AO307" s="28" t="str">
        <f aca="false">IF(A307&lt;Hip4LaunchDate,"pre-launch","live (zero-fee)")</f>
        <v>pre-launch</v>
      </c>
      <c r="AP307" s="20"/>
      <c r="AQ307" s="20"/>
      <c r="AR307" s="20"/>
    </row>
    <row r="308" customFormat="false" ht="15" hidden="false" customHeight="false" outlineLevel="0" collapsed="false">
      <c r="A308" s="18" t="n">
        <v>45369</v>
      </c>
      <c r="B308" s="19" t="n">
        <v>1701626152.54</v>
      </c>
      <c r="C308" s="19" t="n">
        <v>0</v>
      </c>
      <c r="D308" s="20"/>
      <c r="E308" s="21" t="n">
        <f aca="false">B308+C308</f>
        <v>1701626152.54</v>
      </c>
      <c r="F308" s="21" t="n">
        <f aca="false">E308+D308</f>
        <v>1701626152.54</v>
      </c>
      <c r="G308" s="22" t="n">
        <f aca="false">IFERROR(C308/E308,0)</f>
        <v>0</v>
      </c>
      <c r="H308" s="20"/>
      <c r="I308" s="20"/>
      <c r="J308" s="20"/>
      <c r="K308" s="21" t="n">
        <f aca="false">H308+I308</f>
        <v>0</v>
      </c>
      <c r="L308" s="20"/>
      <c r="M308" s="21" t="n">
        <f aca="false">H308-L308</f>
        <v>0</v>
      </c>
      <c r="N308" s="23" t="n">
        <f aca="false">IFERROR(M308/B308*10000,0)</f>
        <v>0</v>
      </c>
      <c r="O308" s="20"/>
      <c r="P308" s="20"/>
      <c r="Q308" s="21" t="n">
        <f aca="false">O308+P308</f>
        <v>0</v>
      </c>
      <c r="R308" s="22" t="n">
        <f aca="false">IF(A308&lt;HlpChangeDate,HlpSharePre,HlpSharePost)</f>
        <v>0.03</v>
      </c>
      <c r="S308" s="21" t="n">
        <f aca="false">Q308*R308/(1-R308)</f>
        <v>0</v>
      </c>
      <c r="T308" s="20"/>
      <c r="U308" s="21" t="n">
        <f aca="false">S308-T308</f>
        <v>0</v>
      </c>
      <c r="V308" s="21" t="n">
        <f aca="false">Y308-O308*R308/(1-R308)</f>
        <v>0</v>
      </c>
      <c r="W308" s="21" t="n">
        <f aca="false">Z308-P308*R308/(1-R308)</f>
        <v>0</v>
      </c>
      <c r="X308" s="21" t="n">
        <f aca="false">S308+V308+W308</f>
        <v>0</v>
      </c>
      <c r="Y308" s="20"/>
      <c r="Z308" s="20"/>
      <c r="AA308" s="19" t="n">
        <v>0</v>
      </c>
      <c r="AB308" s="20"/>
      <c r="AC308" s="20"/>
      <c r="AD308" s="24" t="n">
        <f aca="false">IFERROR(AA308/AC308,0)</f>
        <v>0</v>
      </c>
      <c r="AE308" s="25" t="n">
        <f aca="false">K308-Q308-X308</f>
        <v>0</v>
      </c>
      <c r="AF308" s="25" t="n">
        <f aca="false">Q308-AA308</f>
        <v>0</v>
      </c>
      <c r="AG308" s="20"/>
      <c r="AH308" s="26" t="n">
        <f aca="false">IFERROR(AG308/Q308,0)</f>
        <v>0</v>
      </c>
      <c r="AI308" s="27" t="n">
        <v>0</v>
      </c>
      <c r="AJ308" s="26" t="n">
        <f aca="false">IF(AI308&gt;0,AprCoef/SQRT(AI308),0)</f>
        <v>0</v>
      </c>
      <c r="AK308" s="24" t="n">
        <f aca="false">AI308*AJ308/365</f>
        <v>0</v>
      </c>
      <c r="AL308" s="24" t="n">
        <f aca="false">AD308</f>
        <v>0</v>
      </c>
      <c r="AM308" s="24" t="n">
        <f aca="false">AK308-AL308</f>
        <v>0</v>
      </c>
      <c r="AN308" s="28" t="str">
        <f aca="false">IF(A308&gt;=Hip3LaunchDate,"YES","")</f>
        <v/>
      </c>
      <c r="AO308" s="28" t="str">
        <f aca="false">IF(A308&lt;Hip4LaunchDate,"pre-launch","live (zero-fee)")</f>
        <v>pre-launch</v>
      </c>
      <c r="AP308" s="20"/>
      <c r="AQ308" s="20"/>
      <c r="AR308" s="20"/>
    </row>
    <row r="309" customFormat="false" ht="15" hidden="false" customHeight="false" outlineLevel="0" collapsed="false">
      <c r="A309" s="18" t="n">
        <v>45370</v>
      </c>
      <c r="B309" s="19" t="n">
        <v>3099319939.17</v>
      </c>
      <c r="C309" s="19" t="n">
        <v>0</v>
      </c>
      <c r="D309" s="20"/>
      <c r="E309" s="21" t="n">
        <f aca="false">B309+C309</f>
        <v>3099319939.17</v>
      </c>
      <c r="F309" s="21" t="n">
        <f aca="false">E309+D309</f>
        <v>3099319939.17</v>
      </c>
      <c r="G309" s="22" t="n">
        <f aca="false">IFERROR(C309/E309,0)</f>
        <v>0</v>
      </c>
      <c r="H309" s="20"/>
      <c r="I309" s="20"/>
      <c r="J309" s="20"/>
      <c r="K309" s="21" t="n">
        <f aca="false">H309+I309</f>
        <v>0</v>
      </c>
      <c r="L309" s="20"/>
      <c r="M309" s="21" t="n">
        <f aca="false">H309-L309</f>
        <v>0</v>
      </c>
      <c r="N309" s="23" t="n">
        <f aca="false">IFERROR(M309/B309*10000,0)</f>
        <v>0</v>
      </c>
      <c r="O309" s="20"/>
      <c r="P309" s="20"/>
      <c r="Q309" s="21" t="n">
        <f aca="false">O309+P309</f>
        <v>0</v>
      </c>
      <c r="R309" s="22" t="n">
        <f aca="false">IF(A309&lt;HlpChangeDate,HlpSharePre,HlpSharePost)</f>
        <v>0.03</v>
      </c>
      <c r="S309" s="21" t="n">
        <f aca="false">Q309*R309/(1-R309)</f>
        <v>0</v>
      </c>
      <c r="T309" s="20"/>
      <c r="U309" s="21" t="n">
        <f aca="false">S309-T309</f>
        <v>0</v>
      </c>
      <c r="V309" s="21" t="n">
        <f aca="false">Y309-O309*R309/(1-R309)</f>
        <v>0</v>
      </c>
      <c r="W309" s="21" t="n">
        <f aca="false">Z309-P309*R309/(1-R309)</f>
        <v>0</v>
      </c>
      <c r="X309" s="21" t="n">
        <f aca="false">S309+V309+W309</f>
        <v>0</v>
      </c>
      <c r="Y309" s="20"/>
      <c r="Z309" s="20"/>
      <c r="AA309" s="19" t="n">
        <v>0</v>
      </c>
      <c r="AB309" s="20"/>
      <c r="AC309" s="20"/>
      <c r="AD309" s="24" t="n">
        <f aca="false">IFERROR(AA309/AC309,0)</f>
        <v>0</v>
      </c>
      <c r="AE309" s="25" t="n">
        <f aca="false">K309-Q309-X309</f>
        <v>0</v>
      </c>
      <c r="AF309" s="25" t="n">
        <f aca="false">Q309-AA309</f>
        <v>0</v>
      </c>
      <c r="AG309" s="20"/>
      <c r="AH309" s="26" t="n">
        <f aca="false">IFERROR(AG309/Q309,0)</f>
        <v>0</v>
      </c>
      <c r="AI309" s="27" t="n">
        <v>0</v>
      </c>
      <c r="AJ309" s="26" t="n">
        <f aca="false">IF(AI309&gt;0,AprCoef/SQRT(AI309),0)</f>
        <v>0</v>
      </c>
      <c r="AK309" s="24" t="n">
        <f aca="false">AI309*AJ309/365</f>
        <v>0</v>
      </c>
      <c r="AL309" s="24" t="n">
        <f aca="false">AD309</f>
        <v>0</v>
      </c>
      <c r="AM309" s="24" t="n">
        <f aca="false">AK309-AL309</f>
        <v>0</v>
      </c>
      <c r="AN309" s="28" t="str">
        <f aca="false">IF(A309&gt;=Hip3LaunchDate,"YES","")</f>
        <v/>
      </c>
      <c r="AO309" s="28" t="str">
        <f aca="false">IF(A309&lt;Hip4LaunchDate,"pre-launch","live (zero-fee)")</f>
        <v>pre-launch</v>
      </c>
      <c r="AP309" s="20"/>
      <c r="AQ309" s="20"/>
      <c r="AR309" s="20"/>
    </row>
    <row r="310" customFormat="false" ht="15" hidden="false" customHeight="false" outlineLevel="0" collapsed="false">
      <c r="A310" s="18" t="n">
        <v>45371</v>
      </c>
      <c r="B310" s="19" t="n">
        <v>2838682426.31</v>
      </c>
      <c r="C310" s="19" t="n">
        <v>0</v>
      </c>
      <c r="D310" s="20"/>
      <c r="E310" s="21" t="n">
        <f aca="false">B310+C310</f>
        <v>2838682426.31</v>
      </c>
      <c r="F310" s="21" t="n">
        <f aca="false">E310+D310</f>
        <v>2838682426.31</v>
      </c>
      <c r="G310" s="22" t="n">
        <f aca="false">IFERROR(C310/E310,0)</f>
        <v>0</v>
      </c>
      <c r="H310" s="20"/>
      <c r="I310" s="20"/>
      <c r="J310" s="20"/>
      <c r="K310" s="21" t="n">
        <f aca="false">H310+I310</f>
        <v>0</v>
      </c>
      <c r="L310" s="20"/>
      <c r="M310" s="21" t="n">
        <f aca="false">H310-L310</f>
        <v>0</v>
      </c>
      <c r="N310" s="23" t="n">
        <f aca="false">IFERROR(M310/B310*10000,0)</f>
        <v>0</v>
      </c>
      <c r="O310" s="20"/>
      <c r="P310" s="20"/>
      <c r="Q310" s="21" t="n">
        <f aca="false">O310+P310</f>
        <v>0</v>
      </c>
      <c r="R310" s="22" t="n">
        <f aca="false">IF(A310&lt;HlpChangeDate,HlpSharePre,HlpSharePost)</f>
        <v>0.03</v>
      </c>
      <c r="S310" s="21" t="n">
        <f aca="false">Q310*R310/(1-R310)</f>
        <v>0</v>
      </c>
      <c r="T310" s="20"/>
      <c r="U310" s="21" t="n">
        <f aca="false">S310-T310</f>
        <v>0</v>
      </c>
      <c r="V310" s="21" t="n">
        <f aca="false">Y310-O310*R310/(1-R310)</f>
        <v>0</v>
      </c>
      <c r="W310" s="21" t="n">
        <f aca="false">Z310-P310*R310/(1-R310)</f>
        <v>0</v>
      </c>
      <c r="X310" s="21" t="n">
        <f aca="false">S310+V310+W310</f>
        <v>0</v>
      </c>
      <c r="Y310" s="20"/>
      <c r="Z310" s="20"/>
      <c r="AA310" s="19" t="n">
        <v>0</v>
      </c>
      <c r="AB310" s="20"/>
      <c r="AC310" s="20"/>
      <c r="AD310" s="24" t="n">
        <f aca="false">IFERROR(AA310/AC310,0)</f>
        <v>0</v>
      </c>
      <c r="AE310" s="25" t="n">
        <f aca="false">K310-Q310-X310</f>
        <v>0</v>
      </c>
      <c r="AF310" s="25" t="n">
        <f aca="false">Q310-AA310</f>
        <v>0</v>
      </c>
      <c r="AG310" s="20"/>
      <c r="AH310" s="26" t="n">
        <f aca="false">IFERROR(AG310/Q310,0)</f>
        <v>0</v>
      </c>
      <c r="AI310" s="27" t="n">
        <v>0</v>
      </c>
      <c r="AJ310" s="26" t="n">
        <f aca="false">IF(AI310&gt;0,AprCoef/SQRT(AI310),0)</f>
        <v>0</v>
      </c>
      <c r="AK310" s="24" t="n">
        <f aca="false">AI310*AJ310/365</f>
        <v>0</v>
      </c>
      <c r="AL310" s="24" t="n">
        <f aca="false">AD310</f>
        <v>0</v>
      </c>
      <c r="AM310" s="24" t="n">
        <f aca="false">AK310-AL310</f>
        <v>0</v>
      </c>
      <c r="AN310" s="28" t="str">
        <f aca="false">IF(A310&gt;=Hip3LaunchDate,"YES","")</f>
        <v/>
      </c>
      <c r="AO310" s="28" t="str">
        <f aca="false">IF(A310&lt;Hip4LaunchDate,"pre-launch","live (zero-fee)")</f>
        <v>pre-launch</v>
      </c>
      <c r="AP310" s="20"/>
      <c r="AQ310" s="20"/>
      <c r="AR310" s="20"/>
    </row>
    <row r="311" customFormat="false" ht="15" hidden="false" customHeight="false" outlineLevel="0" collapsed="false">
      <c r="A311" s="18" t="n">
        <v>45372</v>
      </c>
      <c r="B311" s="19" t="n">
        <v>1535920161.9</v>
      </c>
      <c r="C311" s="19" t="n">
        <v>0</v>
      </c>
      <c r="D311" s="20"/>
      <c r="E311" s="21" t="n">
        <f aca="false">B311+C311</f>
        <v>1535920161.9</v>
      </c>
      <c r="F311" s="21" t="n">
        <f aca="false">E311+D311</f>
        <v>1535920161.9</v>
      </c>
      <c r="G311" s="22" t="n">
        <f aca="false">IFERROR(C311/E311,0)</f>
        <v>0</v>
      </c>
      <c r="H311" s="20"/>
      <c r="I311" s="20"/>
      <c r="J311" s="20"/>
      <c r="K311" s="21" t="n">
        <f aca="false">H311+I311</f>
        <v>0</v>
      </c>
      <c r="L311" s="20"/>
      <c r="M311" s="21" t="n">
        <f aca="false">H311-L311</f>
        <v>0</v>
      </c>
      <c r="N311" s="23" t="n">
        <f aca="false">IFERROR(M311/B311*10000,0)</f>
        <v>0</v>
      </c>
      <c r="O311" s="20"/>
      <c r="P311" s="20"/>
      <c r="Q311" s="21" t="n">
        <f aca="false">O311+P311</f>
        <v>0</v>
      </c>
      <c r="R311" s="22" t="n">
        <f aca="false">IF(A311&lt;HlpChangeDate,HlpSharePre,HlpSharePost)</f>
        <v>0.03</v>
      </c>
      <c r="S311" s="21" t="n">
        <f aca="false">Q311*R311/(1-R311)</f>
        <v>0</v>
      </c>
      <c r="T311" s="20"/>
      <c r="U311" s="21" t="n">
        <f aca="false">S311-T311</f>
        <v>0</v>
      </c>
      <c r="V311" s="21" t="n">
        <f aca="false">Y311-O311*R311/(1-R311)</f>
        <v>0</v>
      </c>
      <c r="W311" s="21" t="n">
        <f aca="false">Z311-P311*R311/(1-R311)</f>
        <v>0</v>
      </c>
      <c r="X311" s="21" t="n">
        <f aca="false">S311+V311+W311</f>
        <v>0</v>
      </c>
      <c r="Y311" s="20"/>
      <c r="Z311" s="20"/>
      <c r="AA311" s="19" t="n">
        <v>0</v>
      </c>
      <c r="AB311" s="20"/>
      <c r="AC311" s="20"/>
      <c r="AD311" s="24" t="n">
        <f aca="false">IFERROR(AA311/AC311,0)</f>
        <v>0</v>
      </c>
      <c r="AE311" s="25" t="n">
        <f aca="false">K311-Q311-X311</f>
        <v>0</v>
      </c>
      <c r="AF311" s="25" t="n">
        <f aca="false">Q311-AA311</f>
        <v>0</v>
      </c>
      <c r="AG311" s="20"/>
      <c r="AH311" s="26" t="n">
        <f aca="false">IFERROR(AG311/Q311,0)</f>
        <v>0</v>
      </c>
      <c r="AI311" s="27" t="n">
        <v>0</v>
      </c>
      <c r="AJ311" s="26" t="n">
        <f aca="false">IF(AI311&gt;0,AprCoef/SQRT(AI311),0)</f>
        <v>0</v>
      </c>
      <c r="AK311" s="24" t="n">
        <f aca="false">AI311*AJ311/365</f>
        <v>0</v>
      </c>
      <c r="AL311" s="24" t="n">
        <f aca="false">AD311</f>
        <v>0</v>
      </c>
      <c r="AM311" s="24" t="n">
        <f aca="false">AK311-AL311</f>
        <v>0</v>
      </c>
      <c r="AN311" s="28" t="str">
        <f aca="false">IF(A311&gt;=Hip3LaunchDate,"YES","")</f>
        <v/>
      </c>
      <c r="AO311" s="28" t="str">
        <f aca="false">IF(A311&lt;Hip4LaunchDate,"pre-launch","live (zero-fee)")</f>
        <v>pre-launch</v>
      </c>
      <c r="AP311" s="20"/>
      <c r="AQ311" s="20"/>
      <c r="AR311" s="20"/>
    </row>
    <row r="312" customFormat="false" ht="15" hidden="false" customHeight="false" outlineLevel="0" collapsed="false">
      <c r="A312" s="18" t="n">
        <v>45373</v>
      </c>
      <c r="B312" s="19" t="n">
        <v>1567404832.24</v>
      </c>
      <c r="C312" s="19" t="n">
        <v>0</v>
      </c>
      <c r="D312" s="20"/>
      <c r="E312" s="21" t="n">
        <f aca="false">B312+C312</f>
        <v>1567404832.24</v>
      </c>
      <c r="F312" s="21" t="n">
        <f aca="false">E312+D312</f>
        <v>1567404832.24</v>
      </c>
      <c r="G312" s="22" t="n">
        <f aca="false">IFERROR(C312/E312,0)</f>
        <v>0</v>
      </c>
      <c r="H312" s="20"/>
      <c r="I312" s="20"/>
      <c r="J312" s="20"/>
      <c r="K312" s="21" t="n">
        <f aca="false">H312+I312</f>
        <v>0</v>
      </c>
      <c r="L312" s="20"/>
      <c r="M312" s="21" t="n">
        <f aca="false">H312-L312</f>
        <v>0</v>
      </c>
      <c r="N312" s="23" t="n">
        <f aca="false">IFERROR(M312/B312*10000,0)</f>
        <v>0</v>
      </c>
      <c r="O312" s="20"/>
      <c r="P312" s="20"/>
      <c r="Q312" s="21" t="n">
        <f aca="false">O312+P312</f>
        <v>0</v>
      </c>
      <c r="R312" s="22" t="n">
        <f aca="false">IF(A312&lt;HlpChangeDate,HlpSharePre,HlpSharePost)</f>
        <v>0.03</v>
      </c>
      <c r="S312" s="21" t="n">
        <f aca="false">Q312*R312/(1-R312)</f>
        <v>0</v>
      </c>
      <c r="T312" s="20"/>
      <c r="U312" s="21" t="n">
        <f aca="false">S312-T312</f>
        <v>0</v>
      </c>
      <c r="V312" s="21" t="n">
        <f aca="false">Y312-O312*R312/(1-R312)</f>
        <v>0</v>
      </c>
      <c r="W312" s="21" t="n">
        <f aca="false">Z312-P312*R312/(1-R312)</f>
        <v>0</v>
      </c>
      <c r="X312" s="21" t="n">
        <f aca="false">S312+V312+W312</f>
        <v>0</v>
      </c>
      <c r="Y312" s="20"/>
      <c r="Z312" s="20"/>
      <c r="AA312" s="19" t="n">
        <v>0</v>
      </c>
      <c r="AB312" s="20"/>
      <c r="AC312" s="20"/>
      <c r="AD312" s="24" t="n">
        <f aca="false">IFERROR(AA312/AC312,0)</f>
        <v>0</v>
      </c>
      <c r="AE312" s="25" t="n">
        <f aca="false">K312-Q312-X312</f>
        <v>0</v>
      </c>
      <c r="AF312" s="25" t="n">
        <f aca="false">Q312-AA312</f>
        <v>0</v>
      </c>
      <c r="AG312" s="20"/>
      <c r="AH312" s="26" t="n">
        <f aca="false">IFERROR(AG312/Q312,0)</f>
        <v>0</v>
      </c>
      <c r="AI312" s="27" t="n">
        <v>0</v>
      </c>
      <c r="AJ312" s="26" t="n">
        <f aca="false">IF(AI312&gt;0,AprCoef/SQRT(AI312),0)</f>
        <v>0</v>
      </c>
      <c r="AK312" s="24" t="n">
        <f aca="false">AI312*AJ312/365</f>
        <v>0</v>
      </c>
      <c r="AL312" s="24" t="n">
        <f aca="false">AD312</f>
        <v>0</v>
      </c>
      <c r="AM312" s="24" t="n">
        <f aca="false">AK312-AL312</f>
        <v>0</v>
      </c>
      <c r="AN312" s="28" t="str">
        <f aca="false">IF(A312&gt;=Hip3LaunchDate,"YES","")</f>
        <v/>
      </c>
      <c r="AO312" s="28" t="str">
        <f aca="false">IF(A312&lt;Hip4LaunchDate,"pre-launch","live (zero-fee)")</f>
        <v>pre-launch</v>
      </c>
      <c r="AP312" s="20"/>
      <c r="AQ312" s="20"/>
      <c r="AR312" s="20"/>
    </row>
    <row r="313" customFormat="false" ht="15" hidden="false" customHeight="false" outlineLevel="0" collapsed="false">
      <c r="A313" s="18" t="n">
        <v>45374</v>
      </c>
      <c r="B313" s="19" t="n">
        <v>1028403066.95</v>
      </c>
      <c r="C313" s="19" t="n">
        <v>0</v>
      </c>
      <c r="D313" s="20"/>
      <c r="E313" s="21" t="n">
        <f aca="false">B313+C313</f>
        <v>1028403066.95</v>
      </c>
      <c r="F313" s="21" t="n">
        <f aca="false">E313+D313</f>
        <v>1028403066.95</v>
      </c>
      <c r="G313" s="22" t="n">
        <f aca="false">IFERROR(C313/E313,0)</f>
        <v>0</v>
      </c>
      <c r="H313" s="20"/>
      <c r="I313" s="20"/>
      <c r="J313" s="20"/>
      <c r="K313" s="21" t="n">
        <f aca="false">H313+I313</f>
        <v>0</v>
      </c>
      <c r="L313" s="20"/>
      <c r="M313" s="21" t="n">
        <f aca="false">H313-L313</f>
        <v>0</v>
      </c>
      <c r="N313" s="23" t="n">
        <f aca="false">IFERROR(M313/B313*10000,0)</f>
        <v>0</v>
      </c>
      <c r="O313" s="20"/>
      <c r="P313" s="20"/>
      <c r="Q313" s="21" t="n">
        <f aca="false">O313+P313</f>
        <v>0</v>
      </c>
      <c r="R313" s="22" t="n">
        <f aca="false">IF(A313&lt;HlpChangeDate,HlpSharePre,HlpSharePost)</f>
        <v>0.03</v>
      </c>
      <c r="S313" s="21" t="n">
        <f aca="false">Q313*R313/(1-R313)</f>
        <v>0</v>
      </c>
      <c r="T313" s="20"/>
      <c r="U313" s="21" t="n">
        <f aca="false">S313-T313</f>
        <v>0</v>
      </c>
      <c r="V313" s="21" t="n">
        <f aca="false">Y313-O313*R313/(1-R313)</f>
        <v>0</v>
      </c>
      <c r="W313" s="21" t="n">
        <f aca="false">Z313-P313*R313/(1-R313)</f>
        <v>0</v>
      </c>
      <c r="X313" s="21" t="n">
        <f aca="false">S313+V313+W313</f>
        <v>0</v>
      </c>
      <c r="Y313" s="20"/>
      <c r="Z313" s="20"/>
      <c r="AA313" s="19" t="n">
        <v>0</v>
      </c>
      <c r="AB313" s="20"/>
      <c r="AC313" s="20"/>
      <c r="AD313" s="24" t="n">
        <f aca="false">IFERROR(AA313/AC313,0)</f>
        <v>0</v>
      </c>
      <c r="AE313" s="25" t="n">
        <f aca="false">K313-Q313-X313</f>
        <v>0</v>
      </c>
      <c r="AF313" s="25" t="n">
        <f aca="false">Q313-AA313</f>
        <v>0</v>
      </c>
      <c r="AG313" s="20"/>
      <c r="AH313" s="26" t="n">
        <f aca="false">IFERROR(AG313/Q313,0)</f>
        <v>0</v>
      </c>
      <c r="AI313" s="27" t="n">
        <v>0</v>
      </c>
      <c r="AJ313" s="26" t="n">
        <f aca="false">IF(AI313&gt;0,AprCoef/SQRT(AI313),0)</f>
        <v>0</v>
      </c>
      <c r="AK313" s="24" t="n">
        <f aca="false">AI313*AJ313/365</f>
        <v>0</v>
      </c>
      <c r="AL313" s="24" t="n">
        <f aca="false">AD313</f>
        <v>0</v>
      </c>
      <c r="AM313" s="24" t="n">
        <f aca="false">AK313-AL313</f>
        <v>0</v>
      </c>
      <c r="AN313" s="28" t="str">
        <f aca="false">IF(A313&gt;=Hip3LaunchDate,"YES","")</f>
        <v/>
      </c>
      <c r="AO313" s="28" t="str">
        <f aca="false">IF(A313&lt;Hip4LaunchDate,"pre-launch","live (zero-fee)")</f>
        <v>pre-launch</v>
      </c>
      <c r="AP313" s="20"/>
      <c r="AQ313" s="20"/>
      <c r="AR313" s="20"/>
    </row>
    <row r="314" customFormat="false" ht="15" hidden="false" customHeight="false" outlineLevel="0" collapsed="false">
      <c r="A314" s="18" t="n">
        <v>45375</v>
      </c>
      <c r="B314" s="19" t="n">
        <v>1020480466.82</v>
      </c>
      <c r="C314" s="19" t="n">
        <v>0</v>
      </c>
      <c r="D314" s="20"/>
      <c r="E314" s="21" t="n">
        <f aca="false">B314+C314</f>
        <v>1020480466.82</v>
      </c>
      <c r="F314" s="21" t="n">
        <f aca="false">E314+D314</f>
        <v>1020480466.82</v>
      </c>
      <c r="G314" s="22" t="n">
        <f aca="false">IFERROR(C314/E314,0)</f>
        <v>0</v>
      </c>
      <c r="H314" s="20"/>
      <c r="I314" s="20"/>
      <c r="J314" s="20"/>
      <c r="K314" s="21" t="n">
        <f aca="false">H314+I314</f>
        <v>0</v>
      </c>
      <c r="L314" s="20"/>
      <c r="M314" s="21" t="n">
        <f aca="false">H314-L314</f>
        <v>0</v>
      </c>
      <c r="N314" s="23" t="n">
        <f aca="false">IFERROR(M314/B314*10000,0)</f>
        <v>0</v>
      </c>
      <c r="O314" s="20"/>
      <c r="P314" s="20"/>
      <c r="Q314" s="21" t="n">
        <f aca="false">O314+P314</f>
        <v>0</v>
      </c>
      <c r="R314" s="22" t="n">
        <f aca="false">IF(A314&lt;HlpChangeDate,HlpSharePre,HlpSharePost)</f>
        <v>0.03</v>
      </c>
      <c r="S314" s="21" t="n">
        <f aca="false">Q314*R314/(1-R314)</f>
        <v>0</v>
      </c>
      <c r="T314" s="20"/>
      <c r="U314" s="21" t="n">
        <f aca="false">S314-T314</f>
        <v>0</v>
      </c>
      <c r="V314" s="21" t="n">
        <f aca="false">Y314-O314*R314/(1-R314)</f>
        <v>0</v>
      </c>
      <c r="W314" s="21" t="n">
        <f aca="false">Z314-P314*R314/(1-R314)</f>
        <v>0</v>
      </c>
      <c r="X314" s="21" t="n">
        <f aca="false">S314+V314+W314</f>
        <v>0</v>
      </c>
      <c r="Y314" s="20"/>
      <c r="Z314" s="20"/>
      <c r="AA314" s="19" t="n">
        <v>0</v>
      </c>
      <c r="AB314" s="20"/>
      <c r="AC314" s="20"/>
      <c r="AD314" s="24" t="n">
        <f aca="false">IFERROR(AA314/AC314,0)</f>
        <v>0</v>
      </c>
      <c r="AE314" s="25" t="n">
        <f aca="false">K314-Q314-X314</f>
        <v>0</v>
      </c>
      <c r="AF314" s="25" t="n">
        <f aca="false">Q314-AA314</f>
        <v>0</v>
      </c>
      <c r="AG314" s="20"/>
      <c r="AH314" s="26" t="n">
        <f aca="false">IFERROR(AG314/Q314,0)</f>
        <v>0</v>
      </c>
      <c r="AI314" s="27" t="n">
        <v>0</v>
      </c>
      <c r="AJ314" s="26" t="n">
        <f aca="false">IF(AI314&gt;0,AprCoef/SQRT(AI314),0)</f>
        <v>0</v>
      </c>
      <c r="AK314" s="24" t="n">
        <f aca="false">AI314*AJ314/365</f>
        <v>0</v>
      </c>
      <c r="AL314" s="24" t="n">
        <f aca="false">AD314</f>
        <v>0</v>
      </c>
      <c r="AM314" s="24" t="n">
        <f aca="false">AK314-AL314</f>
        <v>0</v>
      </c>
      <c r="AN314" s="28" t="str">
        <f aca="false">IF(A314&gt;=Hip3LaunchDate,"YES","")</f>
        <v/>
      </c>
      <c r="AO314" s="28" t="str">
        <f aca="false">IF(A314&lt;Hip4LaunchDate,"pre-launch","live (zero-fee)")</f>
        <v>pre-launch</v>
      </c>
      <c r="AP314" s="20"/>
      <c r="AQ314" s="20"/>
      <c r="AR314" s="20"/>
    </row>
    <row r="315" customFormat="false" ht="15" hidden="false" customHeight="false" outlineLevel="0" collapsed="false">
      <c r="A315" s="18" t="n">
        <v>45376</v>
      </c>
      <c r="B315" s="19" t="n">
        <v>1625860717.41</v>
      </c>
      <c r="C315" s="19" t="n">
        <v>0</v>
      </c>
      <c r="D315" s="20"/>
      <c r="E315" s="21" t="n">
        <f aca="false">B315+C315</f>
        <v>1625860717.41</v>
      </c>
      <c r="F315" s="21" t="n">
        <f aca="false">E315+D315</f>
        <v>1625860717.41</v>
      </c>
      <c r="G315" s="22" t="n">
        <f aca="false">IFERROR(C315/E315,0)</f>
        <v>0</v>
      </c>
      <c r="H315" s="20"/>
      <c r="I315" s="20"/>
      <c r="J315" s="20"/>
      <c r="K315" s="21" t="n">
        <f aca="false">H315+I315</f>
        <v>0</v>
      </c>
      <c r="L315" s="20"/>
      <c r="M315" s="21" t="n">
        <f aca="false">H315-L315</f>
        <v>0</v>
      </c>
      <c r="N315" s="23" t="n">
        <f aca="false">IFERROR(M315/B315*10000,0)</f>
        <v>0</v>
      </c>
      <c r="O315" s="20"/>
      <c r="P315" s="20"/>
      <c r="Q315" s="21" t="n">
        <f aca="false">O315+P315</f>
        <v>0</v>
      </c>
      <c r="R315" s="22" t="n">
        <f aca="false">IF(A315&lt;HlpChangeDate,HlpSharePre,HlpSharePost)</f>
        <v>0.03</v>
      </c>
      <c r="S315" s="21" t="n">
        <f aca="false">Q315*R315/(1-R315)</f>
        <v>0</v>
      </c>
      <c r="T315" s="20"/>
      <c r="U315" s="21" t="n">
        <f aca="false">S315-T315</f>
        <v>0</v>
      </c>
      <c r="V315" s="21" t="n">
        <f aca="false">Y315-O315*R315/(1-R315)</f>
        <v>0</v>
      </c>
      <c r="W315" s="21" t="n">
        <f aca="false">Z315-P315*R315/(1-R315)</f>
        <v>0</v>
      </c>
      <c r="X315" s="21" t="n">
        <f aca="false">S315+V315+W315</f>
        <v>0</v>
      </c>
      <c r="Y315" s="20"/>
      <c r="Z315" s="20"/>
      <c r="AA315" s="19" t="n">
        <v>0</v>
      </c>
      <c r="AB315" s="20"/>
      <c r="AC315" s="20"/>
      <c r="AD315" s="24" t="n">
        <f aca="false">IFERROR(AA315/AC315,0)</f>
        <v>0</v>
      </c>
      <c r="AE315" s="25" t="n">
        <f aca="false">K315-Q315-X315</f>
        <v>0</v>
      </c>
      <c r="AF315" s="25" t="n">
        <f aca="false">Q315-AA315</f>
        <v>0</v>
      </c>
      <c r="AG315" s="20"/>
      <c r="AH315" s="26" t="n">
        <f aca="false">IFERROR(AG315/Q315,0)</f>
        <v>0</v>
      </c>
      <c r="AI315" s="27" t="n">
        <v>0</v>
      </c>
      <c r="AJ315" s="26" t="n">
        <f aca="false">IF(AI315&gt;0,AprCoef/SQRT(AI315),0)</f>
        <v>0</v>
      </c>
      <c r="AK315" s="24" t="n">
        <f aca="false">AI315*AJ315/365</f>
        <v>0</v>
      </c>
      <c r="AL315" s="24" t="n">
        <f aca="false">AD315</f>
        <v>0</v>
      </c>
      <c r="AM315" s="24" t="n">
        <f aca="false">AK315-AL315</f>
        <v>0</v>
      </c>
      <c r="AN315" s="28" t="str">
        <f aca="false">IF(A315&gt;=Hip3LaunchDate,"YES","")</f>
        <v/>
      </c>
      <c r="AO315" s="28" t="str">
        <f aca="false">IF(A315&lt;Hip4LaunchDate,"pre-launch","live (zero-fee)")</f>
        <v>pre-launch</v>
      </c>
      <c r="AP315" s="20"/>
      <c r="AQ315" s="20"/>
      <c r="AR315" s="20"/>
    </row>
    <row r="316" customFormat="false" ht="15" hidden="false" customHeight="false" outlineLevel="0" collapsed="false">
      <c r="A316" s="18" t="n">
        <v>45377</v>
      </c>
      <c r="B316" s="19" t="n">
        <v>1678124849.27</v>
      </c>
      <c r="C316" s="19" t="n">
        <v>0</v>
      </c>
      <c r="D316" s="20"/>
      <c r="E316" s="21" t="n">
        <f aca="false">B316+C316</f>
        <v>1678124849.27</v>
      </c>
      <c r="F316" s="21" t="n">
        <f aca="false">E316+D316</f>
        <v>1678124849.27</v>
      </c>
      <c r="G316" s="22" t="n">
        <f aca="false">IFERROR(C316/E316,0)</f>
        <v>0</v>
      </c>
      <c r="H316" s="20"/>
      <c r="I316" s="20"/>
      <c r="J316" s="20"/>
      <c r="K316" s="21" t="n">
        <f aca="false">H316+I316</f>
        <v>0</v>
      </c>
      <c r="L316" s="20"/>
      <c r="M316" s="21" t="n">
        <f aca="false">H316-L316</f>
        <v>0</v>
      </c>
      <c r="N316" s="23" t="n">
        <f aca="false">IFERROR(M316/B316*10000,0)</f>
        <v>0</v>
      </c>
      <c r="O316" s="20"/>
      <c r="P316" s="20"/>
      <c r="Q316" s="21" t="n">
        <f aca="false">O316+P316</f>
        <v>0</v>
      </c>
      <c r="R316" s="22" t="n">
        <f aca="false">IF(A316&lt;HlpChangeDate,HlpSharePre,HlpSharePost)</f>
        <v>0.03</v>
      </c>
      <c r="S316" s="21" t="n">
        <f aca="false">Q316*R316/(1-R316)</f>
        <v>0</v>
      </c>
      <c r="T316" s="20"/>
      <c r="U316" s="21" t="n">
        <f aca="false">S316-T316</f>
        <v>0</v>
      </c>
      <c r="V316" s="21" t="n">
        <f aca="false">Y316-O316*R316/(1-R316)</f>
        <v>0</v>
      </c>
      <c r="W316" s="21" t="n">
        <f aca="false">Z316-P316*R316/(1-R316)</f>
        <v>0</v>
      </c>
      <c r="X316" s="21" t="n">
        <f aca="false">S316+V316+W316</f>
        <v>0</v>
      </c>
      <c r="Y316" s="20"/>
      <c r="Z316" s="20"/>
      <c r="AA316" s="19" t="n">
        <v>0</v>
      </c>
      <c r="AB316" s="20"/>
      <c r="AC316" s="20"/>
      <c r="AD316" s="24" t="n">
        <f aca="false">IFERROR(AA316/AC316,0)</f>
        <v>0</v>
      </c>
      <c r="AE316" s="25" t="n">
        <f aca="false">K316-Q316-X316</f>
        <v>0</v>
      </c>
      <c r="AF316" s="25" t="n">
        <f aca="false">Q316-AA316</f>
        <v>0</v>
      </c>
      <c r="AG316" s="20"/>
      <c r="AH316" s="26" t="n">
        <f aca="false">IFERROR(AG316/Q316,0)</f>
        <v>0</v>
      </c>
      <c r="AI316" s="27" t="n">
        <v>0</v>
      </c>
      <c r="AJ316" s="26" t="n">
        <f aca="false">IF(AI316&gt;0,AprCoef/SQRT(AI316),0)</f>
        <v>0</v>
      </c>
      <c r="AK316" s="24" t="n">
        <f aca="false">AI316*AJ316/365</f>
        <v>0</v>
      </c>
      <c r="AL316" s="24" t="n">
        <f aca="false">AD316</f>
        <v>0</v>
      </c>
      <c r="AM316" s="24" t="n">
        <f aca="false">AK316-AL316</f>
        <v>0</v>
      </c>
      <c r="AN316" s="28" t="str">
        <f aca="false">IF(A316&gt;=Hip3LaunchDate,"YES","")</f>
        <v/>
      </c>
      <c r="AO316" s="28" t="str">
        <f aca="false">IF(A316&lt;Hip4LaunchDate,"pre-launch","live (zero-fee)")</f>
        <v>pre-launch</v>
      </c>
      <c r="AP316" s="20"/>
      <c r="AQ316" s="20"/>
      <c r="AR316" s="20"/>
    </row>
    <row r="317" customFormat="false" ht="15" hidden="false" customHeight="false" outlineLevel="0" collapsed="false">
      <c r="A317" s="18" t="n">
        <v>45378</v>
      </c>
      <c r="B317" s="19" t="n">
        <v>1330183416.43</v>
      </c>
      <c r="C317" s="19" t="n">
        <v>0</v>
      </c>
      <c r="D317" s="20"/>
      <c r="E317" s="21" t="n">
        <f aca="false">B317+C317</f>
        <v>1330183416.43</v>
      </c>
      <c r="F317" s="21" t="n">
        <f aca="false">E317+D317</f>
        <v>1330183416.43</v>
      </c>
      <c r="G317" s="22" t="n">
        <f aca="false">IFERROR(C317/E317,0)</f>
        <v>0</v>
      </c>
      <c r="H317" s="20"/>
      <c r="I317" s="20"/>
      <c r="J317" s="20"/>
      <c r="K317" s="21" t="n">
        <f aca="false">H317+I317</f>
        <v>0</v>
      </c>
      <c r="L317" s="20"/>
      <c r="M317" s="21" t="n">
        <f aca="false">H317-L317</f>
        <v>0</v>
      </c>
      <c r="N317" s="23" t="n">
        <f aca="false">IFERROR(M317/B317*10000,0)</f>
        <v>0</v>
      </c>
      <c r="O317" s="20"/>
      <c r="P317" s="20"/>
      <c r="Q317" s="21" t="n">
        <f aca="false">O317+P317</f>
        <v>0</v>
      </c>
      <c r="R317" s="22" t="n">
        <f aca="false">IF(A317&lt;HlpChangeDate,HlpSharePre,HlpSharePost)</f>
        <v>0.03</v>
      </c>
      <c r="S317" s="21" t="n">
        <f aca="false">Q317*R317/(1-R317)</f>
        <v>0</v>
      </c>
      <c r="T317" s="20"/>
      <c r="U317" s="21" t="n">
        <f aca="false">S317-T317</f>
        <v>0</v>
      </c>
      <c r="V317" s="21" t="n">
        <f aca="false">Y317-O317*R317/(1-R317)</f>
        <v>0</v>
      </c>
      <c r="W317" s="21" t="n">
        <f aca="false">Z317-P317*R317/(1-R317)</f>
        <v>0</v>
      </c>
      <c r="X317" s="21" t="n">
        <f aca="false">S317+V317+W317</f>
        <v>0</v>
      </c>
      <c r="Y317" s="20"/>
      <c r="Z317" s="20"/>
      <c r="AA317" s="19" t="n">
        <v>0</v>
      </c>
      <c r="AB317" s="20"/>
      <c r="AC317" s="20"/>
      <c r="AD317" s="24" t="n">
        <f aca="false">IFERROR(AA317/AC317,0)</f>
        <v>0</v>
      </c>
      <c r="AE317" s="25" t="n">
        <f aca="false">K317-Q317-X317</f>
        <v>0</v>
      </c>
      <c r="AF317" s="25" t="n">
        <f aca="false">Q317-AA317</f>
        <v>0</v>
      </c>
      <c r="AG317" s="20"/>
      <c r="AH317" s="26" t="n">
        <f aca="false">IFERROR(AG317/Q317,0)</f>
        <v>0</v>
      </c>
      <c r="AI317" s="27" t="n">
        <v>0</v>
      </c>
      <c r="AJ317" s="26" t="n">
        <f aca="false">IF(AI317&gt;0,AprCoef/SQRT(AI317),0)</f>
        <v>0</v>
      </c>
      <c r="AK317" s="24" t="n">
        <f aca="false">AI317*AJ317/365</f>
        <v>0</v>
      </c>
      <c r="AL317" s="24" t="n">
        <f aca="false">AD317</f>
        <v>0</v>
      </c>
      <c r="AM317" s="24" t="n">
        <f aca="false">AK317-AL317</f>
        <v>0</v>
      </c>
      <c r="AN317" s="28" t="str">
        <f aca="false">IF(A317&gt;=Hip3LaunchDate,"YES","")</f>
        <v/>
      </c>
      <c r="AO317" s="28" t="str">
        <f aca="false">IF(A317&lt;Hip4LaunchDate,"pre-launch","live (zero-fee)")</f>
        <v>pre-launch</v>
      </c>
      <c r="AP317" s="20"/>
      <c r="AQ317" s="20"/>
      <c r="AR317" s="20"/>
    </row>
    <row r="318" customFormat="false" ht="15" hidden="false" customHeight="false" outlineLevel="0" collapsed="false">
      <c r="A318" s="18" t="n">
        <v>45379</v>
      </c>
      <c r="B318" s="19" t="n">
        <v>1028083294.7</v>
      </c>
      <c r="C318" s="19" t="n">
        <v>0</v>
      </c>
      <c r="D318" s="20"/>
      <c r="E318" s="21" t="n">
        <f aca="false">B318+C318</f>
        <v>1028083294.7</v>
      </c>
      <c r="F318" s="21" t="n">
        <f aca="false">E318+D318</f>
        <v>1028083294.7</v>
      </c>
      <c r="G318" s="22" t="n">
        <f aca="false">IFERROR(C318/E318,0)</f>
        <v>0</v>
      </c>
      <c r="H318" s="20"/>
      <c r="I318" s="20"/>
      <c r="J318" s="20"/>
      <c r="K318" s="21" t="n">
        <f aca="false">H318+I318</f>
        <v>0</v>
      </c>
      <c r="L318" s="20"/>
      <c r="M318" s="21" t="n">
        <f aca="false">H318-L318</f>
        <v>0</v>
      </c>
      <c r="N318" s="23" t="n">
        <f aca="false">IFERROR(M318/B318*10000,0)</f>
        <v>0</v>
      </c>
      <c r="O318" s="20"/>
      <c r="P318" s="20"/>
      <c r="Q318" s="21" t="n">
        <f aca="false">O318+P318</f>
        <v>0</v>
      </c>
      <c r="R318" s="22" t="n">
        <f aca="false">IF(A318&lt;HlpChangeDate,HlpSharePre,HlpSharePost)</f>
        <v>0.03</v>
      </c>
      <c r="S318" s="21" t="n">
        <f aca="false">Q318*R318/(1-R318)</f>
        <v>0</v>
      </c>
      <c r="T318" s="20"/>
      <c r="U318" s="21" t="n">
        <f aca="false">S318-T318</f>
        <v>0</v>
      </c>
      <c r="V318" s="21" t="n">
        <f aca="false">Y318-O318*R318/(1-R318)</f>
        <v>0</v>
      </c>
      <c r="W318" s="21" t="n">
        <f aca="false">Z318-P318*R318/(1-R318)</f>
        <v>0</v>
      </c>
      <c r="X318" s="21" t="n">
        <f aca="false">S318+V318+W318</f>
        <v>0</v>
      </c>
      <c r="Y318" s="20"/>
      <c r="Z318" s="20"/>
      <c r="AA318" s="19" t="n">
        <v>0</v>
      </c>
      <c r="AB318" s="20"/>
      <c r="AC318" s="20"/>
      <c r="AD318" s="24" t="n">
        <f aca="false">IFERROR(AA318/AC318,0)</f>
        <v>0</v>
      </c>
      <c r="AE318" s="25" t="n">
        <f aca="false">K318-Q318-X318</f>
        <v>0</v>
      </c>
      <c r="AF318" s="25" t="n">
        <f aca="false">Q318-AA318</f>
        <v>0</v>
      </c>
      <c r="AG318" s="20"/>
      <c r="AH318" s="26" t="n">
        <f aca="false">IFERROR(AG318/Q318,0)</f>
        <v>0</v>
      </c>
      <c r="AI318" s="27" t="n">
        <v>0</v>
      </c>
      <c r="AJ318" s="26" t="n">
        <f aca="false">IF(AI318&gt;0,AprCoef/SQRT(AI318),0)</f>
        <v>0</v>
      </c>
      <c r="AK318" s="24" t="n">
        <f aca="false">AI318*AJ318/365</f>
        <v>0</v>
      </c>
      <c r="AL318" s="24" t="n">
        <f aca="false">AD318</f>
        <v>0</v>
      </c>
      <c r="AM318" s="24" t="n">
        <f aca="false">AK318-AL318</f>
        <v>0</v>
      </c>
      <c r="AN318" s="28" t="str">
        <f aca="false">IF(A318&gt;=Hip3LaunchDate,"YES","")</f>
        <v/>
      </c>
      <c r="AO318" s="28" t="str">
        <f aca="false">IF(A318&lt;Hip4LaunchDate,"pre-launch","live (zero-fee)")</f>
        <v>pre-launch</v>
      </c>
      <c r="AP318" s="20"/>
      <c r="AQ318" s="20"/>
      <c r="AR318" s="20"/>
    </row>
    <row r="319" customFormat="false" ht="15" hidden="false" customHeight="false" outlineLevel="0" collapsed="false">
      <c r="A319" s="18" t="n">
        <v>45380</v>
      </c>
      <c r="B319" s="19" t="n">
        <v>1141534282.36</v>
      </c>
      <c r="C319" s="19" t="n">
        <v>0</v>
      </c>
      <c r="D319" s="20"/>
      <c r="E319" s="21" t="n">
        <f aca="false">B319+C319</f>
        <v>1141534282.36</v>
      </c>
      <c r="F319" s="21" t="n">
        <f aca="false">E319+D319</f>
        <v>1141534282.36</v>
      </c>
      <c r="G319" s="22" t="n">
        <f aca="false">IFERROR(C319/E319,0)</f>
        <v>0</v>
      </c>
      <c r="H319" s="20"/>
      <c r="I319" s="20"/>
      <c r="J319" s="20"/>
      <c r="K319" s="21" t="n">
        <f aca="false">H319+I319</f>
        <v>0</v>
      </c>
      <c r="L319" s="20"/>
      <c r="M319" s="21" t="n">
        <f aca="false">H319-L319</f>
        <v>0</v>
      </c>
      <c r="N319" s="23" t="n">
        <f aca="false">IFERROR(M319/B319*10000,0)</f>
        <v>0</v>
      </c>
      <c r="O319" s="20"/>
      <c r="P319" s="20"/>
      <c r="Q319" s="21" t="n">
        <f aca="false">O319+P319</f>
        <v>0</v>
      </c>
      <c r="R319" s="22" t="n">
        <f aca="false">IF(A319&lt;HlpChangeDate,HlpSharePre,HlpSharePost)</f>
        <v>0.03</v>
      </c>
      <c r="S319" s="21" t="n">
        <f aca="false">Q319*R319/(1-R319)</f>
        <v>0</v>
      </c>
      <c r="T319" s="20"/>
      <c r="U319" s="21" t="n">
        <f aca="false">S319-T319</f>
        <v>0</v>
      </c>
      <c r="V319" s="21" t="n">
        <f aca="false">Y319-O319*R319/(1-R319)</f>
        <v>0</v>
      </c>
      <c r="W319" s="21" t="n">
        <f aca="false">Z319-P319*R319/(1-R319)</f>
        <v>0</v>
      </c>
      <c r="X319" s="21" t="n">
        <f aca="false">S319+V319+W319</f>
        <v>0</v>
      </c>
      <c r="Y319" s="20"/>
      <c r="Z319" s="20"/>
      <c r="AA319" s="19" t="n">
        <v>0</v>
      </c>
      <c r="AB319" s="20"/>
      <c r="AC319" s="20"/>
      <c r="AD319" s="24" t="n">
        <f aca="false">IFERROR(AA319/AC319,0)</f>
        <v>0</v>
      </c>
      <c r="AE319" s="25" t="n">
        <f aca="false">K319-Q319-X319</f>
        <v>0</v>
      </c>
      <c r="AF319" s="25" t="n">
        <f aca="false">Q319-AA319</f>
        <v>0</v>
      </c>
      <c r="AG319" s="20"/>
      <c r="AH319" s="26" t="n">
        <f aca="false">IFERROR(AG319/Q319,0)</f>
        <v>0</v>
      </c>
      <c r="AI319" s="27" t="n">
        <v>0</v>
      </c>
      <c r="AJ319" s="26" t="n">
        <f aca="false">IF(AI319&gt;0,AprCoef/SQRT(AI319),0)</f>
        <v>0</v>
      </c>
      <c r="AK319" s="24" t="n">
        <f aca="false">AI319*AJ319/365</f>
        <v>0</v>
      </c>
      <c r="AL319" s="24" t="n">
        <f aca="false">AD319</f>
        <v>0</v>
      </c>
      <c r="AM319" s="24" t="n">
        <f aca="false">AK319-AL319</f>
        <v>0</v>
      </c>
      <c r="AN319" s="28" t="str">
        <f aca="false">IF(A319&gt;=Hip3LaunchDate,"YES","")</f>
        <v/>
      </c>
      <c r="AO319" s="28" t="str">
        <f aca="false">IF(A319&lt;Hip4LaunchDate,"pre-launch","live (zero-fee)")</f>
        <v>pre-launch</v>
      </c>
      <c r="AP319" s="20"/>
      <c r="AQ319" s="20"/>
      <c r="AR319" s="20"/>
    </row>
    <row r="320" customFormat="false" ht="15" hidden="false" customHeight="false" outlineLevel="0" collapsed="false">
      <c r="A320" s="18" t="n">
        <v>45381</v>
      </c>
      <c r="B320" s="19" t="n">
        <v>854111149.41</v>
      </c>
      <c r="C320" s="19" t="n">
        <v>0</v>
      </c>
      <c r="D320" s="20"/>
      <c r="E320" s="21" t="n">
        <f aca="false">B320+C320</f>
        <v>854111149.41</v>
      </c>
      <c r="F320" s="21" t="n">
        <f aca="false">E320+D320</f>
        <v>854111149.41</v>
      </c>
      <c r="G320" s="22" t="n">
        <f aca="false">IFERROR(C320/E320,0)</f>
        <v>0</v>
      </c>
      <c r="H320" s="20"/>
      <c r="I320" s="20"/>
      <c r="J320" s="20"/>
      <c r="K320" s="21" t="n">
        <f aca="false">H320+I320</f>
        <v>0</v>
      </c>
      <c r="L320" s="20"/>
      <c r="M320" s="21" t="n">
        <f aca="false">H320-L320</f>
        <v>0</v>
      </c>
      <c r="N320" s="23" t="n">
        <f aca="false">IFERROR(M320/B320*10000,0)</f>
        <v>0</v>
      </c>
      <c r="O320" s="20"/>
      <c r="P320" s="20"/>
      <c r="Q320" s="21" t="n">
        <f aca="false">O320+P320</f>
        <v>0</v>
      </c>
      <c r="R320" s="22" t="n">
        <f aca="false">IF(A320&lt;HlpChangeDate,HlpSharePre,HlpSharePost)</f>
        <v>0.03</v>
      </c>
      <c r="S320" s="21" t="n">
        <f aca="false">Q320*R320/(1-R320)</f>
        <v>0</v>
      </c>
      <c r="T320" s="20"/>
      <c r="U320" s="21" t="n">
        <f aca="false">S320-T320</f>
        <v>0</v>
      </c>
      <c r="V320" s="21" t="n">
        <f aca="false">Y320-O320*R320/(1-R320)</f>
        <v>0</v>
      </c>
      <c r="W320" s="21" t="n">
        <f aca="false">Z320-P320*R320/(1-R320)</f>
        <v>0</v>
      </c>
      <c r="X320" s="21" t="n">
        <f aca="false">S320+V320+W320</f>
        <v>0</v>
      </c>
      <c r="Y320" s="20"/>
      <c r="Z320" s="20"/>
      <c r="AA320" s="19" t="n">
        <v>0</v>
      </c>
      <c r="AB320" s="20"/>
      <c r="AC320" s="20"/>
      <c r="AD320" s="24" t="n">
        <f aca="false">IFERROR(AA320/AC320,0)</f>
        <v>0</v>
      </c>
      <c r="AE320" s="25" t="n">
        <f aca="false">K320-Q320-X320</f>
        <v>0</v>
      </c>
      <c r="AF320" s="25" t="n">
        <f aca="false">Q320-AA320</f>
        <v>0</v>
      </c>
      <c r="AG320" s="20"/>
      <c r="AH320" s="26" t="n">
        <f aca="false">IFERROR(AG320/Q320,0)</f>
        <v>0</v>
      </c>
      <c r="AI320" s="27" t="n">
        <v>0</v>
      </c>
      <c r="AJ320" s="26" t="n">
        <f aca="false">IF(AI320&gt;0,AprCoef/SQRT(AI320),0)</f>
        <v>0</v>
      </c>
      <c r="AK320" s="24" t="n">
        <f aca="false">AI320*AJ320/365</f>
        <v>0</v>
      </c>
      <c r="AL320" s="24" t="n">
        <f aca="false">AD320</f>
        <v>0</v>
      </c>
      <c r="AM320" s="24" t="n">
        <f aca="false">AK320-AL320</f>
        <v>0</v>
      </c>
      <c r="AN320" s="28" t="str">
        <f aca="false">IF(A320&gt;=Hip3LaunchDate,"YES","")</f>
        <v/>
      </c>
      <c r="AO320" s="28" t="str">
        <f aca="false">IF(A320&lt;Hip4LaunchDate,"pre-launch","live (zero-fee)")</f>
        <v>pre-launch</v>
      </c>
      <c r="AP320" s="20"/>
      <c r="AQ320" s="20"/>
      <c r="AR320" s="20"/>
    </row>
    <row r="321" customFormat="false" ht="15" hidden="false" customHeight="false" outlineLevel="0" collapsed="false">
      <c r="A321" s="18" t="n">
        <v>45382</v>
      </c>
      <c r="B321" s="19" t="n">
        <v>978276203.49</v>
      </c>
      <c r="C321" s="19" t="n">
        <v>0</v>
      </c>
      <c r="D321" s="20"/>
      <c r="E321" s="21" t="n">
        <f aca="false">B321+C321</f>
        <v>978276203.49</v>
      </c>
      <c r="F321" s="21" t="n">
        <f aca="false">E321+D321</f>
        <v>978276203.49</v>
      </c>
      <c r="G321" s="22" t="n">
        <f aca="false">IFERROR(C321/E321,0)</f>
        <v>0</v>
      </c>
      <c r="H321" s="20"/>
      <c r="I321" s="20"/>
      <c r="J321" s="20"/>
      <c r="K321" s="21" t="n">
        <f aca="false">H321+I321</f>
        <v>0</v>
      </c>
      <c r="L321" s="20"/>
      <c r="M321" s="21" t="n">
        <f aca="false">H321-L321</f>
        <v>0</v>
      </c>
      <c r="N321" s="23" t="n">
        <f aca="false">IFERROR(M321/B321*10000,0)</f>
        <v>0</v>
      </c>
      <c r="O321" s="20"/>
      <c r="P321" s="20"/>
      <c r="Q321" s="21" t="n">
        <f aca="false">O321+P321</f>
        <v>0</v>
      </c>
      <c r="R321" s="22" t="n">
        <f aca="false">IF(A321&lt;HlpChangeDate,HlpSharePre,HlpSharePost)</f>
        <v>0.03</v>
      </c>
      <c r="S321" s="21" t="n">
        <f aca="false">Q321*R321/(1-R321)</f>
        <v>0</v>
      </c>
      <c r="T321" s="20"/>
      <c r="U321" s="21" t="n">
        <f aca="false">S321-T321</f>
        <v>0</v>
      </c>
      <c r="V321" s="21" t="n">
        <f aca="false">Y321-O321*R321/(1-R321)</f>
        <v>0</v>
      </c>
      <c r="W321" s="21" t="n">
        <f aca="false">Z321-P321*R321/(1-R321)</f>
        <v>0</v>
      </c>
      <c r="X321" s="21" t="n">
        <f aca="false">S321+V321+W321</f>
        <v>0</v>
      </c>
      <c r="Y321" s="20"/>
      <c r="Z321" s="20"/>
      <c r="AA321" s="19" t="n">
        <v>0</v>
      </c>
      <c r="AB321" s="20"/>
      <c r="AC321" s="20"/>
      <c r="AD321" s="24" t="n">
        <f aca="false">IFERROR(AA321/AC321,0)</f>
        <v>0</v>
      </c>
      <c r="AE321" s="25" t="n">
        <f aca="false">K321-Q321-X321</f>
        <v>0</v>
      </c>
      <c r="AF321" s="25" t="n">
        <f aca="false">Q321-AA321</f>
        <v>0</v>
      </c>
      <c r="AG321" s="20"/>
      <c r="AH321" s="26" t="n">
        <f aca="false">IFERROR(AG321/Q321,0)</f>
        <v>0</v>
      </c>
      <c r="AI321" s="27" t="n">
        <v>0</v>
      </c>
      <c r="AJ321" s="26" t="n">
        <f aca="false">IF(AI321&gt;0,AprCoef/SQRT(AI321),0)</f>
        <v>0</v>
      </c>
      <c r="AK321" s="24" t="n">
        <f aca="false">AI321*AJ321/365</f>
        <v>0</v>
      </c>
      <c r="AL321" s="24" t="n">
        <f aca="false">AD321</f>
        <v>0</v>
      </c>
      <c r="AM321" s="24" t="n">
        <f aca="false">AK321-AL321</f>
        <v>0</v>
      </c>
      <c r="AN321" s="28" t="str">
        <f aca="false">IF(A321&gt;=Hip3LaunchDate,"YES","")</f>
        <v/>
      </c>
      <c r="AO321" s="28" t="str">
        <f aca="false">IF(A321&lt;Hip4LaunchDate,"pre-launch","live (zero-fee)")</f>
        <v>pre-launch</v>
      </c>
      <c r="AP321" s="20"/>
      <c r="AQ321" s="20"/>
      <c r="AR321" s="20"/>
    </row>
    <row r="322" customFormat="false" ht="15" hidden="false" customHeight="false" outlineLevel="0" collapsed="false">
      <c r="A322" s="18" t="n">
        <v>45383</v>
      </c>
      <c r="B322" s="19" t="n">
        <v>1460735619.42</v>
      </c>
      <c r="C322" s="19" t="n">
        <v>0</v>
      </c>
      <c r="D322" s="20"/>
      <c r="E322" s="21" t="n">
        <f aca="false">B322+C322</f>
        <v>1460735619.42</v>
      </c>
      <c r="F322" s="21" t="n">
        <f aca="false">E322+D322</f>
        <v>1460735619.42</v>
      </c>
      <c r="G322" s="22" t="n">
        <f aca="false">IFERROR(C322/E322,0)</f>
        <v>0</v>
      </c>
      <c r="H322" s="20"/>
      <c r="I322" s="20"/>
      <c r="J322" s="20"/>
      <c r="K322" s="21" t="n">
        <f aca="false">H322+I322</f>
        <v>0</v>
      </c>
      <c r="L322" s="20"/>
      <c r="M322" s="21" t="n">
        <f aca="false">H322-L322</f>
        <v>0</v>
      </c>
      <c r="N322" s="23" t="n">
        <f aca="false">IFERROR(M322/B322*10000,0)</f>
        <v>0</v>
      </c>
      <c r="O322" s="20"/>
      <c r="P322" s="20"/>
      <c r="Q322" s="21" t="n">
        <f aca="false">O322+P322</f>
        <v>0</v>
      </c>
      <c r="R322" s="22" t="n">
        <f aca="false">IF(A322&lt;HlpChangeDate,HlpSharePre,HlpSharePost)</f>
        <v>0.03</v>
      </c>
      <c r="S322" s="21" t="n">
        <f aca="false">Q322*R322/(1-R322)</f>
        <v>0</v>
      </c>
      <c r="T322" s="20"/>
      <c r="U322" s="21" t="n">
        <f aca="false">S322-T322</f>
        <v>0</v>
      </c>
      <c r="V322" s="21" t="n">
        <f aca="false">Y322-O322*R322/(1-R322)</f>
        <v>0</v>
      </c>
      <c r="W322" s="21" t="n">
        <f aca="false">Z322-P322*R322/(1-R322)</f>
        <v>0</v>
      </c>
      <c r="X322" s="21" t="n">
        <f aca="false">S322+V322+W322</f>
        <v>0</v>
      </c>
      <c r="Y322" s="20"/>
      <c r="Z322" s="20"/>
      <c r="AA322" s="19" t="n">
        <v>0</v>
      </c>
      <c r="AB322" s="20"/>
      <c r="AC322" s="20"/>
      <c r="AD322" s="24" t="n">
        <f aca="false">IFERROR(AA322/AC322,0)</f>
        <v>0</v>
      </c>
      <c r="AE322" s="25" t="n">
        <f aca="false">K322-Q322-X322</f>
        <v>0</v>
      </c>
      <c r="AF322" s="25" t="n">
        <f aca="false">Q322-AA322</f>
        <v>0</v>
      </c>
      <c r="AG322" s="20"/>
      <c r="AH322" s="26" t="n">
        <f aca="false">IFERROR(AG322/Q322,0)</f>
        <v>0</v>
      </c>
      <c r="AI322" s="27" t="n">
        <v>0</v>
      </c>
      <c r="AJ322" s="26" t="n">
        <f aca="false">IF(AI322&gt;0,AprCoef/SQRT(AI322),0)</f>
        <v>0</v>
      </c>
      <c r="AK322" s="24" t="n">
        <f aca="false">AI322*AJ322/365</f>
        <v>0</v>
      </c>
      <c r="AL322" s="24" t="n">
        <f aca="false">AD322</f>
        <v>0</v>
      </c>
      <c r="AM322" s="24" t="n">
        <f aca="false">AK322-AL322</f>
        <v>0</v>
      </c>
      <c r="AN322" s="28" t="str">
        <f aca="false">IF(A322&gt;=Hip3LaunchDate,"YES","")</f>
        <v/>
      </c>
      <c r="AO322" s="28" t="str">
        <f aca="false">IF(A322&lt;Hip4LaunchDate,"pre-launch","live (zero-fee)")</f>
        <v>pre-launch</v>
      </c>
      <c r="AP322" s="20"/>
      <c r="AQ322" s="20"/>
      <c r="AR322" s="20"/>
    </row>
    <row r="323" customFormat="false" ht="15" hidden="false" customHeight="false" outlineLevel="0" collapsed="false">
      <c r="A323" s="18" t="n">
        <v>45384</v>
      </c>
      <c r="B323" s="19" t="n">
        <v>1826866235.78</v>
      </c>
      <c r="C323" s="19" t="n">
        <v>0</v>
      </c>
      <c r="D323" s="20"/>
      <c r="E323" s="21" t="n">
        <f aca="false">B323+C323</f>
        <v>1826866235.78</v>
      </c>
      <c r="F323" s="21" t="n">
        <f aca="false">E323+D323</f>
        <v>1826866235.78</v>
      </c>
      <c r="G323" s="22" t="n">
        <f aca="false">IFERROR(C323/E323,0)</f>
        <v>0</v>
      </c>
      <c r="H323" s="20"/>
      <c r="I323" s="20"/>
      <c r="J323" s="20"/>
      <c r="K323" s="21" t="n">
        <f aca="false">H323+I323</f>
        <v>0</v>
      </c>
      <c r="L323" s="20"/>
      <c r="M323" s="21" t="n">
        <f aca="false">H323-L323</f>
        <v>0</v>
      </c>
      <c r="N323" s="23" t="n">
        <f aca="false">IFERROR(M323/B323*10000,0)</f>
        <v>0</v>
      </c>
      <c r="O323" s="20"/>
      <c r="P323" s="20"/>
      <c r="Q323" s="21" t="n">
        <f aca="false">O323+P323</f>
        <v>0</v>
      </c>
      <c r="R323" s="22" t="n">
        <f aca="false">IF(A323&lt;HlpChangeDate,HlpSharePre,HlpSharePost)</f>
        <v>0.03</v>
      </c>
      <c r="S323" s="21" t="n">
        <f aca="false">Q323*R323/(1-R323)</f>
        <v>0</v>
      </c>
      <c r="T323" s="20"/>
      <c r="U323" s="21" t="n">
        <f aca="false">S323-T323</f>
        <v>0</v>
      </c>
      <c r="V323" s="21" t="n">
        <f aca="false">Y323-O323*R323/(1-R323)</f>
        <v>0</v>
      </c>
      <c r="W323" s="21" t="n">
        <f aca="false">Z323-P323*R323/(1-R323)</f>
        <v>0</v>
      </c>
      <c r="X323" s="21" t="n">
        <f aca="false">S323+V323+W323</f>
        <v>0</v>
      </c>
      <c r="Y323" s="20"/>
      <c r="Z323" s="20"/>
      <c r="AA323" s="19" t="n">
        <v>0</v>
      </c>
      <c r="AB323" s="20"/>
      <c r="AC323" s="20"/>
      <c r="AD323" s="24" t="n">
        <f aca="false">IFERROR(AA323/AC323,0)</f>
        <v>0</v>
      </c>
      <c r="AE323" s="25" t="n">
        <f aca="false">K323-Q323-X323</f>
        <v>0</v>
      </c>
      <c r="AF323" s="25" t="n">
        <f aca="false">Q323-AA323</f>
        <v>0</v>
      </c>
      <c r="AG323" s="20"/>
      <c r="AH323" s="26" t="n">
        <f aca="false">IFERROR(AG323/Q323,0)</f>
        <v>0</v>
      </c>
      <c r="AI323" s="27" t="n">
        <v>0</v>
      </c>
      <c r="AJ323" s="26" t="n">
        <f aca="false">IF(AI323&gt;0,AprCoef/SQRT(AI323),0)</f>
        <v>0</v>
      </c>
      <c r="AK323" s="24" t="n">
        <f aca="false">AI323*AJ323/365</f>
        <v>0</v>
      </c>
      <c r="AL323" s="24" t="n">
        <f aca="false">AD323</f>
        <v>0</v>
      </c>
      <c r="AM323" s="24" t="n">
        <f aca="false">AK323-AL323</f>
        <v>0</v>
      </c>
      <c r="AN323" s="28" t="str">
        <f aca="false">IF(A323&gt;=Hip3LaunchDate,"YES","")</f>
        <v/>
      </c>
      <c r="AO323" s="28" t="str">
        <f aca="false">IF(A323&lt;Hip4LaunchDate,"pre-launch","live (zero-fee)")</f>
        <v>pre-launch</v>
      </c>
      <c r="AP323" s="20"/>
      <c r="AQ323" s="20"/>
      <c r="AR323" s="20"/>
    </row>
    <row r="324" customFormat="false" ht="15" hidden="false" customHeight="false" outlineLevel="0" collapsed="false">
      <c r="A324" s="18" t="n">
        <v>45385</v>
      </c>
      <c r="B324" s="19" t="n">
        <v>1273869977.15</v>
      </c>
      <c r="C324" s="19" t="n">
        <v>0</v>
      </c>
      <c r="D324" s="20"/>
      <c r="E324" s="21" t="n">
        <f aca="false">B324+C324</f>
        <v>1273869977.15</v>
      </c>
      <c r="F324" s="21" t="n">
        <f aca="false">E324+D324</f>
        <v>1273869977.15</v>
      </c>
      <c r="G324" s="22" t="n">
        <f aca="false">IFERROR(C324/E324,0)</f>
        <v>0</v>
      </c>
      <c r="H324" s="20"/>
      <c r="I324" s="20"/>
      <c r="J324" s="20"/>
      <c r="K324" s="21" t="n">
        <f aca="false">H324+I324</f>
        <v>0</v>
      </c>
      <c r="L324" s="20"/>
      <c r="M324" s="21" t="n">
        <f aca="false">H324-L324</f>
        <v>0</v>
      </c>
      <c r="N324" s="23" t="n">
        <f aca="false">IFERROR(M324/B324*10000,0)</f>
        <v>0</v>
      </c>
      <c r="O324" s="20"/>
      <c r="P324" s="20"/>
      <c r="Q324" s="21" t="n">
        <f aca="false">O324+P324</f>
        <v>0</v>
      </c>
      <c r="R324" s="22" t="n">
        <f aca="false">IF(A324&lt;HlpChangeDate,HlpSharePre,HlpSharePost)</f>
        <v>0.03</v>
      </c>
      <c r="S324" s="21" t="n">
        <f aca="false">Q324*R324/(1-R324)</f>
        <v>0</v>
      </c>
      <c r="T324" s="20"/>
      <c r="U324" s="21" t="n">
        <f aca="false">S324-T324</f>
        <v>0</v>
      </c>
      <c r="V324" s="21" t="n">
        <f aca="false">Y324-O324*R324/(1-R324)</f>
        <v>0</v>
      </c>
      <c r="W324" s="21" t="n">
        <f aca="false">Z324-P324*R324/(1-R324)</f>
        <v>0</v>
      </c>
      <c r="X324" s="21" t="n">
        <f aca="false">S324+V324+W324</f>
        <v>0</v>
      </c>
      <c r="Y324" s="20"/>
      <c r="Z324" s="20"/>
      <c r="AA324" s="19" t="n">
        <v>0</v>
      </c>
      <c r="AB324" s="20"/>
      <c r="AC324" s="20"/>
      <c r="AD324" s="24" t="n">
        <f aca="false">IFERROR(AA324/AC324,0)</f>
        <v>0</v>
      </c>
      <c r="AE324" s="25" t="n">
        <f aca="false">K324-Q324-X324</f>
        <v>0</v>
      </c>
      <c r="AF324" s="25" t="n">
        <f aca="false">Q324-AA324</f>
        <v>0</v>
      </c>
      <c r="AG324" s="20"/>
      <c r="AH324" s="26" t="n">
        <f aca="false">IFERROR(AG324/Q324,0)</f>
        <v>0</v>
      </c>
      <c r="AI324" s="27" t="n">
        <v>0</v>
      </c>
      <c r="AJ324" s="26" t="n">
        <f aca="false">IF(AI324&gt;0,AprCoef/SQRT(AI324),0)</f>
        <v>0</v>
      </c>
      <c r="AK324" s="24" t="n">
        <f aca="false">AI324*AJ324/365</f>
        <v>0</v>
      </c>
      <c r="AL324" s="24" t="n">
        <f aca="false">AD324</f>
        <v>0</v>
      </c>
      <c r="AM324" s="24" t="n">
        <f aca="false">AK324-AL324</f>
        <v>0</v>
      </c>
      <c r="AN324" s="28" t="str">
        <f aca="false">IF(A324&gt;=Hip3LaunchDate,"YES","")</f>
        <v/>
      </c>
      <c r="AO324" s="28" t="str">
        <f aca="false">IF(A324&lt;Hip4LaunchDate,"pre-launch","live (zero-fee)")</f>
        <v>pre-launch</v>
      </c>
      <c r="AP324" s="20"/>
      <c r="AQ324" s="20"/>
      <c r="AR324" s="20"/>
    </row>
    <row r="325" customFormat="false" ht="15" hidden="false" customHeight="false" outlineLevel="0" collapsed="false">
      <c r="A325" s="18" t="n">
        <v>45386</v>
      </c>
      <c r="B325" s="19" t="n">
        <v>1199426718.75</v>
      </c>
      <c r="C325" s="19" t="n">
        <v>0</v>
      </c>
      <c r="D325" s="20"/>
      <c r="E325" s="21" t="n">
        <f aca="false">B325+C325</f>
        <v>1199426718.75</v>
      </c>
      <c r="F325" s="21" t="n">
        <f aca="false">E325+D325</f>
        <v>1199426718.75</v>
      </c>
      <c r="G325" s="22" t="n">
        <f aca="false">IFERROR(C325/E325,0)</f>
        <v>0</v>
      </c>
      <c r="H325" s="20"/>
      <c r="I325" s="20"/>
      <c r="J325" s="20"/>
      <c r="K325" s="21" t="n">
        <f aca="false">H325+I325</f>
        <v>0</v>
      </c>
      <c r="L325" s="20"/>
      <c r="M325" s="21" t="n">
        <f aca="false">H325-L325</f>
        <v>0</v>
      </c>
      <c r="N325" s="23" t="n">
        <f aca="false">IFERROR(M325/B325*10000,0)</f>
        <v>0</v>
      </c>
      <c r="O325" s="20"/>
      <c r="P325" s="20"/>
      <c r="Q325" s="21" t="n">
        <f aca="false">O325+P325</f>
        <v>0</v>
      </c>
      <c r="R325" s="22" t="n">
        <f aca="false">IF(A325&lt;HlpChangeDate,HlpSharePre,HlpSharePost)</f>
        <v>0.03</v>
      </c>
      <c r="S325" s="21" t="n">
        <f aca="false">Q325*R325/(1-R325)</f>
        <v>0</v>
      </c>
      <c r="T325" s="20"/>
      <c r="U325" s="21" t="n">
        <f aca="false">S325-T325</f>
        <v>0</v>
      </c>
      <c r="V325" s="21" t="n">
        <f aca="false">Y325-O325*R325/(1-R325)</f>
        <v>0</v>
      </c>
      <c r="W325" s="21" t="n">
        <f aca="false">Z325-P325*R325/(1-R325)</f>
        <v>0</v>
      </c>
      <c r="X325" s="21" t="n">
        <f aca="false">S325+V325+W325</f>
        <v>0</v>
      </c>
      <c r="Y325" s="20"/>
      <c r="Z325" s="20"/>
      <c r="AA325" s="19" t="n">
        <v>0</v>
      </c>
      <c r="AB325" s="20"/>
      <c r="AC325" s="20"/>
      <c r="AD325" s="24" t="n">
        <f aca="false">IFERROR(AA325/AC325,0)</f>
        <v>0</v>
      </c>
      <c r="AE325" s="25" t="n">
        <f aca="false">K325-Q325-X325</f>
        <v>0</v>
      </c>
      <c r="AF325" s="25" t="n">
        <f aca="false">Q325-AA325</f>
        <v>0</v>
      </c>
      <c r="AG325" s="20"/>
      <c r="AH325" s="26" t="n">
        <f aca="false">IFERROR(AG325/Q325,0)</f>
        <v>0</v>
      </c>
      <c r="AI325" s="27" t="n">
        <v>0</v>
      </c>
      <c r="AJ325" s="26" t="n">
        <f aca="false">IF(AI325&gt;0,AprCoef/SQRT(AI325),0)</f>
        <v>0</v>
      </c>
      <c r="AK325" s="24" t="n">
        <f aca="false">AI325*AJ325/365</f>
        <v>0</v>
      </c>
      <c r="AL325" s="24" t="n">
        <f aca="false">AD325</f>
        <v>0</v>
      </c>
      <c r="AM325" s="24" t="n">
        <f aca="false">AK325-AL325</f>
        <v>0</v>
      </c>
      <c r="AN325" s="28" t="str">
        <f aca="false">IF(A325&gt;=Hip3LaunchDate,"YES","")</f>
        <v/>
      </c>
      <c r="AO325" s="28" t="str">
        <f aca="false">IF(A325&lt;Hip4LaunchDate,"pre-launch","live (zero-fee)")</f>
        <v>pre-launch</v>
      </c>
      <c r="AP325" s="20"/>
      <c r="AQ325" s="20"/>
      <c r="AR325" s="20"/>
    </row>
    <row r="326" customFormat="false" ht="15" hidden="false" customHeight="false" outlineLevel="0" collapsed="false">
      <c r="A326" s="18" t="n">
        <v>45387</v>
      </c>
      <c r="B326" s="19" t="n">
        <v>1351180214.96</v>
      </c>
      <c r="C326" s="19" t="n">
        <v>0</v>
      </c>
      <c r="D326" s="20"/>
      <c r="E326" s="21" t="n">
        <f aca="false">B326+C326</f>
        <v>1351180214.96</v>
      </c>
      <c r="F326" s="21" t="n">
        <f aca="false">E326+D326</f>
        <v>1351180214.96</v>
      </c>
      <c r="G326" s="22" t="n">
        <f aca="false">IFERROR(C326/E326,0)</f>
        <v>0</v>
      </c>
      <c r="H326" s="20"/>
      <c r="I326" s="20"/>
      <c r="J326" s="20"/>
      <c r="K326" s="21" t="n">
        <f aca="false">H326+I326</f>
        <v>0</v>
      </c>
      <c r="L326" s="20"/>
      <c r="M326" s="21" t="n">
        <f aca="false">H326-L326</f>
        <v>0</v>
      </c>
      <c r="N326" s="23" t="n">
        <f aca="false">IFERROR(M326/B326*10000,0)</f>
        <v>0</v>
      </c>
      <c r="O326" s="20"/>
      <c r="P326" s="20"/>
      <c r="Q326" s="21" t="n">
        <f aca="false">O326+P326</f>
        <v>0</v>
      </c>
      <c r="R326" s="22" t="n">
        <f aca="false">IF(A326&lt;HlpChangeDate,HlpSharePre,HlpSharePost)</f>
        <v>0.03</v>
      </c>
      <c r="S326" s="21" t="n">
        <f aca="false">Q326*R326/(1-R326)</f>
        <v>0</v>
      </c>
      <c r="T326" s="20"/>
      <c r="U326" s="21" t="n">
        <f aca="false">S326-T326</f>
        <v>0</v>
      </c>
      <c r="V326" s="21" t="n">
        <f aca="false">Y326-O326*R326/(1-R326)</f>
        <v>0</v>
      </c>
      <c r="W326" s="21" t="n">
        <f aca="false">Z326-P326*R326/(1-R326)</f>
        <v>0</v>
      </c>
      <c r="X326" s="21" t="n">
        <f aca="false">S326+V326+W326</f>
        <v>0</v>
      </c>
      <c r="Y326" s="20"/>
      <c r="Z326" s="20"/>
      <c r="AA326" s="19" t="n">
        <v>0</v>
      </c>
      <c r="AB326" s="20"/>
      <c r="AC326" s="20"/>
      <c r="AD326" s="24" t="n">
        <f aca="false">IFERROR(AA326/AC326,0)</f>
        <v>0</v>
      </c>
      <c r="AE326" s="25" t="n">
        <f aca="false">K326-Q326-X326</f>
        <v>0</v>
      </c>
      <c r="AF326" s="25" t="n">
        <f aca="false">Q326-AA326</f>
        <v>0</v>
      </c>
      <c r="AG326" s="20"/>
      <c r="AH326" s="26" t="n">
        <f aca="false">IFERROR(AG326/Q326,0)</f>
        <v>0</v>
      </c>
      <c r="AI326" s="27" t="n">
        <v>0</v>
      </c>
      <c r="AJ326" s="26" t="n">
        <f aca="false">IF(AI326&gt;0,AprCoef/SQRT(AI326),0)</f>
        <v>0</v>
      </c>
      <c r="AK326" s="24" t="n">
        <f aca="false">AI326*AJ326/365</f>
        <v>0</v>
      </c>
      <c r="AL326" s="24" t="n">
        <f aca="false">AD326</f>
        <v>0</v>
      </c>
      <c r="AM326" s="24" t="n">
        <f aca="false">AK326-AL326</f>
        <v>0</v>
      </c>
      <c r="AN326" s="28" t="str">
        <f aca="false">IF(A326&gt;=Hip3LaunchDate,"YES","")</f>
        <v/>
      </c>
      <c r="AO326" s="28" t="str">
        <f aca="false">IF(A326&lt;Hip4LaunchDate,"pre-launch","live (zero-fee)")</f>
        <v>pre-launch</v>
      </c>
      <c r="AP326" s="20"/>
      <c r="AQ326" s="20"/>
      <c r="AR326" s="20"/>
    </row>
    <row r="327" customFormat="false" ht="15" hidden="false" customHeight="false" outlineLevel="0" collapsed="false">
      <c r="A327" s="18" t="n">
        <v>45388</v>
      </c>
      <c r="B327" s="19" t="n">
        <v>923812713.59</v>
      </c>
      <c r="C327" s="19" t="n">
        <v>0</v>
      </c>
      <c r="D327" s="20"/>
      <c r="E327" s="21" t="n">
        <f aca="false">B327+C327</f>
        <v>923812713.59</v>
      </c>
      <c r="F327" s="21" t="n">
        <f aca="false">E327+D327</f>
        <v>923812713.59</v>
      </c>
      <c r="G327" s="22" t="n">
        <f aca="false">IFERROR(C327/E327,0)</f>
        <v>0</v>
      </c>
      <c r="H327" s="20"/>
      <c r="I327" s="20"/>
      <c r="J327" s="20"/>
      <c r="K327" s="21" t="n">
        <f aca="false">H327+I327</f>
        <v>0</v>
      </c>
      <c r="L327" s="20"/>
      <c r="M327" s="21" t="n">
        <f aca="false">H327-L327</f>
        <v>0</v>
      </c>
      <c r="N327" s="23" t="n">
        <f aca="false">IFERROR(M327/B327*10000,0)</f>
        <v>0</v>
      </c>
      <c r="O327" s="20"/>
      <c r="P327" s="20"/>
      <c r="Q327" s="21" t="n">
        <f aca="false">O327+P327</f>
        <v>0</v>
      </c>
      <c r="R327" s="22" t="n">
        <f aca="false">IF(A327&lt;HlpChangeDate,HlpSharePre,HlpSharePost)</f>
        <v>0.03</v>
      </c>
      <c r="S327" s="21" t="n">
        <f aca="false">Q327*R327/(1-R327)</f>
        <v>0</v>
      </c>
      <c r="T327" s="20"/>
      <c r="U327" s="21" t="n">
        <f aca="false">S327-T327</f>
        <v>0</v>
      </c>
      <c r="V327" s="21" t="n">
        <f aca="false">Y327-O327*R327/(1-R327)</f>
        <v>0</v>
      </c>
      <c r="W327" s="21" t="n">
        <f aca="false">Z327-P327*R327/(1-R327)</f>
        <v>0</v>
      </c>
      <c r="X327" s="21" t="n">
        <f aca="false">S327+V327+W327</f>
        <v>0</v>
      </c>
      <c r="Y327" s="20"/>
      <c r="Z327" s="20"/>
      <c r="AA327" s="19" t="n">
        <v>0</v>
      </c>
      <c r="AB327" s="20"/>
      <c r="AC327" s="20"/>
      <c r="AD327" s="24" t="n">
        <f aca="false">IFERROR(AA327/AC327,0)</f>
        <v>0</v>
      </c>
      <c r="AE327" s="25" t="n">
        <f aca="false">K327-Q327-X327</f>
        <v>0</v>
      </c>
      <c r="AF327" s="25" t="n">
        <f aca="false">Q327-AA327</f>
        <v>0</v>
      </c>
      <c r="AG327" s="20"/>
      <c r="AH327" s="26" t="n">
        <f aca="false">IFERROR(AG327/Q327,0)</f>
        <v>0</v>
      </c>
      <c r="AI327" s="27" t="n">
        <v>0</v>
      </c>
      <c r="AJ327" s="26" t="n">
        <f aca="false">IF(AI327&gt;0,AprCoef/SQRT(AI327),0)</f>
        <v>0</v>
      </c>
      <c r="AK327" s="24" t="n">
        <f aca="false">AI327*AJ327/365</f>
        <v>0</v>
      </c>
      <c r="AL327" s="24" t="n">
        <f aca="false">AD327</f>
        <v>0</v>
      </c>
      <c r="AM327" s="24" t="n">
        <f aca="false">AK327-AL327</f>
        <v>0</v>
      </c>
      <c r="AN327" s="28" t="str">
        <f aca="false">IF(A327&gt;=Hip3LaunchDate,"YES","")</f>
        <v/>
      </c>
      <c r="AO327" s="28" t="str">
        <f aca="false">IF(A327&lt;Hip4LaunchDate,"pre-launch","live (zero-fee)")</f>
        <v>pre-launch</v>
      </c>
      <c r="AP327" s="20"/>
      <c r="AQ327" s="20"/>
      <c r="AR327" s="20"/>
    </row>
    <row r="328" customFormat="false" ht="15" hidden="false" customHeight="false" outlineLevel="0" collapsed="false">
      <c r="A328" s="18" t="n">
        <v>45389</v>
      </c>
      <c r="B328" s="19" t="n">
        <v>1007509083.85</v>
      </c>
      <c r="C328" s="19" t="n">
        <v>0</v>
      </c>
      <c r="D328" s="20"/>
      <c r="E328" s="21" t="n">
        <f aca="false">B328+C328</f>
        <v>1007509083.85</v>
      </c>
      <c r="F328" s="21" t="n">
        <f aca="false">E328+D328</f>
        <v>1007509083.85</v>
      </c>
      <c r="G328" s="22" t="n">
        <f aca="false">IFERROR(C328/E328,0)</f>
        <v>0</v>
      </c>
      <c r="H328" s="20"/>
      <c r="I328" s="20"/>
      <c r="J328" s="20"/>
      <c r="K328" s="21" t="n">
        <f aca="false">H328+I328</f>
        <v>0</v>
      </c>
      <c r="L328" s="20"/>
      <c r="M328" s="21" t="n">
        <f aca="false">H328-L328</f>
        <v>0</v>
      </c>
      <c r="N328" s="23" t="n">
        <f aca="false">IFERROR(M328/B328*10000,0)</f>
        <v>0</v>
      </c>
      <c r="O328" s="20"/>
      <c r="P328" s="20"/>
      <c r="Q328" s="21" t="n">
        <f aca="false">O328+P328</f>
        <v>0</v>
      </c>
      <c r="R328" s="22" t="n">
        <f aca="false">IF(A328&lt;HlpChangeDate,HlpSharePre,HlpSharePost)</f>
        <v>0.03</v>
      </c>
      <c r="S328" s="21" t="n">
        <f aca="false">Q328*R328/(1-R328)</f>
        <v>0</v>
      </c>
      <c r="T328" s="20"/>
      <c r="U328" s="21" t="n">
        <f aca="false">S328-T328</f>
        <v>0</v>
      </c>
      <c r="V328" s="21" t="n">
        <f aca="false">Y328-O328*R328/(1-R328)</f>
        <v>0</v>
      </c>
      <c r="W328" s="21" t="n">
        <f aca="false">Z328-P328*R328/(1-R328)</f>
        <v>0</v>
      </c>
      <c r="X328" s="21" t="n">
        <f aca="false">S328+V328+W328</f>
        <v>0</v>
      </c>
      <c r="Y328" s="20"/>
      <c r="Z328" s="20"/>
      <c r="AA328" s="19" t="n">
        <v>0</v>
      </c>
      <c r="AB328" s="20"/>
      <c r="AC328" s="20"/>
      <c r="AD328" s="24" t="n">
        <f aca="false">IFERROR(AA328/AC328,0)</f>
        <v>0</v>
      </c>
      <c r="AE328" s="25" t="n">
        <f aca="false">K328-Q328-X328</f>
        <v>0</v>
      </c>
      <c r="AF328" s="25" t="n">
        <f aca="false">Q328-AA328</f>
        <v>0</v>
      </c>
      <c r="AG328" s="20"/>
      <c r="AH328" s="26" t="n">
        <f aca="false">IFERROR(AG328/Q328,0)</f>
        <v>0</v>
      </c>
      <c r="AI328" s="27" t="n">
        <v>0</v>
      </c>
      <c r="AJ328" s="26" t="n">
        <f aca="false">IF(AI328&gt;0,AprCoef/SQRT(AI328),0)</f>
        <v>0</v>
      </c>
      <c r="AK328" s="24" t="n">
        <f aca="false">AI328*AJ328/365</f>
        <v>0</v>
      </c>
      <c r="AL328" s="24" t="n">
        <f aca="false">AD328</f>
        <v>0</v>
      </c>
      <c r="AM328" s="24" t="n">
        <f aca="false">AK328-AL328</f>
        <v>0</v>
      </c>
      <c r="AN328" s="28" t="str">
        <f aca="false">IF(A328&gt;=Hip3LaunchDate,"YES","")</f>
        <v/>
      </c>
      <c r="AO328" s="28" t="str">
        <f aca="false">IF(A328&lt;Hip4LaunchDate,"pre-launch","live (zero-fee)")</f>
        <v>pre-launch</v>
      </c>
      <c r="AP328" s="20"/>
      <c r="AQ328" s="20"/>
      <c r="AR328" s="20"/>
    </row>
    <row r="329" customFormat="false" ht="15" hidden="false" customHeight="false" outlineLevel="0" collapsed="false">
      <c r="A329" s="18" t="n">
        <v>45390</v>
      </c>
      <c r="B329" s="19" t="n">
        <v>1845482693.74</v>
      </c>
      <c r="C329" s="19" t="n">
        <v>0</v>
      </c>
      <c r="D329" s="20"/>
      <c r="E329" s="21" t="n">
        <f aca="false">B329+C329</f>
        <v>1845482693.74</v>
      </c>
      <c r="F329" s="21" t="n">
        <f aca="false">E329+D329</f>
        <v>1845482693.74</v>
      </c>
      <c r="G329" s="22" t="n">
        <f aca="false">IFERROR(C329/E329,0)</f>
        <v>0</v>
      </c>
      <c r="H329" s="20"/>
      <c r="I329" s="20"/>
      <c r="J329" s="20"/>
      <c r="K329" s="21" t="n">
        <f aca="false">H329+I329</f>
        <v>0</v>
      </c>
      <c r="L329" s="20"/>
      <c r="M329" s="21" t="n">
        <f aca="false">H329-L329</f>
        <v>0</v>
      </c>
      <c r="N329" s="23" t="n">
        <f aca="false">IFERROR(M329/B329*10000,0)</f>
        <v>0</v>
      </c>
      <c r="O329" s="20"/>
      <c r="P329" s="20"/>
      <c r="Q329" s="21" t="n">
        <f aca="false">O329+P329</f>
        <v>0</v>
      </c>
      <c r="R329" s="22" t="n">
        <f aca="false">IF(A329&lt;HlpChangeDate,HlpSharePre,HlpSharePost)</f>
        <v>0.03</v>
      </c>
      <c r="S329" s="21" t="n">
        <f aca="false">Q329*R329/(1-R329)</f>
        <v>0</v>
      </c>
      <c r="T329" s="20"/>
      <c r="U329" s="21" t="n">
        <f aca="false">S329-T329</f>
        <v>0</v>
      </c>
      <c r="V329" s="21" t="n">
        <f aca="false">Y329-O329*R329/(1-R329)</f>
        <v>0</v>
      </c>
      <c r="W329" s="21" t="n">
        <f aca="false">Z329-P329*R329/(1-R329)</f>
        <v>0</v>
      </c>
      <c r="X329" s="21" t="n">
        <f aca="false">S329+V329+W329</f>
        <v>0</v>
      </c>
      <c r="Y329" s="20"/>
      <c r="Z329" s="20"/>
      <c r="AA329" s="19" t="n">
        <v>0</v>
      </c>
      <c r="AB329" s="20"/>
      <c r="AC329" s="20"/>
      <c r="AD329" s="24" t="n">
        <f aca="false">IFERROR(AA329/AC329,0)</f>
        <v>0</v>
      </c>
      <c r="AE329" s="25" t="n">
        <f aca="false">K329-Q329-X329</f>
        <v>0</v>
      </c>
      <c r="AF329" s="25" t="n">
        <f aca="false">Q329-AA329</f>
        <v>0</v>
      </c>
      <c r="AG329" s="20"/>
      <c r="AH329" s="26" t="n">
        <f aca="false">IFERROR(AG329/Q329,0)</f>
        <v>0</v>
      </c>
      <c r="AI329" s="27" t="n">
        <v>0</v>
      </c>
      <c r="AJ329" s="26" t="n">
        <f aca="false">IF(AI329&gt;0,AprCoef/SQRT(AI329),0)</f>
        <v>0</v>
      </c>
      <c r="AK329" s="24" t="n">
        <f aca="false">AI329*AJ329/365</f>
        <v>0</v>
      </c>
      <c r="AL329" s="24" t="n">
        <f aca="false">AD329</f>
        <v>0</v>
      </c>
      <c r="AM329" s="24" t="n">
        <f aca="false">AK329-AL329</f>
        <v>0</v>
      </c>
      <c r="AN329" s="28" t="str">
        <f aca="false">IF(A329&gt;=Hip3LaunchDate,"YES","")</f>
        <v/>
      </c>
      <c r="AO329" s="28" t="str">
        <f aca="false">IF(A329&lt;Hip4LaunchDate,"pre-launch","live (zero-fee)")</f>
        <v>pre-launch</v>
      </c>
      <c r="AP329" s="20"/>
      <c r="AQ329" s="20"/>
      <c r="AR329" s="20"/>
    </row>
    <row r="330" customFormat="false" ht="15" hidden="false" customHeight="false" outlineLevel="0" collapsed="false">
      <c r="A330" s="18" t="n">
        <v>45391</v>
      </c>
      <c r="B330" s="19" t="n">
        <v>2072995144.25</v>
      </c>
      <c r="C330" s="19" t="n">
        <v>0</v>
      </c>
      <c r="D330" s="20"/>
      <c r="E330" s="21" t="n">
        <f aca="false">B330+C330</f>
        <v>2072995144.25</v>
      </c>
      <c r="F330" s="21" t="n">
        <f aca="false">E330+D330</f>
        <v>2072995144.25</v>
      </c>
      <c r="G330" s="22" t="n">
        <f aca="false">IFERROR(C330/E330,0)</f>
        <v>0</v>
      </c>
      <c r="H330" s="20"/>
      <c r="I330" s="20"/>
      <c r="J330" s="20"/>
      <c r="K330" s="21" t="n">
        <f aca="false">H330+I330</f>
        <v>0</v>
      </c>
      <c r="L330" s="20"/>
      <c r="M330" s="21" t="n">
        <f aca="false">H330-L330</f>
        <v>0</v>
      </c>
      <c r="N330" s="23" t="n">
        <f aca="false">IFERROR(M330/B330*10000,0)</f>
        <v>0</v>
      </c>
      <c r="O330" s="20"/>
      <c r="P330" s="20"/>
      <c r="Q330" s="21" t="n">
        <f aca="false">O330+P330</f>
        <v>0</v>
      </c>
      <c r="R330" s="22" t="n">
        <f aca="false">IF(A330&lt;HlpChangeDate,HlpSharePre,HlpSharePost)</f>
        <v>0.03</v>
      </c>
      <c r="S330" s="21" t="n">
        <f aca="false">Q330*R330/(1-R330)</f>
        <v>0</v>
      </c>
      <c r="T330" s="20"/>
      <c r="U330" s="21" t="n">
        <f aca="false">S330-T330</f>
        <v>0</v>
      </c>
      <c r="V330" s="21" t="n">
        <f aca="false">Y330-O330*R330/(1-R330)</f>
        <v>0</v>
      </c>
      <c r="W330" s="21" t="n">
        <f aca="false">Z330-P330*R330/(1-R330)</f>
        <v>0</v>
      </c>
      <c r="X330" s="21" t="n">
        <f aca="false">S330+V330+W330</f>
        <v>0</v>
      </c>
      <c r="Y330" s="20"/>
      <c r="Z330" s="20"/>
      <c r="AA330" s="19" t="n">
        <v>0</v>
      </c>
      <c r="AB330" s="20"/>
      <c r="AC330" s="20"/>
      <c r="AD330" s="24" t="n">
        <f aca="false">IFERROR(AA330/AC330,0)</f>
        <v>0</v>
      </c>
      <c r="AE330" s="25" t="n">
        <f aca="false">K330-Q330-X330</f>
        <v>0</v>
      </c>
      <c r="AF330" s="25" t="n">
        <f aca="false">Q330-AA330</f>
        <v>0</v>
      </c>
      <c r="AG330" s="20"/>
      <c r="AH330" s="26" t="n">
        <f aca="false">IFERROR(AG330/Q330,0)</f>
        <v>0</v>
      </c>
      <c r="AI330" s="27" t="n">
        <v>0</v>
      </c>
      <c r="AJ330" s="26" t="n">
        <f aca="false">IF(AI330&gt;0,AprCoef/SQRT(AI330),0)</f>
        <v>0</v>
      </c>
      <c r="AK330" s="24" t="n">
        <f aca="false">AI330*AJ330/365</f>
        <v>0</v>
      </c>
      <c r="AL330" s="24" t="n">
        <f aca="false">AD330</f>
        <v>0</v>
      </c>
      <c r="AM330" s="24" t="n">
        <f aca="false">AK330-AL330</f>
        <v>0</v>
      </c>
      <c r="AN330" s="28" t="str">
        <f aca="false">IF(A330&gt;=Hip3LaunchDate,"YES","")</f>
        <v/>
      </c>
      <c r="AO330" s="28" t="str">
        <f aca="false">IF(A330&lt;Hip4LaunchDate,"pre-launch","live (zero-fee)")</f>
        <v>pre-launch</v>
      </c>
      <c r="AP330" s="20"/>
      <c r="AQ330" s="20"/>
      <c r="AR330" s="20"/>
    </row>
    <row r="331" customFormat="false" ht="15" hidden="false" customHeight="false" outlineLevel="0" collapsed="false">
      <c r="A331" s="18" t="n">
        <v>45392</v>
      </c>
      <c r="B331" s="19" t="n">
        <v>1563490113.32</v>
      </c>
      <c r="C331" s="19" t="n">
        <v>0</v>
      </c>
      <c r="D331" s="20"/>
      <c r="E331" s="21" t="n">
        <f aca="false">B331+C331</f>
        <v>1563490113.32</v>
      </c>
      <c r="F331" s="21" t="n">
        <f aca="false">E331+D331</f>
        <v>1563490113.32</v>
      </c>
      <c r="G331" s="22" t="n">
        <f aca="false">IFERROR(C331/E331,0)</f>
        <v>0</v>
      </c>
      <c r="H331" s="20"/>
      <c r="I331" s="20"/>
      <c r="J331" s="20"/>
      <c r="K331" s="21" t="n">
        <f aca="false">H331+I331</f>
        <v>0</v>
      </c>
      <c r="L331" s="20"/>
      <c r="M331" s="21" t="n">
        <f aca="false">H331-L331</f>
        <v>0</v>
      </c>
      <c r="N331" s="23" t="n">
        <f aca="false">IFERROR(M331/B331*10000,0)</f>
        <v>0</v>
      </c>
      <c r="O331" s="20"/>
      <c r="P331" s="20"/>
      <c r="Q331" s="21" t="n">
        <f aca="false">O331+P331</f>
        <v>0</v>
      </c>
      <c r="R331" s="22" t="n">
        <f aca="false">IF(A331&lt;HlpChangeDate,HlpSharePre,HlpSharePost)</f>
        <v>0.03</v>
      </c>
      <c r="S331" s="21" t="n">
        <f aca="false">Q331*R331/(1-R331)</f>
        <v>0</v>
      </c>
      <c r="T331" s="20"/>
      <c r="U331" s="21" t="n">
        <f aca="false">S331-T331</f>
        <v>0</v>
      </c>
      <c r="V331" s="21" t="n">
        <f aca="false">Y331-O331*R331/(1-R331)</f>
        <v>0</v>
      </c>
      <c r="W331" s="21" t="n">
        <f aca="false">Z331-P331*R331/(1-R331)</f>
        <v>0</v>
      </c>
      <c r="X331" s="21" t="n">
        <f aca="false">S331+V331+W331</f>
        <v>0</v>
      </c>
      <c r="Y331" s="20"/>
      <c r="Z331" s="20"/>
      <c r="AA331" s="19" t="n">
        <v>0</v>
      </c>
      <c r="AB331" s="20"/>
      <c r="AC331" s="20"/>
      <c r="AD331" s="24" t="n">
        <f aca="false">IFERROR(AA331/AC331,0)</f>
        <v>0</v>
      </c>
      <c r="AE331" s="25" t="n">
        <f aca="false">K331-Q331-X331</f>
        <v>0</v>
      </c>
      <c r="AF331" s="25" t="n">
        <f aca="false">Q331-AA331</f>
        <v>0</v>
      </c>
      <c r="AG331" s="20"/>
      <c r="AH331" s="26" t="n">
        <f aca="false">IFERROR(AG331/Q331,0)</f>
        <v>0</v>
      </c>
      <c r="AI331" s="27" t="n">
        <v>0</v>
      </c>
      <c r="AJ331" s="26" t="n">
        <f aca="false">IF(AI331&gt;0,AprCoef/SQRT(AI331),0)</f>
        <v>0</v>
      </c>
      <c r="AK331" s="24" t="n">
        <f aca="false">AI331*AJ331/365</f>
        <v>0</v>
      </c>
      <c r="AL331" s="24" t="n">
        <f aca="false">AD331</f>
        <v>0</v>
      </c>
      <c r="AM331" s="24" t="n">
        <f aca="false">AK331-AL331</f>
        <v>0</v>
      </c>
      <c r="AN331" s="28" t="str">
        <f aca="false">IF(A331&gt;=Hip3LaunchDate,"YES","")</f>
        <v/>
      </c>
      <c r="AO331" s="28" t="str">
        <f aca="false">IF(A331&lt;Hip4LaunchDate,"pre-launch","live (zero-fee)")</f>
        <v>pre-launch</v>
      </c>
      <c r="AP331" s="20"/>
      <c r="AQ331" s="20"/>
      <c r="AR331" s="20"/>
    </row>
    <row r="332" customFormat="false" ht="15" hidden="false" customHeight="false" outlineLevel="0" collapsed="false">
      <c r="A332" s="18" t="n">
        <v>45393</v>
      </c>
      <c r="B332" s="19" t="n">
        <v>1404940758.28</v>
      </c>
      <c r="C332" s="19" t="n">
        <v>0</v>
      </c>
      <c r="D332" s="20"/>
      <c r="E332" s="21" t="n">
        <f aca="false">B332+C332</f>
        <v>1404940758.28</v>
      </c>
      <c r="F332" s="21" t="n">
        <f aca="false">E332+D332</f>
        <v>1404940758.28</v>
      </c>
      <c r="G332" s="22" t="n">
        <f aca="false">IFERROR(C332/E332,0)</f>
        <v>0</v>
      </c>
      <c r="H332" s="20"/>
      <c r="I332" s="20"/>
      <c r="J332" s="20"/>
      <c r="K332" s="21" t="n">
        <f aca="false">H332+I332</f>
        <v>0</v>
      </c>
      <c r="L332" s="20"/>
      <c r="M332" s="21" t="n">
        <f aca="false">H332-L332</f>
        <v>0</v>
      </c>
      <c r="N332" s="23" t="n">
        <f aca="false">IFERROR(M332/B332*10000,0)</f>
        <v>0</v>
      </c>
      <c r="O332" s="20"/>
      <c r="P332" s="20"/>
      <c r="Q332" s="21" t="n">
        <f aca="false">O332+P332</f>
        <v>0</v>
      </c>
      <c r="R332" s="22" t="n">
        <f aca="false">IF(A332&lt;HlpChangeDate,HlpSharePre,HlpSharePost)</f>
        <v>0.03</v>
      </c>
      <c r="S332" s="21" t="n">
        <f aca="false">Q332*R332/(1-R332)</f>
        <v>0</v>
      </c>
      <c r="T332" s="20"/>
      <c r="U332" s="21" t="n">
        <f aca="false">S332-T332</f>
        <v>0</v>
      </c>
      <c r="V332" s="21" t="n">
        <f aca="false">Y332-O332*R332/(1-R332)</f>
        <v>0</v>
      </c>
      <c r="W332" s="21" t="n">
        <f aca="false">Z332-P332*R332/(1-R332)</f>
        <v>0</v>
      </c>
      <c r="X332" s="21" t="n">
        <f aca="false">S332+V332+W332</f>
        <v>0</v>
      </c>
      <c r="Y332" s="20"/>
      <c r="Z332" s="20"/>
      <c r="AA332" s="19" t="n">
        <v>0</v>
      </c>
      <c r="AB332" s="20"/>
      <c r="AC332" s="20"/>
      <c r="AD332" s="24" t="n">
        <f aca="false">IFERROR(AA332/AC332,0)</f>
        <v>0</v>
      </c>
      <c r="AE332" s="25" t="n">
        <f aca="false">K332-Q332-X332</f>
        <v>0</v>
      </c>
      <c r="AF332" s="25" t="n">
        <f aca="false">Q332-AA332</f>
        <v>0</v>
      </c>
      <c r="AG332" s="20"/>
      <c r="AH332" s="26" t="n">
        <f aca="false">IFERROR(AG332/Q332,0)</f>
        <v>0</v>
      </c>
      <c r="AI332" s="27" t="n">
        <v>0</v>
      </c>
      <c r="AJ332" s="26" t="n">
        <f aca="false">IF(AI332&gt;0,AprCoef/SQRT(AI332),0)</f>
        <v>0</v>
      </c>
      <c r="AK332" s="24" t="n">
        <f aca="false">AI332*AJ332/365</f>
        <v>0</v>
      </c>
      <c r="AL332" s="24" t="n">
        <f aca="false">AD332</f>
        <v>0</v>
      </c>
      <c r="AM332" s="24" t="n">
        <f aca="false">AK332-AL332</f>
        <v>0</v>
      </c>
      <c r="AN332" s="28" t="str">
        <f aca="false">IF(A332&gt;=Hip3LaunchDate,"YES","")</f>
        <v/>
      </c>
      <c r="AO332" s="28" t="str">
        <f aca="false">IF(A332&lt;Hip4LaunchDate,"pre-launch","live (zero-fee)")</f>
        <v>pre-launch</v>
      </c>
      <c r="AP332" s="20"/>
      <c r="AQ332" s="20"/>
      <c r="AR332" s="20"/>
    </row>
    <row r="333" customFormat="false" ht="15" hidden="false" customHeight="false" outlineLevel="0" collapsed="false">
      <c r="A333" s="18" t="n">
        <v>45394</v>
      </c>
      <c r="B333" s="19" t="n">
        <v>2317352311.11</v>
      </c>
      <c r="C333" s="19" t="n">
        <v>0</v>
      </c>
      <c r="D333" s="20"/>
      <c r="E333" s="21" t="n">
        <f aca="false">B333+C333</f>
        <v>2317352311.11</v>
      </c>
      <c r="F333" s="21" t="n">
        <f aca="false">E333+D333</f>
        <v>2317352311.11</v>
      </c>
      <c r="G333" s="22" t="n">
        <f aca="false">IFERROR(C333/E333,0)</f>
        <v>0</v>
      </c>
      <c r="H333" s="20"/>
      <c r="I333" s="20"/>
      <c r="J333" s="20"/>
      <c r="K333" s="21" t="n">
        <f aca="false">H333+I333</f>
        <v>0</v>
      </c>
      <c r="L333" s="20"/>
      <c r="M333" s="21" t="n">
        <f aca="false">H333-L333</f>
        <v>0</v>
      </c>
      <c r="N333" s="23" t="n">
        <f aca="false">IFERROR(M333/B333*10000,0)</f>
        <v>0</v>
      </c>
      <c r="O333" s="20"/>
      <c r="P333" s="20"/>
      <c r="Q333" s="21" t="n">
        <f aca="false">O333+P333</f>
        <v>0</v>
      </c>
      <c r="R333" s="22" t="n">
        <f aca="false">IF(A333&lt;HlpChangeDate,HlpSharePre,HlpSharePost)</f>
        <v>0.03</v>
      </c>
      <c r="S333" s="21" t="n">
        <f aca="false">Q333*R333/(1-R333)</f>
        <v>0</v>
      </c>
      <c r="T333" s="20"/>
      <c r="U333" s="21" t="n">
        <f aca="false">S333-T333</f>
        <v>0</v>
      </c>
      <c r="V333" s="21" t="n">
        <f aca="false">Y333-O333*R333/(1-R333)</f>
        <v>0</v>
      </c>
      <c r="W333" s="21" t="n">
        <f aca="false">Z333-P333*R333/(1-R333)</f>
        <v>0</v>
      </c>
      <c r="X333" s="21" t="n">
        <f aca="false">S333+V333+W333</f>
        <v>0</v>
      </c>
      <c r="Y333" s="20"/>
      <c r="Z333" s="20"/>
      <c r="AA333" s="19" t="n">
        <v>0</v>
      </c>
      <c r="AB333" s="20"/>
      <c r="AC333" s="20"/>
      <c r="AD333" s="24" t="n">
        <f aca="false">IFERROR(AA333/AC333,0)</f>
        <v>0</v>
      </c>
      <c r="AE333" s="25" t="n">
        <f aca="false">K333-Q333-X333</f>
        <v>0</v>
      </c>
      <c r="AF333" s="25" t="n">
        <f aca="false">Q333-AA333</f>
        <v>0</v>
      </c>
      <c r="AG333" s="20"/>
      <c r="AH333" s="26" t="n">
        <f aca="false">IFERROR(AG333/Q333,0)</f>
        <v>0</v>
      </c>
      <c r="AI333" s="27" t="n">
        <v>0</v>
      </c>
      <c r="AJ333" s="26" t="n">
        <f aca="false">IF(AI333&gt;0,AprCoef/SQRT(AI333),0)</f>
        <v>0</v>
      </c>
      <c r="AK333" s="24" t="n">
        <f aca="false">AI333*AJ333/365</f>
        <v>0</v>
      </c>
      <c r="AL333" s="24" t="n">
        <f aca="false">AD333</f>
        <v>0</v>
      </c>
      <c r="AM333" s="24" t="n">
        <f aca="false">AK333-AL333</f>
        <v>0</v>
      </c>
      <c r="AN333" s="28" t="str">
        <f aca="false">IF(A333&gt;=Hip3LaunchDate,"YES","")</f>
        <v/>
      </c>
      <c r="AO333" s="28" t="str">
        <f aca="false">IF(A333&lt;Hip4LaunchDate,"pre-launch","live (zero-fee)")</f>
        <v>pre-launch</v>
      </c>
      <c r="AP333" s="20"/>
      <c r="AQ333" s="20"/>
      <c r="AR333" s="20"/>
    </row>
    <row r="334" customFormat="false" ht="15" hidden="false" customHeight="false" outlineLevel="0" collapsed="false">
      <c r="A334" s="18" t="n">
        <v>45395</v>
      </c>
      <c r="B334" s="19" t="n">
        <v>2691265991.36</v>
      </c>
      <c r="C334" s="19" t="n">
        <v>0</v>
      </c>
      <c r="D334" s="20"/>
      <c r="E334" s="21" t="n">
        <f aca="false">B334+C334</f>
        <v>2691265991.36</v>
      </c>
      <c r="F334" s="21" t="n">
        <f aca="false">E334+D334</f>
        <v>2691265991.36</v>
      </c>
      <c r="G334" s="22" t="n">
        <f aca="false">IFERROR(C334/E334,0)</f>
        <v>0</v>
      </c>
      <c r="H334" s="20"/>
      <c r="I334" s="20"/>
      <c r="J334" s="20"/>
      <c r="K334" s="21" t="n">
        <f aca="false">H334+I334</f>
        <v>0</v>
      </c>
      <c r="L334" s="20"/>
      <c r="M334" s="21" t="n">
        <f aca="false">H334-L334</f>
        <v>0</v>
      </c>
      <c r="N334" s="23" t="n">
        <f aca="false">IFERROR(M334/B334*10000,0)</f>
        <v>0</v>
      </c>
      <c r="O334" s="20"/>
      <c r="P334" s="20"/>
      <c r="Q334" s="21" t="n">
        <f aca="false">O334+P334</f>
        <v>0</v>
      </c>
      <c r="R334" s="22" t="n">
        <f aca="false">IF(A334&lt;HlpChangeDate,HlpSharePre,HlpSharePost)</f>
        <v>0.03</v>
      </c>
      <c r="S334" s="21" t="n">
        <f aca="false">Q334*R334/(1-R334)</f>
        <v>0</v>
      </c>
      <c r="T334" s="20"/>
      <c r="U334" s="21" t="n">
        <f aca="false">S334-T334</f>
        <v>0</v>
      </c>
      <c r="V334" s="21" t="n">
        <f aca="false">Y334-O334*R334/(1-R334)</f>
        <v>0</v>
      </c>
      <c r="W334" s="21" t="n">
        <f aca="false">Z334-P334*R334/(1-R334)</f>
        <v>0</v>
      </c>
      <c r="X334" s="21" t="n">
        <f aca="false">S334+V334+W334</f>
        <v>0</v>
      </c>
      <c r="Y334" s="20"/>
      <c r="Z334" s="20"/>
      <c r="AA334" s="19" t="n">
        <v>0</v>
      </c>
      <c r="AB334" s="20"/>
      <c r="AC334" s="20"/>
      <c r="AD334" s="24" t="n">
        <f aca="false">IFERROR(AA334/AC334,0)</f>
        <v>0</v>
      </c>
      <c r="AE334" s="25" t="n">
        <f aca="false">K334-Q334-X334</f>
        <v>0</v>
      </c>
      <c r="AF334" s="25" t="n">
        <f aca="false">Q334-AA334</f>
        <v>0</v>
      </c>
      <c r="AG334" s="20"/>
      <c r="AH334" s="26" t="n">
        <f aca="false">IFERROR(AG334/Q334,0)</f>
        <v>0</v>
      </c>
      <c r="AI334" s="27" t="n">
        <v>0</v>
      </c>
      <c r="AJ334" s="26" t="n">
        <f aca="false">IF(AI334&gt;0,AprCoef/SQRT(AI334),0)</f>
        <v>0</v>
      </c>
      <c r="AK334" s="24" t="n">
        <f aca="false">AI334*AJ334/365</f>
        <v>0</v>
      </c>
      <c r="AL334" s="24" t="n">
        <f aca="false">AD334</f>
        <v>0</v>
      </c>
      <c r="AM334" s="24" t="n">
        <f aca="false">AK334-AL334</f>
        <v>0</v>
      </c>
      <c r="AN334" s="28" t="str">
        <f aca="false">IF(A334&gt;=Hip3LaunchDate,"YES","")</f>
        <v/>
      </c>
      <c r="AO334" s="28" t="str">
        <f aca="false">IF(A334&lt;Hip4LaunchDate,"pre-launch","live (zero-fee)")</f>
        <v>pre-launch</v>
      </c>
      <c r="AP334" s="20"/>
      <c r="AQ334" s="20"/>
      <c r="AR334" s="20"/>
    </row>
    <row r="335" customFormat="false" ht="15" hidden="false" customHeight="false" outlineLevel="0" collapsed="false">
      <c r="A335" s="18" t="n">
        <v>45396</v>
      </c>
      <c r="B335" s="19" t="n">
        <v>1839338310.54</v>
      </c>
      <c r="C335" s="19" t="n">
        <v>0</v>
      </c>
      <c r="D335" s="20"/>
      <c r="E335" s="21" t="n">
        <f aca="false">B335+C335</f>
        <v>1839338310.54</v>
      </c>
      <c r="F335" s="21" t="n">
        <f aca="false">E335+D335</f>
        <v>1839338310.54</v>
      </c>
      <c r="G335" s="22" t="n">
        <f aca="false">IFERROR(C335/E335,0)</f>
        <v>0</v>
      </c>
      <c r="H335" s="20"/>
      <c r="I335" s="20"/>
      <c r="J335" s="20"/>
      <c r="K335" s="21" t="n">
        <f aca="false">H335+I335</f>
        <v>0</v>
      </c>
      <c r="L335" s="20"/>
      <c r="M335" s="21" t="n">
        <f aca="false">H335-L335</f>
        <v>0</v>
      </c>
      <c r="N335" s="23" t="n">
        <f aca="false">IFERROR(M335/B335*10000,0)</f>
        <v>0</v>
      </c>
      <c r="O335" s="20"/>
      <c r="P335" s="20"/>
      <c r="Q335" s="21" t="n">
        <f aca="false">O335+P335</f>
        <v>0</v>
      </c>
      <c r="R335" s="22" t="n">
        <f aca="false">IF(A335&lt;HlpChangeDate,HlpSharePre,HlpSharePost)</f>
        <v>0.03</v>
      </c>
      <c r="S335" s="21" t="n">
        <f aca="false">Q335*R335/(1-R335)</f>
        <v>0</v>
      </c>
      <c r="T335" s="20"/>
      <c r="U335" s="21" t="n">
        <f aca="false">S335-T335</f>
        <v>0</v>
      </c>
      <c r="V335" s="21" t="n">
        <f aca="false">Y335-O335*R335/(1-R335)</f>
        <v>0</v>
      </c>
      <c r="W335" s="21" t="n">
        <f aca="false">Z335-P335*R335/(1-R335)</f>
        <v>0</v>
      </c>
      <c r="X335" s="21" t="n">
        <f aca="false">S335+V335+W335</f>
        <v>0</v>
      </c>
      <c r="Y335" s="20"/>
      <c r="Z335" s="20"/>
      <c r="AA335" s="19" t="n">
        <v>0</v>
      </c>
      <c r="AB335" s="20"/>
      <c r="AC335" s="20"/>
      <c r="AD335" s="24" t="n">
        <f aca="false">IFERROR(AA335/AC335,0)</f>
        <v>0</v>
      </c>
      <c r="AE335" s="25" t="n">
        <f aca="false">K335-Q335-X335</f>
        <v>0</v>
      </c>
      <c r="AF335" s="25" t="n">
        <f aca="false">Q335-AA335</f>
        <v>0</v>
      </c>
      <c r="AG335" s="20"/>
      <c r="AH335" s="26" t="n">
        <f aca="false">IFERROR(AG335/Q335,0)</f>
        <v>0</v>
      </c>
      <c r="AI335" s="27" t="n">
        <v>0</v>
      </c>
      <c r="AJ335" s="26" t="n">
        <f aca="false">IF(AI335&gt;0,AprCoef/SQRT(AI335),0)</f>
        <v>0</v>
      </c>
      <c r="AK335" s="24" t="n">
        <f aca="false">AI335*AJ335/365</f>
        <v>0</v>
      </c>
      <c r="AL335" s="24" t="n">
        <f aca="false">AD335</f>
        <v>0</v>
      </c>
      <c r="AM335" s="24" t="n">
        <f aca="false">AK335-AL335</f>
        <v>0</v>
      </c>
      <c r="AN335" s="28" t="str">
        <f aca="false">IF(A335&gt;=Hip3LaunchDate,"YES","")</f>
        <v/>
      </c>
      <c r="AO335" s="28" t="str">
        <f aca="false">IF(A335&lt;Hip4LaunchDate,"pre-launch","live (zero-fee)")</f>
        <v>pre-launch</v>
      </c>
      <c r="AP335" s="20"/>
      <c r="AQ335" s="20"/>
      <c r="AR335" s="20"/>
    </row>
    <row r="336" customFormat="false" ht="15" hidden="false" customHeight="false" outlineLevel="0" collapsed="false">
      <c r="A336" s="18" t="n">
        <v>45397</v>
      </c>
      <c r="B336" s="19" t="n">
        <v>1761054820.06</v>
      </c>
      <c r="C336" s="19" t="n">
        <v>0</v>
      </c>
      <c r="D336" s="20"/>
      <c r="E336" s="21" t="n">
        <f aca="false">B336+C336</f>
        <v>1761054820.06</v>
      </c>
      <c r="F336" s="21" t="n">
        <f aca="false">E336+D336</f>
        <v>1761054820.06</v>
      </c>
      <c r="G336" s="22" t="n">
        <f aca="false">IFERROR(C336/E336,0)</f>
        <v>0</v>
      </c>
      <c r="H336" s="20"/>
      <c r="I336" s="20"/>
      <c r="J336" s="20"/>
      <c r="K336" s="21" t="n">
        <f aca="false">H336+I336</f>
        <v>0</v>
      </c>
      <c r="L336" s="20"/>
      <c r="M336" s="21" t="n">
        <f aca="false">H336-L336</f>
        <v>0</v>
      </c>
      <c r="N336" s="23" t="n">
        <f aca="false">IFERROR(M336/B336*10000,0)</f>
        <v>0</v>
      </c>
      <c r="O336" s="20"/>
      <c r="P336" s="20"/>
      <c r="Q336" s="21" t="n">
        <f aca="false">O336+P336</f>
        <v>0</v>
      </c>
      <c r="R336" s="22" t="n">
        <f aca="false">IF(A336&lt;HlpChangeDate,HlpSharePre,HlpSharePost)</f>
        <v>0.03</v>
      </c>
      <c r="S336" s="21" t="n">
        <f aca="false">Q336*R336/(1-R336)</f>
        <v>0</v>
      </c>
      <c r="T336" s="20"/>
      <c r="U336" s="21" t="n">
        <f aca="false">S336-T336</f>
        <v>0</v>
      </c>
      <c r="V336" s="21" t="n">
        <f aca="false">Y336-O336*R336/(1-R336)</f>
        <v>0</v>
      </c>
      <c r="W336" s="21" t="n">
        <f aca="false">Z336-P336*R336/(1-R336)</f>
        <v>0</v>
      </c>
      <c r="X336" s="21" t="n">
        <f aca="false">S336+V336+W336</f>
        <v>0</v>
      </c>
      <c r="Y336" s="20"/>
      <c r="Z336" s="20"/>
      <c r="AA336" s="19" t="n">
        <v>0</v>
      </c>
      <c r="AB336" s="20"/>
      <c r="AC336" s="20"/>
      <c r="AD336" s="24" t="n">
        <f aca="false">IFERROR(AA336/AC336,0)</f>
        <v>0</v>
      </c>
      <c r="AE336" s="25" t="n">
        <f aca="false">K336-Q336-X336</f>
        <v>0</v>
      </c>
      <c r="AF336" s="25" t="n">
        <f aca="false">Q336-AA336</f>
        <v>0</v>
      </c>
      <c r="AG336" s="20"/>
      <c r="AH336" s="26" t="n">
        <f aca="false">IFERROR(AG336/Q336,0)</f>
        <v>0</v>
      </c>
      <c r="AI336" s="27" t="n">
        <v>0</v>
      </c>
      <c r="AJ336" s="26" t="n">
        <f aca="false">IF(AI336&gt;0,AprCoef/SQRT(AI336),0)</f>
        <v>0</v>
      </c>
      <c r="AK336" s="24" t="n">
        <f aca="false">AI336*AJ336/365</f>
        <v>0</v>
      </c>
      <c r="AL336" s="24" t="n">
        <f aca="false">AD336</f>
        <v>0</v>
      </c>
      <c r="AM336" s="24" t="n">
        <f aca="false">AK336-AL336</f>
        <v>0</v>
      </c>
      <c r="AN336" s="28" t="str">
        <f aca="false">IF(A336&gt;=Hip3LaunchDate,"YES","")</f>
        <v/>
      </c>
      <c r="AO336" s="28" t="str">
        <f aca="false">IF(A336&lt;Hip4LaunchDate,"pre-launch","live (zero-fee)")</f>
        <v>pre-launch</v>
      </c>
      <c r="AP336" s="20"/>
      <c r="AQ336" s="20"/>
      <c r="AR336" s="20"/>
    </row>
    <row r="337" customFormat="false" ht="15" hidden="false" customHeight="false" outlineLevel="0" collapsed="false">
      <c r="A337" s="18" t="n">
        <v>45398</v>
      </c>
      <c r="B337" s="19" t="n">
        <v>2443852257.9</v>
      </c>
      <c r="C337" s="19" t="n">
        <v>0</v>
      </c>
      <c r="D337" s="20"/>
      <c r="E337" s="21" t="n">
        <f aca="false">B337+C337</f>
        <v>2443852257.9</v>
      </c>
      <c r="F337" s="21" t="n">
        <f aca="false">E337+D337</f>
        <v>2443852257.9</v>
      </c>
      <c r="G337" s="22" t="n">
        <f aca="false">IFERROR(C337/E337,0)</f>
        <v>0</v>
      </c>
      <c r="H337" s="20"/>
      <c r="I337" s="20"/>
      <c r="J337" s="20"/>
      <c r="K337" s="21" t="n">
        <f aca="false">H337+I337</f>
        <v>0</v>
      </c>
      <c r="L337" s="20"/>
      <c r="M337" s="21" t="n">
        <f aca="false">H337-L337</f>
        <v>0</v>
      </c>
      <c r="N337" s="23" t="n">
        <f aca="false">IFERROR(M337/B337*10000,0)</f>
        <v>0</v>
      </c>
      <c r="O337" s="20"/>
      <c r="P337" s="20"/>
      <c r="Q337" s="21" t="n">
        <f aca="false">O337+P337</f>
        <v>0</v>
      </c>
      <c r="R337" s="22" t="n">
        <f aca="false">IF(A337&lt;HlpChangeDate,HlpSharePre,HlpSharePost)</f>
        <v>0.03</v>
      </c>
      <c r="S337" s="21" t="n">
        <f aca="false">Q337*R337/(1-R337)</f>
        <v>0</v>
      </c>
      <c r="T337" s="20"/>
      <c r="U337" s="21" t="n">
        <f aca="false">S337-T337</f>
        <v>0</v>
      </c>
      <c r="V337" s="21" t="n">
        <f aca="false">Y337-O337*R337/(1-R337)</f>
        <v>0</v>
      </c>
      <c r="W337" s="21" t="n">
        <f aca="false">Z337-P337*R337/(1-R337)</f>
        <v>0</v>
      </c>
      <c r="X337" s="21" t="n">
        <f aca="false">S337+V337+W337</f>
        <v>0</v>
      </c>
      <c r="Y337" s="20"/>
      <c r="Z337" s="20"/>
      <c r="AA337" s="19" t="n">
        <v>0</v>
      </c>
      <c r="AB337" s="20"/>
      <c r="AC337" s="20"/>
      <c r="AD337" s="24" t="n">
        <f aca="false">IFERROR(AA337/AC337,0)</f>
        <v>0</v>
      </c>
      <c r="AE337" s="25" t="n">
        <f aca="false">K337-Q337-X337</f>
        <v>0</v>
      </c>
      <c r="AF337" s="25" t="n">
        <f aca="false">Q337-AA337</f>
        <v>0</v>
      </c>
      <c r="AG337" s="20"/>
      <c r="AH337" s="26" t="n">
        <f aca="false">IFERROR(AG337/Q337,0)</f>
        <v>0</v>
      </c>
      <c r="AI337" s="27" t="n">
        <v>0</v>
      </c>
      <c r="AJ337" s="26" t="n">
        <f aca="false">IF(AI337&gt;0,AprCoef/SQRT(AI337),0)</f>
        <v>0</v>
      </c>
      <c r="AK337" s="24" t="n">
        <f aca="false">AI337*AJ337/365</f>
        <v>0</v>
      </c>
      <c r="AL337" s="24" t="n">
        <f aca="false">AD337</f>
        <v>0</v>
      </c>
      <c r="AM337" s="24" t="n">
        <f aca="false">AK337-AL337</f>
        <v>0</v>
      </c>
      <c r="AN337" s="28" t="str">
        <f aca="false">IF(A337&gt;=Hip3LaunchDate,"YES","")</f>
        <v/>
      </c>
      <c r="AO337" s="28" t="str">
        <f aca="false">IF(A337&lt;Hip4LaunchDate,"pre-launch","live (zero-fee)")</f>
        <v>pre-launch</v>
      </c>
      <c r="AP337" s="20"/>
      <c r="AQ337" s="20"/>
      <c r="AR337" s="20"/>
    </row>
    <row r="338" customFormat="false" ht="15" hidden="false" customHeight="false" outlineLevel="0" collapsed="false">
      <c r="A338" s="18" t="n">
        <v>45399</v>
      </c>
      <c r="B338" s="19" t="n">
        <v>1920656672.09</v>
      </c>
      <c r="C338" s="19" t="n">
        <v>0</v>
      </c>
      <c r="D338" s="20"/>
      <c r="E338" s="21" t="n">
        <f aca="false">B338+C338</f>
        <v>1920656672.09</v>
      </c>
      <c r="F338" s="21" t="n">
        <f aca="false">E338+D338</f>
        <v>1920656672.09</v>
      </c>
      <c r="G338" s="22" t="n">
        <f aca="false">IFERROR(C338/E338,0)</f>
        <v>0</v>
      </c>
      <c r="H338" s="20"/>
      <c r="I338" s="20"/>
      <c r="J338" s="20"/>
      <c r="K338" s="21" t="n">
        <f aca="false">H338+I338</f>
        <v>0</v>
      </c>
      <c r="L338" s="20"/>
      <c r="M338" s="21" t="n">
        <f aca="false">H338-L338</f>
        <v>0</v>
      </c>
      <c r="N338" s="23" t="n">
        <f aca="false">IFERROR(M338/B338*10000,0)</f>
        <v>0</v>
      </c>
      <c r="O338" s="20"/>
      <c r="P338" s="20"/>
      <c r="Q338" s="21" t="n">
        <f aca="false">O338+P338</f>
        <v>0</v>
      </c>
      <c r="R338" s="22" t="n">
        <f aca="false">IF(A338&lt;HlpChangeDate,HlpSharePre,HlpSharePost)</f>
        <v>0.03</v>
      </c>
      <c r="S338" s="21" t="n">
        <f aca="false">Q338*R338/(1-R338)</f>
        <v>0</v>
      </c>
      <c r="T338" s="20"/>
      <c r="U338" s="21" t="n">
        <f aca="false">S338-T338</f>
        <v>0</v>
      </c>
      <c r="V338" s="21" t="n">
        <f aca="false">Y338-O338*R338/(1-R338)</f>
        <v>0</v>
      </c>
      <c r="W338" s="21" t="n">
        <f aca="false">Z338-P338*R338/(1-R338)</f>
        <v>0</v>
      </c>
      <c r="X338" s="21" t="n">
        <f aca="false">S338+V338+W338</f>
        <v>0</v>
      </c>
      <c r="Y338" s="20"/>
      <c r="Z338" s="20"/>
      <c r="AA338" s="19" t="n">
        <v>0</v>
      </c>
      <c r="AB338" s="20"/>
      <c r="AC338" s="20"/>
      <c r="AD338" s="24" t="n">
        <f aca="false">IFERROR(AA338/AC338,0)</f>
        <v>0</v>
      </c>
      <c r="AE338" s="25" t="n">
        <f aca="false">K338-Q338-X338</f>
        <v>0</v>
      </c>
      <c r="AF338" s="25" t="n">
        <f aca="false">Q338-AA338</f>
        <v>0</v>
      </c>
      <c r="AG338" s="20"/>
      <c r="AH338" s="26" t="n">
        <f aca="false">IFERROR(AG338/Q338,0)</f>
        <v>0</v>
      </c>
      <c r="AI338" s="27" t="n">
        <v>0</v>
      </c>
      <c r="AJ338" s="26" t="n">
        <f aca="false">IF(AI338&gt;0,AprCoef/SQRT(AI338),0)</f>
        <v>0</v>
      </c>
      <c r="AK338" s="24" t="n">
        <f aca="false">AI338*AJ338/365</f>
        <v>0</v>
      </c>
      <c r="AL338" s="24" t="n">
        <f aca="false">AD338</f>
        <v>0</v>
      </c>
      <c r="AM338" s="24" t="n">
        <f aca="false">AK338-AL338</f>
        <v>0</v>
      </c>
      <c r="AN338" s="28" t="str">
        <f aca="false">IF(A338&gt;=Hip3LaunchDate,"YES","")</f>
        <v/>
      </c>
      <c r="AO338" s="28" t="str">
        <f aca="false">IF(A338&lt;Hip4LaunchDate,"pre-launch","live (zero-fee)")</f>
        <v>pre-launch</v>
      </c>
      <c r="AP338" s="20"/>
      <c r="AQ338" s="20"/>
      <c r="AR338" s="20"/>
    </row>
    <row r="339" customFormat="false" ht="15" hidden="false" customHeight="false" outlineLevel="0" collapsed="false">
      <c r="A339" s="18" t="n">
        <v>45400</v>
      </c>
      <c r="B339" s="19" t="n">
        <v>1505402399.36</v>
      </c>
      <c r="C339" s="19" t="n">
        <v>0</v>
      </c>
      <c r="D339" s="20"/>
      <c r="E339" s="21" t="n">
        <f aca="false">B339+C339</f>
        <v>1505402399.36</v>
      </c>
      <c r="F339" s="21" t="n">
        <f aca="false">E339+D339</f>
        <v>1505402399.36</v>
      </c>
      <c r="G339" s="22" t="n">
        <f aca="false">IFERROR(C339/E339,0)</f>
        <v>0</v>
      </c>
      <c r="H339" s="20"/>
      <c r="I339" s="20"/>
      <c r="J339" s="20"/>
      <c r="K339" s="21" t="n">
        <f aca="false">H339+I339</f>
        <v>0</v>
      </c>
      <c r="L339" s="20"/>
      <c r="M339" s="21" t="n">
        <f aca="false">H339-L339</f>
        <v>0</v>
      </c>
      <c r="N339" s="23" t="n">
        <f aca="false">IFERROR(M339/B339*10000,0)</f>
        <v>0</v>
      </c>
      <c r="O339" s="20"/>
      <c r="P339" s="20"/>
      <c r="Q339" s="21" t="n">
        <f aca="false">O339+P339</f>
        <v>0</v>
      </c>
      <c r="R339" s="22" t="n">
        <f aca="false">IF(A339&lt;HlpChangeDate,HlpSharePre,HlpSharePost)</f>
        <v>0.03</v>
      </c>
      <c r="S339" s="21" t="n">
        <f aca="false">Q339*R339/(1-R339)</f>
        <v>0</v>
      </c>
      <c r="T339" s="20"/>
      <c r="U339" s="21" t="n">
        <f aca="false">S339-T339</f>
        <v>0</v>
      </c>
      <c r="V339" s="21" t="n">
        <f aca="false">Y339-O339*R339/(1-R339)</f>
        <v>0</v>
      </c>
      <c r="W339" s="21" t="n">
        <f aca="false">Z339-P339*R339/(1-R339)</f>
        <v>0</v>
      </c>
      <c r="X339" s="21" t="n">
        <f aca="false">S339+V339+W339</f>
        <v>0</v>
      </c>
      <c r="Y339" s="20"/>
      <c r="Z339" s="20"/>
      <c r="AA339" s="19" t="n">
        <v>0</v>
      </c>
      <c r="AB339" s="20"/>
      <c r="AC339" s="20"/>
      <c r="AD339" s="24" t="n">
        <f aca="false">IFERROR(AA339/AC339,0)</f>
        <v>0</v>
      </c>
      <c r="AE339" s="25" t="n">
        <f aca="false">K339-Q339-X339</f>
        <v>0</v>
      </c>
      <c r="AF339" s="25" t="n">
        <f aca="false">Q339-AA339</f>
        <v>0</v>
      </c>
      <c r="AG339" s="20"/>
      <c r="AH339" s="26" t="n">
        <f aca="false">IFERROR(AG339/Q339,0)</f>
        <v>0</v>
      </c>
      <c r="AI339" s="27" t="n">
        <v>0</v>
      </c>
      <c r="AJ339" s="26" t="n">
        <f aca="false">IF(AI339&gt;0,AprCoef/SQRT(AI339),0)</f>
        <v>0</v>
      </c>
      <c r="AK339" s="24" t="n">
        <f aca="false">AI339*AJ339/365</f>
        <v>0</v>
      </c>
      <c r="AL339" s="24" t="n">
        <f aca="false">AD339</f>
        <v>0</v>
      </c>
      <c r="AM339" s="24" t="n">
        <f aca="false">AK339-AL339</f>
        <v>0</v>
      </c>
      <c r="AN339" s="28" t="str">
        <f aca="false">IF(A339&gt;=Hip3LaunchDate,"YES","")</f>
        <v/>
      </c>
      <c r="AO339" s="28" t="str">
        <f aca="false">IF(A339&lt;Hip4LaunchDate,"pre-launch","live (zero-fee)")</f>
        <v>pre-launch</v>
      </c>
      <c r="AP339" s="20"/>
      <c r="AQ339" s="20"/>
      <c r="AR339" s="20"/>
    </row>
    <row r="340" customFormat="false" ht="15" hidden="false" customHeight="false" outlineLevel="0" collapsed="false">
      <c r="A340" s="18" t="n">
        <v>45401</v>
      </c>
      <c r="B340" s="19" t="n">
        <v>1842479035.11</v>
      </c>
      <c r="C340" s="19" t="n">
        <v>0</v>
      </c>
      <c r="D340" s="20"/>
      <c r="E340" s="21" t="n">
        <f aca="false">B340+C340</f>
        <v>1842479035.11</v>
      </c>
      <c r="F340" s="21" t="n">
        <f aca="false">E340+D340</f>
        <v>1842479035.11</v>
      </c>
      <c r="G340" s="22" t="n">
        <f aca="false">IFERROR(C340/E340,0)</f>
        <v>0</v>
      </c>
      <c r="H340" s="20"/>
      <c r="I340" s="20"/>
      <c r="J340" s="20"/>
      <c r="K340" s="21" t="n">
        <f aca="false">H340+I340</f>
        <v>0</v>
      </c>
      <c r="L340" s="20"/>
      <c r="M340" s="21" t="n">
        <f aca="false">H340-L340</f>
        <v>0</v>
      </c>
      <c r="N340" s="23" t="n">
        <f aca="false">IFERROR(M340/B340*10000,0)</f>
        <v>0</v>
      </c>
      <c r="O340" s="20"/>
      <c r="P340" s="20"/>
      <c r="Q340" s="21" t="n">
        <f aca="false">O340+P340</f>
        <v>0</v>
      </c>
      <c r="R340" s="22" t="n">
        <f aca="false">IF(A340&lt;HlpChangeDate,HlpSharePre,HlpSharePost)</f>
        <v>0.03</v>
      </c>
      <c r="S340" s="21" t="n">
        <f aca="false">Q340*R340/(1-R340)</f>
        <v>0</v>
      </c>
      <c r="T340" s="20"/>
      <c r="U340" s="21" t="n">
        <f aca="false">S340-T340</f>
        <v>0</v>
      </c>
      <c r="V340" s="21" t="n">
        <f aca="false">Y340-O340*R340/(1-R340)</f>
        <v>0</v>
      </c>
      <c r="W340" s="21" t="n">
        <f aca="false">Z340-P340*R340/(1-R340)</f>
        <v>0</v>
      </c>
      <c r="X340" s="21" t="n">
        <f aca="false">S340+V340+W340</f>
        <v>0</v>
      </c>
      <c r="Y340" s="20"/>
      <c r="Z340" s="20"/>
      <c r="AA340" s="19" t="n">
        <v>0</v>
      </c>
      <c r="AB340" s="20"/>
      <c r="AC340" s="20"/>
      <c r="AD340" s="24" t="n">
        <f aca="false">IFERROR(AA340/AC340,0)</f>
        <v>0</v>
      </c>
      <c r="AE340" s="25" t="n">
        <f aca="false">K340-Q340-X340</f>
        <v>0</v>
      </c>
      <c r="AF340" s="25" t="n">
        <f aca="false">Q340-AA340</f>
        <v>0</v>
      </c>
      <c r="AG340" s="20"/>
      <c r="AH340" s="26" t="n">
        <f aca="false">IFERROR(AG340/Q340,0)</f>
        <v>0</v>
      </c>
      <c r="AI340" s="27" t="n">
        <v>0</v>
      </c>
      <c r="AJ340" s="26" t="n">
        <f aca="false">IF(AI340&gt;0,AprCoef/SQRT(AI340),0)</f>
        <v>0</v>
      </c>
      <c r="AK340" s="24" t="n">
        <f aca="false">AI340*AJ340/365</f>
        <v>0</v>
      </c>
      <c r="AL340" s="24" t="n">
        <f aca="false">AD340</f>
        <v>0</v>
      </c>
      <c r="AM340" s="24" t="n">
        <f aca="false">AK340-AL340</f>
        <v>0</v>
      </c>
      <c r="AN340" s="28" t="str">
        <f aca="false">IF(A340&gt;=Hip3LaunchDate,"YES","")</f>
        <v/>
      </c>
      <c r="AO340" s="28" t="str">
        <f aca="false">IF(A340&lt;Hip4LaunchDate,"pre-launch","live (zero-fee)")</f>
        <v>pre-launch</v>
      </c>
      <c r="AP340" s="20"/>
      <c r="AQ340" s="20"/>
      <c r="AR340" s="20"/>
    </row>
    <row r="341" customFormat="false" ht="15" hidden="false" customHeight="false" outlineLevel="0" collapsed="false">
      <c r="A341" s="18" t="n">
        <v>45402</v>
      </c>
      <c r="B341" s="19" t="n">
        <v>959933413.89</v>
      </c>
      <c r="C341" s="19" t="n">
        <v>0</v>
      </c>
      <c r="D341" s="20"/>
      <c r="E341" s="21" t="n">
        <f aca="false">B341+C341</f>
        <v>959933413.89</v>
      </c>
      <c r="F341" s="21" t="n">
        <f aca="false">E341+D341</f>
        <v>959933413.89</v>
      </c>
      <c r="G341" s="22" t="n">
        <f aca="false">IFERROR(C341/E341,0)</f>
        <v>0</v>
      </c>
      <c r="H341" s="20"/>
      <c r="I341" s="20"/>
      <c r="J341" s="20"/>
      <c r="K341" s="21" t="n">
        <f aca="false">H341+I341</f>
        <v>0</v>
      </c>
      <c r="L341" s="20"/>
      <c r="M341" s="21" t="n">
        <f aca="false">H341-L341</f>
        <v>0</v>
      </c>
      <c r="N341" s="23" t="n">
        <f aca="false">IFERROR(M341/B341*10000,0)</f>
        <v>0</v>
      </c>
      <c r="O341" s="20"/>
      <c r="P341" s="20"/>
      <c r="Q341" s="21" t="n">
        <f aca="false">O341+P341</f>
        <v>0</v>
      </c>
      <c r="R341" s="22" t="n">
        <f aca="false">IF(A341&lt;HlpChangeDate,HlpSharePre,HlpSharePost)</f>
        <v>0.03</v>
      </c>
      <c r="S341" s="21" t="n">
        <f aca="false">Q341*R341/(1-R341)</f>
        <v>0</v>
      </c>
      <c r="T341" s="20"/>
      <c r="U341" s="21" t="n">
        <f aca="false">S341-T341</f>
        <v>0</v>
      </c>
      <c r="V341" s="21" t="n">
        <f aca="false">Y341-O341*R341/(1-R341)</f>
        <v>0</v>
      </c>
      <c r="W341" s="21" t="n">
        <f aca="false">Z341-P341*R341/(1-R341)</f>
        <v>0</v>
      </c>
      <c r="X341" s="21" t="n">
        <f aca="false">S341+V341+W341</f>
        <v>0</v>
      </c>
      <c r="Y341" s="20"/>
      <c r="Z341" s="20"/>
      <c r="AA341" s="19" t="n">
        <v>0</v>
      </c>
      <c r="AB341" s="20"/>
      <c r="AC341" s="20"/>
      <c r="AD341" s="24" t="n">
        <f aca="false">IFERROR(AA341/AC341,0)</f>
        <v>0</v>
      </c>
      <c r="AE341" s="25" t="n">
        <f aca="false">K341-Q341-X341</f>
        <v>0</v>
      </c>
      <c r="AF341" s="25" t="n">
        <f aca="false">Q341-AA341</f>
        <v>0</v>
      </c>
      <c r="AG341" s="20"/>
      <c r="AH341" s="26" t="n">
        <f aca="false">IFERROR(AG341/Q341,0)</f>
        <v>0</v>
      </c>
      <c r="AI341" s="27" t="n">
        <v>0</v>
      </c>
      <c r="AJ341" s="26" t="n">
        <f aca="false">IF(AI341&gt;0,AprCoef/SQRT(AI341),0)</f>
        <v>0</v>
      </c>
      <c r="AK341" s="24" t="n">
        <f aca="false">AI341*AJ341/365</f>
        <v>0</v>
      </c>
      <c r="AL341" s="24" t="n">
        <f aca="false">AD341</f>
        <v>0</v>
      </c>
      <c r="AM341" s="24" t="n">
        <f aca="false">AK341-AL341</f>
        <v>0</v>
      </c>
      <c r="AN341" s="28" t="str">
        <f aca="false">IF(A341&gt;=Hip3LaunchDate,"YES","")</f>
        <v/>
      </c>
      <c r="AO341" s="28" t="str">
        <f aca="false">IF(A341&lt;Hip4LaunchDate,"pre-launch","live (zero-fee)")</f>
        <v>pre-launch</v>
      </c>
      <c r="AP341" s="20"/>
      <c r="AQ341" s="20"/>
      <c r="AR341" s="20"/>
    </row>
    <row r="342" customFormat="false" ht="15" hidden="false" customHeight="false" outlineLevel="0" collapsed="false">
      <c r="A342" s="18" t="n">
        <v>45403</v>
      </c>
      <c r="B342" s="19" t="n">
        <v>999157605.39</v>
      </c>
      <c r="C342" s="19" t="n">
        <v>0</v>
      </c>
      <c r="D342" s="20"/>
      <c r="E342" s="21" t="n">
        <f aca="false">B342+C342</f>
        <v>999157605.39</v>
      </c>
      <c r="F342" s="21" t="n">
        <f aca="false">E342+D342</f>
        <v>999157605.39</v>
      </c>
      <c r="G342" s="22" t="n">
        <f aca="false">IFERROR(C342/E342,0)</f>
        <v>0</v>
      </c>
      <c r="H342" s="20"/>
      <c r="I342" s="20"/>
      <c r="J342" s="20"/>
      <c r="K342" s="21" t="n">
        <f aca="false">H342+I342</f>
        <v>0</v>
      </c>
      <c r="L342" s="20"/>
      <c r="M342" s="21" t="n">
        <f aca="false">H342-L342</f>
        <v>0</v>
      </c>
      <c r="N342" s="23" t="n">
        <f aca="false">IFERROR(M342/B342*10000,0)</f>
        <v>0</v>
      </c>
      <c r="O342" s="20"/>
      <c r="P342" s="20"/>
      <c r="Q342" s="21" t="n">
        <f aca="false">O342+P342</f>
        <v>0</v>
      </c>
      <c r="R342" s="22" t="n">
        <f aca="false">IF(A342&lt;HlpChangeDate,HlpSharePre,HlpSharePost)</f>
        <v>0.03</v>
      </c>
      <c r="S342" s="21" t="n">
        <f aca="false">Q342*R342/(1-R342)</f>
        <v>0</v>
      </c>
      <c r="T342" s="20"/>
      <c r="U342" s="21" t="n">
        <f aca="false">S342-T342</f>
        <v>0</v>
      </c>
      <c r="V342" s="21" t="n">
        <f aca="false">Y342-O342*R342/(1-R342)</f>
        <v>0</v>
      </c>
      <c r="W342" s="21" t="n">
        <f aca="false">Z342-P342*R342/(1-R342)</f>
        <v>0</v>
      </c>
      <c r="X342" s="21" t="n">
        <f aca="false">S342+V342+W342</f>
        <v>0</v>
      </c>
      <c r="Y342" s="20"/>
      <c r="Z342" s="20"/>
      <c r="AA342" s="19" t="n">
        <v>0</v>
      </c>
      <c r="AB342" s="20"/>
      <c r="AC342" s="20"/>
      <c r="AD342" s="24" t="n">
        <f aca="false">IFERROR(AA342/AC342,0)</f>
        <v>0</v>
      </c>
      <c r="AE342" s="25" t="n">
        <f aca="false">K342-Q342-X342</f>
        <v>0</v>
      </c>
      <c r="AF342" s="25" t="n">
        <f aca="false">Q342-AA342</f>
        <v>0</v>
      </c>
      <c r="AG342" s="20"/>
      <c r="AH342" s="26" t="n">
        <f aca="false">IFERROR(AG342/Q342,0)</f>
        <v>0</v>
      </c>
      <c r="AI342" s="27" t="n">
        <v>0</v>
      </c>
      <c r="AJ342" s="26" t="n">
        <f aca="false">IF(AI342&gt;0,AprCoef/SQRT(AI342),0)</f>
        <v>0</v>
      </c>
      <c r="AK342" s="24" t="n">
        <f aca="false">AI342*AJ342/365</f>
        <v>0</v>
      </c>
      <c r="AL342" s="24" t="n">
        <f aca="false">AD342</f>
        <v>0</v>
      </c>
      <c r="AM342" s="24" t="n">
        <f aca="false">AK342-AL342</f>
        <v>0</v>
      </c>
      <c r="AN342" s="28" t="str">
        <f aca="false">IF(A342&gt;=Hip3LaunchDate,"YES","")</f>
        <v/>
      </c>
      <c r="AO342" s="28" t="str">
        <f aca="false">IF(A342&lt;Hip4LaunchDate,"pre-launch","live (zero-fee)")</f>
        <v>pre-launch</v>
      </c>
      <c r="AP342" s="20"/>
      <c r="AQ342" s="20"/>
      <c r="AR342" s="20"/>
    </row>
    <row r="343" customFormat="false" ht="15" hidden="false" customHeight="false" outlineLevel="0" collapsed="false">
      <c r="A343" s="18" t="n">
        <v>45404</v>
      </c>
      <c r="B343" s="19" t="n">
        <v>1393844531.29</v>
      </c>
      <c r="C343" s="19" t="n">
        <v>0</v>
      </c>
      <c r="D343" s="20"/>
      <c r="E343" s="21" t="n">
        <f aca="false">B343+C343</f>
        <v>1393844531.29</v>
      </c>
      <c r="F343" s="21" t="n">
        <f aca="false">E343+D343</f>
        <v>1393844531.29</v>
      </c>
      <c r="G343" s="22" t="n">
        <f aca="false">IFERROR(C343/E343,0)</f>
        <v>0</v>
      </c>
      <c r="H343" s="20"/>
      <c r="I343" s="20"/>
      <c r="J343" s="20"/>
      <c r="K343" s="21" t="n">
        <f aca="false">H343+I343</f>
        <v>0</v>
      </c>
      <c r="L343" s="20"/>
      <c r="M343" s="21" t="n">
        <f aca="false">H343-L343</f>
        <v>0</v>
      </c>
      <c r="N343" s="23" t="n">
        <f aca="false">IFERROR(M343/B343*10000,0)</f>
        <v>0</v>
      </c>
      <c r="O343" s="20"/>
      <c r="P343" s="20"/>
      <c r="Q343" s="21" t="n">
        <f aca="false">O343+P343</f>
        <v>0</v>
      </c>
      <c r="R343" s="22" t="n">
        <f aca="false">IF(A343&lt;HlpChangeDate,HlpSharePre,HlpSharePost)</f>
        <v>0.03</v>
      </c>
      <c r="S343" s="21" t="n">
        <f aca="false">Q343*R343/(1-R343)</f>
        <v>0</v>
      </c>
      <c r="T343" s="20"/>
      <c r="U343" s="21" t="n">
        <f aca="false">S343-T343</f>
        <v>0</v>
      </c>
      <c r="V343" s="21" t="n">
        <f aca="false">Y343-O343*R343/(1-R343)</f>
        <v>0</v>
      </c>
      <c r="W343" s="21" t="n">
        <f aca="false">Z343-P343*R343/(1-R343)</f>
        <v>0</v>
      </c>
      <c r="X343" s="21" t="n">
        <f aca="false">S343+V343+W343</f>
        <v>0</v>
      </c>
      <c r="Y343" s="20"/>
      <c r="Z343" s="20"/>
      <c r="AA343" s="19" t="n">
        <v>0</v>
      </c>
      <c r="AB343" s="20"/>
      <c r="AC343" s="20"/>
      <c r="AD343" s="24" t="n">
        <f aca="false">IFERROR(AA343/AC343,0)</f>
        <v>0</v>
      </c>
      <c r="AE343" s="25" t="n">
        <f aca="false">K343-Q343-X343</f>
        <v>0</v>
      </c>
      <c r="AF343" s="25" t="n">
        <f aca="false">Q343-AA343</f>
        <v>0</v>
      </c>
      <c r="AG343" s="20"/>
      <c r="AH343" s="26" t="n">
        <f aca="false">IFERROR(AG343/Q343,0)</f>
        <v>0</v>
      </c>
      <c r="AI343" s="27" t="n">
        <v>0</v>
      </c>
      <c r="AJ343" s="26" t="n">
        <f aca="false">IF(AI343&gt;0,AprCoef/SQRT(AI343),0)</f>
        <v>0</v>
      </c>
      <c r="AK343" s="24" t="n">
        <f aca="false">AI343*AJ343/365</f>
        <v>0</v>
      </c>
      <c r="AL343" s="24" t="n">
        <f aca="false">AD343</f>
        <v>0</v>
      </c>
      <c r="AM343" s="24" t="n">
        <f aca="false">AK343-AL343</f>
        <v>0</v>
      </c>
      <c r="AN343" s="28" t="str">
        <f aca="false">IF(A343&gt;=Hip3LaunchDate,"YES","")</f>
        <v/>
      </c>
      <c r="AO343" s="28" t="str">
        <f aca="false">IF(A343&lt;Hip4LaunchDate,"pre-launch","live (zero-fee)")</f>
        <v>pre-launch</v>
      </c>
      <c r="AP343" s="20"/>
      <c r="AQ343" s="20"/>
      <c r="AR343" s="20"/>
    </row>
    <row r="344" customFormat="false" ht="15" hidden="false" customHeight="false" outlineLevel="0" collapsed="false">
      <c r="A344" s="18" t="n">
        <v>45405</v>
      </c>
      <c r="B344" s="19" t="n">
        <v>1237505913.84</v>
      </c>
      <c r="C344" s="19" t="n">
        <v>0</v>
      </c>
      <c r="D344" s="20"/>
      <c r="E344" s="21" t="n">
        <f aca="false">B344+C344</f>
        <v>1237505913.84</v>
      </c>
      <c r="F344" s="21" t="n">
        <f aca="false">E344+D344</f>
        <v>1237505913.84</v>
      </c>
      <c r="G344" s="22" t="n">
        <f aca="false">IFERROR(C344/E344,0)</f>
        <v>0</v>
      </c>
      <c r="H344" s="20"/>
      <c r="I344" s="20"/>
      <c r="J344" s="20"/>
      <c r="K344" s="21" t="n">
        <f aca="false">H344+I344</f>
        <v>0</v>
      </c>
      <c r="L344" s="20"/>
      <c r="M344" s="21" t="n">
        <f aca="false">H344-L344</f>
        <v>0</v>
      </c>
      <c r="N344" s="23" t="n">
        <f aca="false">IFERROR(M344/B344*10000,0)</f>
        <v>0</v>
      </c>
      <c r="O344" s="20"/>
      <c r="P344" s="20"/>
      <c r="Q344" s="21" t="n">
        <f aca="false">O344+P344</f>
        <v>0</v>
      </c>
      <c r="R344" s="22" t="n">
        <f aca="false">IF(A344&lt;HlpChangeDate,HlpSharePre,HlpSharePost)</f>
        <v>0.03</v>
      </c>
      <c r="S344" s="21" t="n">
        <f aca="false">Q344*R344/(1-R344)</f>
        <v>0</v>
      </c>
      <c r="T344" s="20"/>
      <c r="U344" s="21" t="n">
        <f aca="false">S344-T344</f>
        <v>0</v>
      </c>
      <c r="V344" s="21" t="n">
        <f aca="false">Y344-O344*R344/(1-R344)</f>
        <v>0</v>
      </c>
      <c r="W344" s="21" t="n">
        <f aca="false">Z344-P344*R344/(1-R344)</f>
        <v>0</v>
      </c>
      <c r="X344" s="21" t="n">
        <f aca="false">S344+V344+W344</f>
        <v>0</v>
      </c>
      <c r="Y344" s="20"/>
      <c r="Z344" s="20"/>
      <c r="AA344" s="19" t="n">
        <v>0</v>
      </c>
      <c r="AB344" s="20"/>
      <c r="AC344" s="20"/>
      <c r="AD344" s="24" t="n">
        <f aca="false">IFERROR(AA344/AC344,0)</f>
        <v>0</v>
      </c>
      <c r="AE344" s="25" t="n">
        <f aca="false">K344-Q344-X344</f>
        <v>0</v>
      </c>
      <c r="AF344" s="25" t="n">
        <f aca="false">Q344-AA344</f>
        <v>0</v>
      </c>
      <c r="AG344" s="20"/>
      <c r="AH344" s="26" t="n">
        <f aca="false">IFERROR(AG344/Q344,0)</f>
        <v>0</v>
      </c>
      <c r="AI344" s="27" t="n">
        <v>0</v>
      </c>
      <c r="AJ344" s="26" t="n">
        <f aca="false">IF(AI344&gt;0,AprCoef/SQRT(AI344),0)</f>
        <v>0</v>
      </c>
      <c r="AK344" s="24" t="n">
        <f aca="false">AI344*AJ344/365</f>
        <v>0</v>
      </c>
      <c r="AL344" s="24" t="n">
        <f aca="false">AD344</f>
        <v>0</v>
      </c>
      <c r="AM344" s="24" t="n">
        <f aca="false">AK344-AL344</f>
        <v>0</v>
      </c>
      <c r="AN344" s="28" t="str">
        <f aca="false">IF(A344&gt;=Hip3LaunchDate,"YES","")</f>
        <v/>
      </c>
      <c r="AO344" s="28" t="str">
        <f aca="false">IF(A344&lt;Hip4LaunchDate,"pre-launch","live (zero-fee)")</f>
        <v>pre-launch</v>
      </c>
      <c r="AP344" s="20"/>
      <c r="AQ344" s="20"/>
      <c r="AR344" s="20"/>
    </row>
    <row r="345" customFormat="false" ht="15" hidden="false" customHeight="false" outlineLevel="0" collapsed="false">
      <c r="A345" s="18" t="n">
        <v>45406</v>
      </c>
      <c r="B345" s="19" t="n">
        <v>1359688550.44</v>
      </c>
      <c r="C345" s="19" t="n">
        <v>0</v>
      </c>
      <c r="D345" s="20"/>
      <c r="E345" s="21" t="n">
        <f aca="false">B345+C345</f>
        <v>1359688550.44</v>
      </c>
      <c r="F345" s="21" t="n">
        <f aca="false">E345+D345</f>
        <v>1359688550.44</v>
      </c>
      <c r="G345" s="22" t="n">
        <f aca="false">IFERROR(C345/E345,0)</f>
        <v>0</v>
      </c>
      <c r="H345" s="20"/>
      <c r="I345" s="20"/>
      <c r="J345" s="20"/>
      <c r="K345" s="21" t="n">
        <f aca="false">H345+I345</f>
        <v>0</v>
      </c>
      <c r="L345" s="20"/>
      <c r="M345" s="21" t="n">
        <f aca="false">H345-L345</f>
        <v>0</v>
      </c>
      <c r="N345" s="23" t="n">
        <f aca="false">IFERROR(M345/B345*10000,0)</f>
        <v>0</v>
      </c>
      <c r="O345" s="20"/>
      <c r="P345" s="20"/>
      <c r="Q345" s="21" t="n">
        <f aca="false">O345+P345</f>
        <v>0</v>
      </c>
      <c r="R345" s="22" t="n">
        <f aca="false">IF(A345&lt;HlpChangeDate,HlpSharePre,HlpSharePost)</f>
        <v>0.03</v>
      </c>
      <c r="S345" s="21" t="n">
        <f aca="false">Q345*R345/(1-R345)</f>
        <v>0</v>
      </c>
      <c r="T345" s="20"/>
      <c r="U345" s="21" t="n">
        <f aca="false">S345-T345</f>
        <v>0</v>
      </c>
      <c r="V345" s="21" t="n">
        <f aca="false">Y345-O345*R345/(1-R345)</f>
        <v>0</v>
      </c>
      <c r="W345" s="21" t="n">
        <f aca="false">Z345-P345*R345/(1-R345)</f>
        <v>0</v>
      </c>
      <c r="X345" s="21" t="n">
        <f aca="false">S345+V345+W345</f>
        <v>0</v>
      </c>
      <c r="Y345" s="20"/>
      <c r="Z345" s="20"/>
      <c r="AA345" s="19" t="n">
        <v>0</v>
      </c>
      <c r="AB345" s="20"/>
      <c r="AC345" s="20"/>
      <c r="AD345" s="24" t="n">
        <f aca="false">IFERROR(AA345/AC345,0)</f>
        <v>0</v>
      </c>
      <c r="AE345" s="25" t="n">
        <f aca="false">K345-Q345-X345</f>
        <v>0</v>
      </c>
      <c r="AF345" s="25" t="n">
        <f aca="false">Q345-AA345</f>
        <v>0</v>
      </c>
      <c r="AG345" s="20"/>
      <c r="AH345" s="26" t="n">
        <f aca="false">IFERROR(AG345/Q345,0)</f>
        <v>0</v>
      </c>
      <c r="AI345" s="27" t="n">
        <v>0</v>
      </c>
      <c r="AJ345" s="26" t="n">
        <f aca="false">IF(AI345&gt;0,AprCoef/SQRT(AI345),0)</f>
        <v>0</v>
      </c>
      <c r="AK345" s="24" t="n">
        <f aca="false">AI345*AJ345/365</f>
        <v>0</v>
      </c>
      <c r="AL345" s="24" t="n">
        <f aca="false">AD345</f>
        <v>0</v>
      </c>
      <c r="AM345" s="24" t="n">
        <f aca="false">AK345-AL345</f>
        <v>0</v>
      </c>
      <c r="AN345" s="28" t="str">
        <f aca="false">IF(A345&gt;=Hip3LaunchDate,"YES","")</f>
        <v/>
      </c>
      <c r="AO345" s="28" t="str">
        <f aca="false">IF(A345&lt;Hip4LaunchDate,"pre-launch","live (zero-fee)")</f>
        <v>pre-launch</v>
      </c>
      <c r="AP345" s="20"/>
      <c r="AQ345" s="20"/>
      <c r="AR345" s="20"/>
    </row>
    <row r="346" customFormat="false" ht="15" hidden="false" customHeight="false" outlineLevel="0" collapsed="false">
      <c r="A346" s="18" t="n">
        <v>45407</v>
      </c>
      <c r="B346" s="19" t="n">
        <v>1073965642.57</v>
      </c>
      <c r="C346" s="19" t="n">
        <v>0</v>
      </c>
      <c r="D346" s="20"/>
      <c r="E346" s="21" t="n">
        <f aca="false">B346+C346</f>
        <v>1073965642.57</v>
      </c>
      <c r="F346" s="21" t="n">
        <f aca="false">E346+D346</f>
        <v>1073965642.57</v>
      </c>
      <c r="G346" s="22" t="n">
        <f aca="false">IFERROR(C346/E346,0)</f>
        <v>0</v>
      </c>
      <c r="H346" s="20"/>
      <c r="I346" s="20"/>
      <c r="J346" s="20"/>
      <c r="K346" s="21" t="n">
        <f aca="false">H346+I346</f>
        <v>0</v>
      </c>
      <c r="L346" s="20"/>
      <c r="M346" s="21" t="n">
        <f aca="false">H346-L346</f>
        <v>0</v>
      </c>
      <c r="N346" s="23" t="n">
        <f aca="false">IFERROR(M346/B346*10000,0)</f>
        <v>0</v>
      </c>
      <c r="O346" s="20"/>
      <c r="P346" s="20"/>
      <c r="Q346" s="21" t="n">
        <f aca="false">O346+P346</f>
        <v>0</v>
      </c>
      <c r="R346" s="22" t="n">
        <f aca="false">IF(A346&lt;HlpChangeDate,HlpSharePre,HlpSharePost)</f>
        <v>0.03</v>
      </c>
      <c r="S346" s="21" t="n">
        <f aca="false">Q346*R346/(1-R346)</f>
        <v>0</v>
      </c>
      <c r="T346" s="20"/>
      <c r="U346" s="21" t="n">
        <f aca="false">S346-T346</f>
        <v>0</v>
      </c>
      <c r="V346" s="21" t="n">
        <f aca="false">Y346-O346*R346/(1-R346)</f>
        <v>0</v>
      </c>
      <c r="W346" s="21" t="n">
        <f aca="false">Z346-P346*R346/(1-R346)</f>
        <v>0</v>
      </c>
      <c r="X346" s="21" t="n">
        <f aca="false">S346+V346+W346</f>
        <v>0</v>
      </c>
      <c r="Y346" s="20"/>
      <c r="Z346" s="20"/>
      <c r="AA346" s="19" t="n">
        <v>0</v>
      </c>
      <c r="AB346" s="20"/>
      <c r="AC346" s="20"/>
      <c r="AD346" s="24" t="n">
        <f aca="false">IFERROR(AA346/AC346,0)</f>
        <v>0</v>
      </c>
      <c r="AE346" s="25" t="n">
        <f aca="false">K346-Q346-X346</f>
        <v>0</v>
      </c>
      <c r="AF346" s="25" t="n">
        <f aca="false">Q346-AA346</f>
        <v>0</v>
      </c>
      <c r="AG346" s="20"/>
      <c r="AH346" s="26" t="n">
        <f aca="false">IFERROR(AG346/Q346,0)</f>
        <v>0</v>
      </c>
      <c r="AI346" s="27" t="n">
        <v>0</v>
      </c>
      <c r="AJ346" s="26" t="n">
        <f aca="false">IF(AI346&gt;0,AprCoef/SQRT(AI346),0)</f>
        <v>0</v>
      </c>
      <c r="AK346" s="24" t="n">
        <f aca="false">AI346*AJ346/365</f>
        <v>0</v>
      </c>
      <c r="AL346" s="24" t="n">
        <f aca="false">AD346</f>
        <v>0</v>
      </c>
      <c r="AM346" s="24" t="n">
        <f aca="false">AK346-AL346</f>
        <v>0</v>
      </c>
      <c r="AN346" s="28" t="str">
        <f aca="false">IF(A346&gt;=Hip3LaunchDate,"YES","")</f>
        <v/>
      </c>
      <c r="AO346" s="28" t="str">
        <f aca="false">IF(A346&lt;Hip4LaunchDate,"pre-launch","live (zero-fee)")</f>
        <v>pre-launch</v>
      </c>
      <c r="AP346" s="20"/>
      <c r="AQ346" s="20"/>
      <c r="AR346" s="20"/>
    </row>
    <row r="347" customFormat="false" ht="15" hidden="false" customHeight="false" outlineLevel="0" collapsed="false">
      <c r="A347" s="18" t="n">
        <v>45408</v>
      </c>
      <c r="B347" s="19" t="n">
        <v>829207211.43</v>
      </c>
      <c r="C347" s="19" t="n">
        <v>0</v>
      </c>
      <c r="D347" s="20"/>
      <c r="E347" s="21" t="n">
        <f aca="false">B347+C347</f>
        <v>829207211.43</v>
      </c>
      <c r="F347" s="21" t="n">
        <f aca="false">E347+D347</f>
        <v>829207211.43</v>
      </c>
      <c r="G347" s="22" t="n">
        <f aca="false">IFERROR(C347/E347,0)</f>
        <v>0</v>
      </c>
      <c r="H347" s="20"/>
      <c r="I347" s="20"/>
      <c r="J347" s="20"/>
      <c r="K347" s="21" t="n">
        <f aca="false">H347+I347</f>
        <v>0</v>
      </c>
      <c r="L347" s="20"/>
      <c r="M347" s="21" t="n">
        <f aca="false">H347-L347</f>
        <v>0</v>
      </c>
      <c r="N347" s="23" t="n">
        <f aca="false">IFERROR(M347/B347*10000,0)</f>
        <v>0</v>
      </c>
      <c r="O347" s="20"/>
      <c r="P347" s="20"/>
      <c r="Q347" s="21" t="n">
        <f aca="false">O347+P347</f>
        <v>0</v>
      </c>
      <c r="R347" s="22" t="n">
        <f aca="false">IF(A347&lt;HlpChangeDate,HlpSharePre,HlpSharePost)</f>
        <v>0.03</v>
      </c>
      <c r="S347" s="21" t="n">
        <f aca="false">Q347*R347/(1-R347)</f>
        <v>0</v>
      </c>
      <c r="T347" s="20"/>
      <c r="U347" s="21" t="n">
        <f aca="false">S347-T347</f>
        <v>0</v>
      </c>
      <c r="V347" s="21" t="n">
        <f aca="false">Y347-O347*R347/(1-R347)</f>
        <v>0</v>
      </c>
      <c r="W347" s="21" t="n">
        <f aca="false">Z347-P347*R347/(1-R347)</f>
        <v>0</v>
      </c>
      <c r="X347" s="21" t="n">
        <f aca="false">S347+V347+W347</f>
        <v>0</v>
      </c>
      <c r="Y347" s="20"/>
      <c r="Z347" s="20"/>
      <c r="AA347" s="19" t="n">
        <v>0</v>
      </c>
      <c r="AB347" s="20"/>
      <c r="AC347" s="20"/>
      <c r="AD347" s="24" t="n">
        <f aca="false">IFERROR(AA347/AC347,0)</f>
        <v>0</v>
      </c>
      <c r="AE347" s="25" t="n">
        <f aca="false">K347-Q347-X347</f>
        <v>0</v>
      </c>
      <c r="AF347" s="25" t="n">
        <f aca="false">Q347-AA347</f>
        <v>0</v>
      </c>
      <c r="AG347" s="20"/>
      <c r="AH347" s="26" t="n">
        <f aca="false">IFERROR(AG347/Q347,0)</f>
        <v>0</v>
      </c>
      <c r="AI347" s="27" t="n">
        <v>0</v>
      </c>
      <c r="AJ347" s="26" t="n">
        <f aca="false">IF(AI347&gt;0,AprCoef/SQRT(AI347),0)</f>
        <v>0</v>
      </c>
      <c r="AK347" s="24" t="n">
        <f aca="false">AI347*AJ347/365</f>
        <v>0</v>
      </c>
      <c r="AL347" s="24" t="n">
        <f aca="false">AD347</f>
        <v>0</v>
      </c>
      <c r="AM347" s="24" t="n">
        <f aca="false">AK347-AL347</f>
        <v>0</v>
      </c>
      <c r="AN347" s="28" t="str">
        <f aca="false">IF(A347&gt;=Hip3LaunchDate,"YES","")</f>
        <v/>
      </c>
      <c r="AO347" s="28" t="str">
        <f aca="false">IF(A347&lt;Hip4LaunchDate,"pre-launch","live (zero-fee)")</f>
        <v>pre-launch</v>
      </c>
      <c r="AP347" s="20"/>
      <c r="AQ347" s="20"/>
      <c r="AR347" s="20"/>
    </row>
    <row r="348" customFormat="false" ht="15" hidden="false" customHeight="false" outlineLevel="0" collapsed="false">
      <c r="A348" s="18" t="n">
        <v>45409</v>
      </c>
      <c r="B348" s="19" t="n">
        <v>911912943.84</v>
      </c>
      <c r="C348" s="19" t="n">
        <v>0</v>
      </c>
      <c r="D348" s="20"/>
      <c r="E348" s="21" t="n">
        <f aca="false">B348+C348</f>
        <v>911912943.84</v>
      </c>
      <c r="F348" s="21" t="n">
        <f aca="false">E348+D348</f>
        <v>911912943.84</v>
      </c>
      <c r="G348" s="22" t="n">
        <f aca="false">IFERROR(C348/E348,0)</f>
        <v>0</v>
      </c>
      <c r="H348" s="20"/>
      <c r="I348" s="20"/>
      <c r="J348" s="20"/>
      <c r="K348" s="21" t="n">
        <f aca="false">H348+I348</f>
        <v>0</v>
      </c>
      <c r="L348" s="20"/>
      <c r="M348" s="21" t="n">
        <f aca="false">H348-L348</f>
        <v>0</v>
      </c>
      <c r="N348" s="23" t="n">
        <f aca="false">IFERROR(M348/B348*10000,0)</f>
        <v>0</v>
      </c>
      <c r="O348" s="20"/>
      <c r="P348" s="20"/>
      <c r="Q348" s="21" t="n">
        <f aca="false">O348+P348</f>
        <v>0</v>
      </c>
      <c r="R348" s="22" t="n">
        <f aca="false">IF(A348&lt;HlpChangeDate,HlpSharePre,HlpSharePost)</f>
        <v>0.03</v>
      </c>
      <c r="S348" s="21" t="n">
        <f aca="false">Q348*R348/(1-R348)</f>
        <v>0</v>
      </c>
      <c r="T348" s="20"/>
      <c r="U348" s="21" t="n">
        <f aca="false">S348-T348</f>
        <v>0</v>
      </c>
      <c r="V348" s="21" t="n">
        <f aca="false">Y348-O348*R348/(1-R348)</f>
        <v>0</v>
      </c>
      <c r="W348" s="21" t="n">
        <f aca="false">Z348-P348*R348/(1-R348)</f>
        <v>0</v>
      </c>
      <c r="X348" s="21" t="n">
        <f aca="false">S348+V348+W348</f>
        <v>0</v>
      </c>
      <c r="Y348" s="20"/>
      <c r="Z348" s="20"/>
      <c r="AA348" s="19" t="n">
        <v>0</v>
      </c>
      <c r="AB348" s="20"/>
      <c r="AC348" s="20"/>
      <c r="AD348" s="24" t="n">
        <f aca="false">IFERROR(AA348/AC348,0)</f>
        <v>0</v>
      </c>
      <c r="AE348" s="25" t="n">
        <f aca="false">K348-Q348-X348</f>
        <v>0</v>
      </c>
      <c r="AF348" s="25" t="n">
        <f aca="false">Q348-AA348</f>
        <v>0</v>
      </c>
      <c r="AG348" s="20"/>
      <c r="AH348" s="26" t="n">
        <f aca="false">IFERROR(AG348/Q348,0)</f>
        <v>0</v>
      </c>
      <c r="AI348" s="27" t="n">
        <v>0</v>
      </c>
      <c r="AJ348" s="26" t="n">
        <f aca="false">IF(AI348&gt;0,AprCoef/SQRT(AI348),0)</f>
        <v>0</v>
      </c>
      <c r="AK348" s="24" t="n">
        <f aca="false">AI348*AJ348/365</f>
        <v>0</v>
      </c>
      <c r="AL348" s="24" t="n">
        <f aca="false">AD348</f>
        <v>0</v>
      </c>
      <c r="AM348" s="24" t="n">
        <f aca="false">AK348-AL348</f>
        <v>0</v>
      </c>
      <c r="AN348" s="28" t="str">
        <f aca="false">IF(A348&gt;=Hip3LaunchDate,"YES","")</f>
        <v/>
      </c>
      <c r="AO348" s="28" t="str">
        <f aca="false">IF(A348&lt;Hip4LaunchDate,"pre-launch","live (zero-fee)")</f>
        <v>pre-launch</v>
      </c>
      <c r="AP348" s="20"/>
      <c r="AQ348" s="20"/>
      <c r="AR348" s="20"/>
    </row>
    <row r="349" customFormat="false" ht="15" hidden="false" customHeight="false" outlineLevel="0" collapsed="false">
      <c r="A349" s="18" t="n">
        <v>45410</v>
      </c>
      <c r="B349" s="19" t="n">
        <v>821614348.83</v>
      </c>
      <c r="C349" s="19" t="n">
        <v>0</v>
      </c>
      <c r="D349" s="20"/>
      <c r="E349" s="21" t="n">
        <f aca="false">B349+C349</f>
        <v>821614348.83</v>
      </c>
      <c r="F349" s="21" t="n">
        <f aca="false">E349+D349</f>
        <v>821614348.83</v>
      </c>
      <c r="G349" s="22" t="n">
        <f aca="false">IFERROR(C349/E349,0)</f>
        <v>0</v>
      </c>
      <c r="H349" s="20"/>
      <c r="I349" s="20"/>
      <c r="J349" s="20"/>
      <c r="K349" s="21" t="n">
        <f aca="false">H349+I349</f>
        <v>0</v>
      </c>
      <c r="L349" s="20"/>
      <c r="M349" s="21" t="n">
        <f aca="false">H349-L349</f>
        <v>0</v>
      </c>
      <c r="N349" s="23" t="n">
        <f aca="false">IFERROR(M349/B349*10000,0)</f>
        <v>0</v>
      </c>
      <c r="O349" s="20"/>
      <c r="P349" s="20"/>
      <c r="Q349" s="21" t="n">
        <f aca="false">O349+P349</f>
        <v>0</v>
      </c>
      <c r="R349" s="22" t="n">
        <f aca="false">IF(A349&lt;HlpChangeDate,HlpSharePre,HlpSharePost)</f>
        <v>0.03</v>
      </c>
      <c r="S349" s="21" t="n">
        <f aca="false">Q349*R349/(1-R349)</f>
        <v>0</v>
      </c>
      <c r="T349" s="20"/>
      <c r="U349" s="21" t="n">
        <f aca="false">S349-T349</f>
        <v>0</v>
      </c>
      <c r="V349" s="21" t="n">
        <f aca="false">Y349-O349*R349/(1-R349)</f>
        <v>0</v>
      </c>
      <c r="W349" s="21" t="n">
        <f aca="false">Z349-P349*R349/(1-R349)</f>
        <v>0</v>
      </c>
      <c r="X349" s="21" t="n">
        <f aca="false">S349+V349+W349</f>
        <v>0</v>
      </c>
      <c r="Y349" s="20"/>
      <c r="Z349" s="20"/>
      <c r="AA349" s="19" t="n">
        <v>0</v>
      </c>
      <c r="AB349" s="20"/>
      <c r="AC349" s="20"/>
      <c r="AD349" s="24" t="n">
        <f aca="false">IFERROR(AA349/AC349,0)</f>
        <v>0</v>
      </c>
      <c r="AE349" s="25" t="n">
        <f aca="false">K349-Q349-X349</f>
        <v>0</v>
      </c>
      <c r="AF349" s="25" t="n">
        <f aca="false">Q349-AA349</f>
        <v>0</v>
      </c>
      <c r="AG349" s="20"/>
      <c r="AH349" s="26" t="n">
        <f aca="false">IFERROR(AG349/Q349,0)</f>
        <v>0</v>
      </c>
      <c r="AI349" s="27" t="n">
        <v>0</v>
      </c>
      <c r="AJ349" s="26" t="n">
        <f aca="false">IF(AI349&gt;0,AprCoef/SQRT(AI349),0)</f>
        <v>0</v>
      </c>
      <c r="AK349" s="24" t="n">
        <f aca="false">AI349*AJ349/365</f>
        <v>0</v>
      </c>
      <c r="AL349" s="24" t="n">
        <f aca="false">AD349</f>
        <v>0</v>
      </c>
      <c r="AM349" s="24" t="n">
        <f aca="false">AK349-AL349</f>
        <v>0</v>
      </c>
      <c r="AN349" s="28" t="str">
        <f aca="false">IF(A349&gt;=Hip3LaunchDate,"YES","")</f>
        <v/>
      </c>
      <c r="AO349" s="28" t="str">
        <f aca="false">IF(A349&lt;Hip4LaunchDate,"pre-launch","live (zero-fee)")</f>
        <v>pre-launch</v>
      </c>
      <c r="AP349" s="20"/>
      <c r="AQ349" s="20"/>
      <c r="AR349" s="20"/>
    </row>
    <row r="350" customFormat="false" ht="15" hidden="false" customHeight="false" outlineLevel="0" collapsed="false">
      <c r="A350" s="18" t="n">
        <v>45411</v>
      </c>
      <c r="B350" s="19" t="n">
        <v>1171081421.39</v>
      </c>
      <c r="C350" s="19" t="n">
        <v>0</v>
      </c>
      <c r="D350" s="20"/>
      <c r="E350" s="21" t="n">
        <f aca="false">B350+C350</f>
        <v>1171081421.39</v>
      </c>
      <c r="F350" s="21" t="n">
        <f aca="false">E350+D350</f>
        <v>1171081421.39</v>
      </c>
      <c r="G350" s="22" t="n">
        <f aca="false">IFERROR(C350/E350,0)</f>
        <v>0</v>
      </c>
      <c r="H350" s="20"/>
      <c r="I350" s="20"/>
      <c r="J350" s="20"/>
      <c r="K350" s="21" t="n">
        <f aca="false">H350+I350</f>
        <v>0</v>
      </c>
      <c r="L350" s="20"/>
      <c r="M350" s="21" t="n">
        <f aca="false">H350-L350</f>
        <v>0</v>
      </c>
      <c r="N350" s="23" t="n">
        <f aca="false">IFERROR(M350/B350*10000,0)</f>
        <v>0</v>
      </c>
      <c r="O350" s="20"/>
      <c r="P350" s="20"/>
      <c r="Q350" s="21" t="n">
        <f aca="false">O350+P350</f>
        <v>0</v>
      </c>
      <c r="R350" s="22" t="n">
        <f aca="false">IF(A350&lt;HlpChangeDate,HlpSharePre,HlpSharePost)</f>
        <v>0.03</v>
      </c>
      <c r="S350" s="21" t="n">
        <f aca="false">Q350*R350/(1-R350)</f>
        <v>0</v>
      </c>
      <c r="T350" s="20"/>
      <c r="U350" s="21" t="n">
        <f aca="false">S350-T350</f>
        <v>0</v>
      </c>
      <c r="V350" s="21" t="n">
        <f aca="false">Y350-O350*R350/(1-R350)</f>
        <v>0</v>
      </c>
      <c r="W350" s="21" t="n">
        <f aca="false">Z350-P350*R350/(1-R350)</f>
        <v>0</v>
      </c>
      <c r="X350" s="21" t="n">
        <f aca="false">S350+V350+W350</f>
        <v>0</v>
      </c>
      <c r="Y350" s="20"/>
      <c r="Z350" s="20"/>
      <c r="AA350" s="19" t="n">
        <v>0</v>
      </c>
      <c r="AB350" s="20"/>
      <c r="AC350" s="20"/>
      <c r="AD350" s="24" t="n">
        <f aca="false">IFERROR(AA350/AC350,0)</f>
        <v>0</v>
      </c>
      <c r="AE350" s="25" t="n">
        <f aca="false">K350-Q350-X350</f>
        <v>0</v>
      </c>
      <c r="AF350" s="25" t="n">
        <f aca="false">Q350-AA350</f>
        <v>0</v>
      </c>
      <c r="AG350" s="20"/>
      <c r="AH350" s="26" t="n">
        <f aca="false">IFERROR(AG350/Q350,0)</f>
        <v>0</v>
      </c>
      <c r="AI350" s="27" t="n">
        <v>0</v>
      </c>
      <c r="AJ350" s="26" t="n">
        <f aca="false">IF(AI350&gt;0,AprCoef/SQRT(AI350),0)</f>
        <v>0</v>
      </c>
      <c r="AK350" s="24" t="n">
        <f aca="false">AI350*AJ350/365</f>
        <v>0</v>
      </c>
      <c r="AL350" s="24" t="n">
        <f aca="false">AD350</f>
        <v>0</v>
      </c>
      <c r="AM350" s="24" t="n">
        <f aca="false">AK350-AL350</f>
        <v>0</v>
      </c>
      <c r="AN350" s="28" t="str">
        <f aca="false">IF(A350&gt;=Hip3LaunchDate,"YES","")</f>
        <v/>
      </c>
      <c r="AO350" s="28" t="str">
        <f aca="false">IF(A350&lt;Hip4LaunchDate,"pre-launch","live (zero-fee)")</f>
        <v>pre-launch</v>
      </c>
      <c r="AP350" s="20"/>
      <c r="AQ350" s="20"/>
      <c r="AR350" s="20"/>
    </row>
    <row r="351" customFormat="false" ht="15" hidden="false" customHeight="false" outlineLevel="0" collapsed="false">
      <c r="A351" s="18" t="n">
        <v>45412</v>
      </c>
      <c r="B351" s="19" t="n">
        <v>1806390541.02</v>
      </c>
      <c r="C351" s="19" t="n">
        <v>0</v>
      </c>
      <c r="D351" s="20"/>
      <c r="E351" s="21" t="n">
        <f aca="false">B351+C351</f>
        <v>1806390541.02</v>
      </c>
      <c r="F351" s="21" t="n">
        <f aca="false">E351+D351</f>
        <v>1806390541.02</v>
      </c>
      <c r="G351" s="22" t="n">
        <f aca="false">IFERROR(C351/E351,0)</f>
        <v>0</v>
      </c>
      <c r="H351" s="20"/>
      <c r="I351" s="20"/>
      <c r="J351" s="20"/>
      <c r="K351" s="21" t="n">
        <f aca="false">H351+I351</f>
        <v>0</v>
      </c>
      <c r="L351" s="20"/>
      <c r="M351" s="21" t="n">
        <f aca="false">H351-L351</f>
        <v>0</v>
      </c>
      <c r="N351" s="23" t="n">
        <f aca="false">IFERROR(M351/B351*10000,0)</f>
        <v>0</v>
      </c>
      <c r="O351" s="20"/>
      <c r="P351" s="20"/>
      <c r="Q351" s="21" t="n">
        <f aca="false">O351+P351</f>
        <v>0</v>
      </c>
      <c r="R351" s="22" t="n">
        <f aca="false">IF(A351&lt;HlpChangeDate,HlpSharePre,HlpSharePost)</f>
        <v>0.03</v>
      </c>
      <c r="S351" s="21" t="n">
        <f aca="false">Q351*R351/(1-R351)</f>
        <v>0</v>
      </c>
      <c r="T351" s="20"/>
      <c r="U351" s="21" t="n">
        <f aca="false">S351-T351</f>
        <v>0</v>
      </c>
      <c r="V351" s="21" t="n">
        <f aca="false">Y351-O351*R351/(1-R351)</f>
        <v>0</v>
      </c>
      <c r="W351" s="21" t="n">
        <f aca="false">Z351-P351*R351/(1-R351)</f>
        <v>0</v>
      </c>
      <c r="X351" s="21" t="n">
        <f aca="false">S351+V351+W351</f>
        <v>0</v>
      </c>
      <c r="Y351" s="20"/>
      <c r="Z351" s="20"/>
      <c r="AA351" s="19" t="n">
        <v>0</v>
      </c>
      <c r="AB351" s="20"/>
      <c r="AC351" s="20"/>
      <c r="AD351" s="24" t="n">
        <f aca="false">IFERROR(AA351/AC351,0)</f>
        <v>0</v>
      </c>
      <c r="AE351" s="25" t="n">
        <f aca="false">K351-Q351-X351</f>
        <v>0</v>
      </c>
      <c r="AF351" s="25" t="n">
        <f aca="false">Q351-AA351</f>
        <v>0</v>
      </c>
      <c r="AG351" s="20"/>
      <c r="AH351" s="26" t="n">
        <f aca="false">IFERROR(AG351/Q351,0)</f>
        <v>0</v>
      </c>
      <c r="AI351" s="27" t="n">
        <v>0</v>
      </c>
      <c r="AJ351" s="26" t="n">
        <f aca="false">IF(AI351&gt;0,AprCoef/SQRT(AI351),0)</f>
        <v>0</v>
      </c>
      <c r="AK351" s="24" t="n">
        <f aca="false">AI351*AJ351/365</f>
        <v>0</v>
      </c>
      <c r="AL351" s="24" t="n">
        <f aca="false">AD351</f>
        <v>0</v>
      </c>
      <c r="AM351" s="24" t="n">
        <f aca="false">AK351-AL351</f>
        <v>0</v>
      </c>
      <c r="AN351" s="28" t="str">
        <f aca="false">IF(A351&gt;=Hip3LaunchDate,"YES","")</f>
        <v/>
      </c>
      <c r="AO351" s="28" t="str">
        <f aca="false">IF(A351&lt;Hip4LaunchDate,"pre-launch","live (zero-fee)")</f>
        <v>pre-launch</v>
      </c>
      <c r="AP351" s="20"/>
      <c r="AQ351" s="20"/>
      <c r="AR351" s="20"/>
    </row>
    <row r="352" customFormat="false" ht="15" hidden="false" customHeight="false" outlineLevel="0" collapsed="false">
      <c r="A352" s="18" t="n">
        <v>45413</v>
      </c>
      <c r="B352" s="19" t="n">
        <v>1562542903.69</v>
      </c>
      <c r="C352" s="19" t="n">
        <v>0</v>
      </c>
      <c r="D352" s="20"/>
      <c r="E352" s="21" t="n">
        <f aca="false">B352+C352</f>
        <v>1562542903.69</v>
      </c>
      <c r="F352" s="21" t="n">
        <f aca="false">E352+D352</f>
        <v>1562542903.69</v>
      </c>
      <c r="G352" s="22" t="n">
        <f aca="false">IFERROR(C352/E352,0)</f>
        <v>0</v>
      </c>
      <c r="H352" s="20"/>
      <c r="I352" s="20"/>
      <c r="J352" s="20"/>
      <c r="K352" s="21" t="n">
        <f aca="false">H352+I352</f>
        <v>0</v>
      </c>
      <c r="L352" s="20"/>
      <c r="M352" s="21" t="n">
        <f aca="false">H352-L352</f>
        <v>0</v>
      </c>
      <c r="N352" s="23" t="n">
        <f aca="false">IFERROR(M352/B352*10000,0)</f>
        <v>0</v>
      </c>
      <c r="O352" s="20"/>
      <c r="P352" s="20"/>
      <c r="Q352" s="21" t="n">
        <f aca="false">O352+P352</f>
        <v>0</v>
      </c>
      <c r="R352" s="22" t="n">
        <f aca="false">IF(A352&lt;HlpChangeDate,HlpSharePre,HlpSharePost)</f>
        <v>0.03</v>
      </c>
      <c r="S352" s="21" t="n">
        <f aca="false">Q352*R352/(1-R352)</f>
        <v>0</v>
      </c>
      <c r="T352" s="20"/>
      <c r="U352" s="21" t="n">
        <f aca="false">S352-T352</f>
        <v>0</v>
      </c>
      <c r="V352" s="21" t="n">
        <f aca="false">Y352-O352*R352/(1-R352)</f>
        <v>0</v>
      </c>
      <c r="W352" s="21" t="n">
        <f aca="false">Z352-P352*R352/(1-R352)</f>
        <v>0</v>
      </c>
      <c r="X352" s="21" t="n">
        <f aca="false">S352+V352+W352</f>
        <v>0</v>
      </c>
      <c r="Y352" s="20"/>
      <c r="Z352" s="20"/>
      <c r="AA352" s="19" t="n">
        <v>0</v>
      </c>
      <c r="AB352" s="20"/>
      <c r="AC352" s="20"/>
      <c r="AD352" s="24" t="n">
        <f aca="false">IFERROR(AA352/AC352,0)</f>
        <v>0</v>
      </c>
      <c r="AE352" s="25" t="n">
        <f aca="false">K352-Q352-X352</f>
        <v>0</v>
      </c>
      <c r="AF352" s="25" t="n">
        <f aca="false">Q352-AA352</f>
        <v>0</v>
      </c>
      <c r="AG352" s="20"/>
      <c r="AH352" s="26" t="n">
        <f aca="false">IFERROR(AG352/Q352,0)</f>
        <v>0</v>
      </c>
      <c r="AI352" s="27" t="n">
        <v>0</v>
      </c>
      <c r="AJ352" s="26" t="n">
        <f aca="false">IF(AI352&gt;0,AprCoef/SQRT(AI352),0)</f>
        <v>0</v>
      </c>
      <c r="AK352" s="24" t="n">
        <f aca="false">AI352*AJ352/365</f>
        <v>0</v>
      </c>
      <c r="AL352" s="24" t="n">
        <f aca="false">AD352</f>
        <v>0</v>
      </c>
      <c r="AM352" s="24" t="n">
        <f aca="false">AK352-AL352</f>
        <v>0</v>
      </c>
      <c r="AN352" s="28" t="str">
        <f aca="false">IF(A352&gt;=Hip3LaunchDate,"YES","")</f>
        <v/>
      </c>
      <c r="AO352" s="28" t="str">
        <f aca="false">IF(A352&lt;Hip4LaunchDate,"pre-launch","live (zero-fee)")</f>
        <v>pre-launch</v>
      </c>
      <c r="AP352" s="20"/>
      <c r="AQ352" s="20"/>
      <c r="AR352" s="20"/>
    </row>
    <row r="353" customFormat="false" ht="15" hidden="false" customHeight="false" outlineLevel="0" collapsed="false">
      <c r="A353" s="18" t="n">
        <v>45414</v>
      </c>
      <c r="B353" s="19" t="n">
        <v>779690924.41</v>
      </c>
      <c r="C353" s="19" t="n">
        <v>0</v>
      </c>
      <c r="D353" s="20"/>
      <c r="E353" s="21" t="n">
        <f aca="false">B353+C353</f>
        <v>779690924.41</v>
      </c>
      <c r="F353" s="21" t="n">
        <f aca="false">E353+D353</f>
        <v>779690924.41</v>
      </c>
      <c r="G353" s="22" t="n">
        <f aca="false">IFERROR(C353/E353,0)</f>
        <v>0</v>
      </c>
      <c r="H353" s="20"/>
      <c r="I353" s="20"/>
      <c r="J353" s="20"/>
      <c r="K353" s="21" t="n">
        <f aca="false">H353+I353</f>
        <v>0</v>
      </c>
      <c r="L353" s="20"/>
      <c r="M353" s="21" t="n">
        <f aca="false">H353-L353</f>
        <v>0</v>
      </c>
      <c r="N353" s="23" t="n">
        <f aca="false">IFERROR(M353/B353*10000,0)</f>
        <v>0</v>
      </c>
      <c r="O353" s="20"/>
      <c r="P353" s="20"/>
      <c r="Q353" s="21" t="n">
        <f aca="false">O353+P353</f>
        <v>0</v>
      </c>
      <c r="R353" s="22" t="n">
        <f aca="false">IF(A353&lt;HlpChangeDate,HlpSharePre,HlpSharePost)</f>
        <v>0.03</v>
      </c>
      <c r="S353" s="21" t="n">
        <f aca="false">Q353*R353/(1-R353)</f>
        <v>0</v>
      </c>
      <c r="T353" s="20"/>
      <c r="U353" s="21" t="n">
        <f aca="false">S353-T353</f>
        <v>0</v>
      </c>
      <c r="V353" s="21" t="n">
        <f aca="false">Y353-O353*R353/(1-R353)</f>
        <v>0</v>
      </c>
      <c r="W353" s="21" t="n">
        <f aca="false">Z353-P353*R353/(1-R353)</f>
        <v>0</v>
      </c>
      <c r="X353" s="21" t="n">
        <f aca="false">S353+V353+W353</f>
        <v>0</v>
      </c>
      <c r="Y353" s="20"/>
      <c r="Z353" s="20"/>
      <c r="AA353" s="19" t="n">
        <v>0</v>
      </c>
      <c r="AB353" s="20"/>
      <c r="AC353" s="20"/>
      <c r="AD353" s="24" t="n">
        <f aca="false">IFERROR(AA353/AC353,0)</f>
        <v>0</v>
      </c>
      <c r="AE353" s="25" t="n">
        <f aca="false">K353-Q353-X353</f>
        <v>0</v>
      </c>
      <c r="AF353" s="25" t="n">
        <f aca="false">Q353-AA353</f>
        <v>0</v>
      </c>
      <c r="AG353" s="20"/>
      <c r="AH353" s="26" t="n">
        <f aca="false">IFERROR(AG353/Q353,0)</f>
        <v>0</v>
      </c>
      <c r="AI353" s="27" t="n">
        <v>0</v>
      </c>
      <c r="AJ353" s="26" t="n">
        <f aca="false">IF(AI353&gt;0,AprCoef/SQRT(AI353),0)</f>
        <v>0</v>
      </c>
      <c r="AK353" s="24" t="n">
        <f aca="false">AI353*AJ353/365</f>
        <v>0</v>
      </c>
      <c r="AL353" s="24" t="n">
        <f aca="false">AD353</f>
        <v>0</v>
      </c>
      <c r="AM353" s="24" t="n">
        <f aca="false">AK353-AL353</f>
        <v>0</v>
      </c>
      <c r="AN353" s="28" t="str">
        <f aca="false">IF(A353&gt;=Hip3LaunchDate,"YES","")</f>
        <v/>
      </c>
      <c r="AO353" s="28" t="str">
        <f aca="false">IF(A353&lt;Hip4LaunchDate,"pre-launch","live (zero-fee)")</f>
        <v>pre-launch</v>
      </c>
      <c r="AP353" s="20"/>
      <c r="AQ353" s="20"/>
      <c r="AR353" s="20"/>
    </row>
    <row r="354" customFormat="false" ht="15" hidden="false" customHeight="false" outlineLevel="0" collapsed="false">
      <c r="A354" s="18" t="n">
        <v>45415</v>
      </c>
      <c r="B354" s="19" t="n">
        <v>810883998.66</v>
      </c>
      <c r="C354" s="19" t="n">
        <v>0</v>
      </c>
      <c r="D354" s="20"/>
      <c r="E354" s="21" t="n">
        <f aca="false">B354+C354</f>
        <v>810883998.66</v>
      </c>
      <c r="F354" s="21" t="n">
        <f aca="false">E354+D354</f>
        <v>810883998.66</v>
      </c>
      <c r="G354" s="22" t="n">
        <f aca="false">IFERROR(C354/E354,0)</f>
        <v>0</v>
      </c>
      <c r="H354" s="20"/>
      <c r="I354" s="20"/>
      <c r="J354" s="20"/>
      <c r="K354" s="21" t="n">
        <f aca="false">H354+I354</f>
        <v>0</v>
      </c>
      <c r="L354" s="20"/>
      <c r="M354" s="21" t="n">
        <f aca="false">H354-L354</f>
        <v>0</v>
      </c>
      <c r="N354" s="23" t="n">
        <f aca="false">IFERROR(M354/B354*10000,0)</f>
        <v>0</v>
      </c>
      <c r="O354" s="20"/>
      <c r="P354" s="20"/>
      <c r="Q354" s="21" t="n">
        <f aca="false">O354+P354</f>
        <v>0</v>
      </c>
      <c r="R354" s="22" t="n">
        <f aca="false">IF(A354&lt;HlpChangeDate,HlpSharePre,HlpSharePost)</f>
        <v>0.03</v>
      </c>
      <c r="S354" s="21" t="n">
        <f aca="false">Q354*R354/(1-R354)</f>
        <v>0</v>
      </c>
      <c r="T354" s="20"/>
      <c r="U354" s="21" t="n">
        <f aca="false">S354-T354</f>
        <v>0</v>
      </c>
      <c r="V354" s="21" t="n">
        <f aca="false">Y354-O354*R354/(1-R354)</f>
        <v>0</v>
      </c>
      <c r="W354" s="21" t="n">
        <f aca="false">Z354-P354*R354/(1-R354)</f>
        <v>0</v>
      </c>
      <c r="X354" s="21" t="n">
        <f aca="false">S354+V354+W354</f>
        <v>0</v>
      </c>
      <c r="Y354" s="20"/>
      <c r="Z354" s="20"/>
      <c r="AA354" s="19" t="n">
        <v>0</v>
      </c>
      <c r="AB354" s="20"/>
      <c r="AC354" s="20"/>
      <c r="AD354" s="24" t="n">
        <f aca="false">IFERROR(AA354/AC354,0)</f>
        <v>0</v>
      </c>
      <c r="AE354" s="25" t="n">
        <f aca="false">K354-Q354-X354</f>
        <v>0</v>
      </c>
      <c r="AF354" s="25" t="n">
        <f aca="false">Q354-AA354</f>
        <v>0</v>
      </c>
      <c r="AG354" s="20"/>
      <c r="AH354" s="26" t="n">
        <f aca="false">IFERROR(AG354/Q354,0)</f>
        <v>0</v>
      </c>
      <c r="AI354" s="27" t="n">
        <v>0</v>
      </c>
      <c r="AJ354" s="26" t="n">
        <f aca="false">IF(AI354&gt;0,AprCoef/SQRT(AI354),0)</f>
        <v>0</v>
      </c>
      <c r="AK354" s="24" t="n">
        <f aca="false">AI354*AJ354/365</f>
        <v>0</v>
      </c>
      <c r="AL354" s="24" t="n">
        <f aca="false">AD354</f>
        <v>0</v>
      </c>
      <c r="AM354" s="24" t="n">
        <f aca="false">AK354-AL354</f>
        <v>0</v>
      </c>
      <c r="AN354" s="28" t="str">
        <f aca="false">IF(A354&gt;=Hip3LaunchDate,"YES","")</f>
        <v/>
      </c>
      <c r="AO354" s="28" t="str">
        <f aca="false">IF(A354&lt;Hip4LaunchDate,"pre-launch","live (zero-fee)")</f>
        <v>pre-launch</v>
      </c>
      <c r="AP354" s="20"/>
      <c r="AQ354" s="20"/>
      <c r="AR354" s="20"/>
    </row>
    <row r="355" customFormat="false" ht="15" hidden="false" customHeight="false" outlineLevel="0" collapsed="false">
      <c r="A355" s="18" t="n">
        <v>45416</v>
      </c>
      <c r="B355" s="19" t="n">
        <v>493504035.33</v>
      </c>
      <c r="C355" s="19" t="n">
        <v>0</v>
      </c>
      <c r="D355" s="20"/>
      <c r="E355" s="21" t="n">
        <f aca="false">B355+C355</f>
        <v>493504035.33</v>
      </c>
      <c r="F355" s="21" t="n">
        <f aca="false">E355+D355</f>
        <v>493504035.33</v>
      </c>
      <c r="G355" s="22" t="n">
        <f aca="false">IFERROR(C355/E355,0)</f>
        <v>0</v>
      </c>
      <c r="H355" s="20"/>
      <c r="I355" s="20"/>
      <c r="J355" s="20"/>
      <c r="K355" s="21" t="n">
        <f aca="false">H355+I355</f>
        <v>0</v>
      </c>
      <c r="L355" s="20"/>
      <c r="M355" s="21" t="n">
        <f aca="false">H355-L355</f>
        <v>0</v>
      </c>
      <c r="N355" s="23" t="n">
        <f aca="false">IFERROR(M355/B355*10000,0)</f>
        <v>0</v>
      </c>
      <c r="O355" s="20"/>
      <c r="P355" s="20"/>
      <c r="Q355" s="21" t="n">
        <f aca="false">O355+P355</f>
        <v>0</v>
      </c>
      <c r="R355" s="22" t="n">
        <f aca="false">IF(A355&lt;HlpChangeDate,HlpSharePre,HlpSharePost)</f>
        <v>0.03</v>
      </c>
      <c r="S355" s="21" t="n">
        <f aca="false">Q355*R355/(1-R355)</f>
        <v>0</v>
      </c>
      <c r="T355" s="20"/>
      <c r="U355" s="21" t="n">
        <f aca="false">S355-T355</f>
        <v>0</v>
      </c>
      <c r="V355" s="21" t="n">
        <f aca="false">Y355-O355*R355/(1-R355)</f>
        <v>0</v>
      </c>
      <c r="W355" s="21" t="n">
        <f aca="false">Z355-P355*R355/(1-R355)</f>
        <v>0</v>
      </c>
      <c r="X355" s="21" t="n">
        <f aca="false">S355+V355+W355</f>
        <v>0</v>
      </c>
      <c r="Y355" s="20"/>
      <c r="Z355" s="20"/>
      <c r="AA355" s="19" t="n">
        <v>0</v>
      </c>
      <c r="AB355" s="20"/>
      <c r="AC355" s="20"/>
      <c r="AD355" s="24" t="n">
        <f aca="false">IFERROR(AA355/AC355,0)</f>
        <v>0</v>
      </c>
      <c r="AE355" s="25" t="n">
        <f aca="false">K355-Q355-X355</f>
        <v>0</v>
      </c>
      <c r="AF355" s="25" t="n">
        <f aca="false">Q355-AA355</f>
        <v>0</v>
      </c>
      <c r="AG355" s="20"/>
      <c r="AH355" s="26" t="n">
        <f aca="false">IFERROR(AG355/Q355,0)</f>
        <v>0</v>
      </c>
      <c r="AI355" s="27" t="n">
        <v>0</v>
      </c>
      <c r="AJ355" s="26" t="n">
        <f aca="false">IF(AI355&gt;0,AprCoef/SQRT(AI355),0)</f>
        <v>0</v>
      </c>
      <c r="AK355" s="24" t="n">
        <f aca="false">AI355*AJ355/365</f>
        <v>0</v>
      </c>
      <c r="AL355" s="24" t="n">
        <f aca="false">AD355</f>
        <v>0</v>
      </c>
      <c r="AM355" s="24" t="n">
        <f aca="false">AK355-AL355</f>
        <v>0</v>
      </c>
      <c r="AN355" s="28" t="str">
        <f aca="false">IF(A355&gt;=Hip3LaunchDate,"YES","")</f>
        <v/>
      </c>
      <c r="AO355" s="28" t="str">
        <f aca="false">IF(A355&lt;Hip4LaunchDate,"pre-launch","live (zero-fee)")</f>
        <v>pre-launch</v>
      </c>
      <c r="AP355" s="20"/>
      <c r="AQ355" s="20"/>
      <c r="AR355" s="20"/>
    </row>
    <row r="356" customFormat="false" ht="15" hidden="false" customHeight="false" outlineLevel="0" collapsed="false">
      <c r="A356" s="18" t="n">
        <v>45417</v>
      </c>
      <c r="B356" s="19" t="n">
        <v>477530164.98</v>
      </c>
      <c r="C356" s="19" t="n">
        <v>0</v>
      </c>
      <c r="D356" s="20"/>
      <c r="E356" s="21" t="n">
        <f aca="false">B356+C356</f>
        <v>477530164.98</v>
      </c>
      <c r="F356" s="21" t="n">
        <f aca="false">E356+D356</f>
        <v>477530164.98</v>
      </c>
      <c r="G356" s="22" t="n">
        <f aca="false">IFERROR(C356/E356,0)</f>
        <v>0</v>
      </c>
      <c r="H356" s="20"/>
      <c r="I356" s="20"/>
      <c r="J356" s="20"/>
      <c r="K356" s="21" t="n">
        <f aca="false">H356+I356</f>
        <v>0</v>
      </c>
      <c r="L356" s="20"/>
      <c r="M356" s="21" t="n">
        <f aca="false">H356-L356</f>
        <v>0</v>
      </c>
      <c r="N356" s="23" t="n">
        <f aca="false">IFERROR(M356/B356*10000,0)</f>
        <v>0</v>
      </c>
      <c r="O356" s="20"/>
      <c r="P356" s="20"/>
      <c r="Q356" s="21" t="n">
        <f aca="false">O356+P356</f>
        <v>0</v>
      </c>
      <c r="R356" s="22" t="n">
        <f aca="false">IF(A356&lt;HlpChangeDate,HlpSharePre,HlpSharePost)</f>
        <v>0.03</v>
      </c>
      <c r="S356" s="21" t="n">
        <f aca="false">Q356*R356/(1-R356)</f>
        <v>0</v>
      </c>
      <c r="T356" s="20"/>
      <c r="U356" s="21" t="n">
        <f aca="false">S356-T356</f>
        <v>0</v>
      </c>
      <c r="V356" s="21" t="n">
        <f aca="false">Y356-O356*R356/(1-R356)</f>
        <v>0</v>
      </c>
      <c r="W356" s="21" t="n">
        <f aca="false">Z356-P356*R356/(1-R356)</f>
        <v>0</v>
      </c>
      <c r="X356" s="21" t="n">
        <f aca="false">S356+V356+W356</f>
        <v>0</v>
      </c>
      <c r="Y356" s="20"/>
      <c r="Z356" s="20"/>
      <c r="AA356" s="19" t="n">
        <v>0</v>
      </c>
      <c r="AB356" s="20"/>
      <c r="AC356" s="20"/>
      <c r="AD356" s="24" t="n">
        <f aca="false">IFERROR(AA356/AC356,0)</f>
        <v>0</v>
      </c>
      <c r="AE356" s="25" t="n">
        <f aca="false">K356-Q356-X356</f>
        <v>0</v>
      </c>
      <c r="AF356" s="25" t="n">
        <f aca="false">Q356-AA356</f>
        <v>0</v>
      </c>
      <c r="AG356" s="20"/>
      <c r="AH356" s="26" t="n">
        <f aca="false">IFERROR(AG356/Q356,0)</f>
        <v>0</v>
      </c>
      <c r="AI356" s="27" t="n">
        <v>0</v>
      </c>
      <c r="AJ356" s="26" t="n">
        <f aca="false">IF(AI356&gt;0,AprCoef/SQRT(AI356),0)</f>
        <v>0</v>
      </c>
      <c r="AK356" s="24" t="n">
        <f aca="false">AI356*AJ356/365</f>
        <v>0</v>
      </c>
      <c r="AL356" s="24" t="n">
        <f aca="false">AD356</f>
        <v>0</v>
      </c>
      <c r="AM356" s="24" t="n">
        <f aca="false">AK356-AL356</f>
        <v>0</v>
      </c>
      <c r="AN356" s="28" t="str">
        <f aca="false">IF(A356&gt;=Hip3LaunchDate,"YES","")</f>
        <v/>
      </c>
      <c r="AO356" s="28" t="str">
        <f aca="false">IF(A356&lt;Hip4LaunchDate,"pre-launch","live (zero-fee)")</f>
        <v>pre-launch</v>
      </c>
      <c r="AP356" s="20"/>
      <c r="AQ356" s="20"/>
      <c r="AR356" s="20"/>
    </row>
    <row r="357" customFormat="false" ht="15" hidden="false" customHeight="false" outlineLevel="0" collapsed="false">
      <c r="A357" s="18" t="n">
        <v>45418</v>
      </c>
      <c r="B357" s="19" t="n">
        <v>827559945.64</v>
      </c>
      <c r="C357" s="19" t="n">
        <v>0</v>
      </c>
      <c r="D357" s="20"/>
      <c r="E357" s="21" t="n">
        <f aca="false">B357+C357</f>
        <v>827559945.64</v>
      </c>
      <c r="F357" s="21" t="n">
        <f aca="false">E357+D357</f>
        <v>827559945.64</v>
      </c>
      <c r="G357" s="22" t="n">
        <f aca="false">IFERROR(C357/E357,0)</f>
        <v>0</v>
      </c>
      <c r="H357" s="20"/>
      <c r="I357" s="20"/>
      <c r="J357" s="20"/>
      <c r="K357" s="21" t="n">
        <f aca="false">H357+I357</f>
        <v>0</v>
      </c>
      <c r="L357" s="20"/>
      <c r="M357" s="21" t="n">
        <f aca="false">H357-L357</f>
        <v>0</v>
      </c>
      <c r="N357" s="23" t="n">
        <f aca="false">IFERROR(M357/B357*10000,0)</f>
        <v>0</v>
      </c>
      <c r="O357" s="20"/>
      <c r="P357" s="20"/>
      <c r="Q357" s="21" t="n">
        <f aca="false">O357+P357</f>
        <v>0</v>
      </c>
      <c r="R357" s="22" t="n">
        <f aca="false">IF(A357&lt;HlpChangeDate,HlpSharePre,HlpSharePost)</f>
        <v>0.03</v>
      </c>
      <c r="S357" s="21" t="n">
        <f aca="false">Q357*R357/(1-R357)</f>
        <v>0</v>
      </c>
      <c r="T357" s="20"/>
      <c r="U357" s="21" t="n">
        <f aca="false">S357-T357</f>
        <v>0</v>
      </c>
      <c r="V357" s="21" t="n">
        <f aca="false">Y357-O357*R357/(1-R357)</f>
        <v>0</v>
      </c>
      <c r="W357" s="21" t="n">
        <f aca="false">Z357-P357*R357/(1-R357)</f>
        <v>0</v>
      </c>
      <c r="X357" s="21" t="n">
        <f aca="false">S357+V357+W357</f>
        <v>0</v>
      </c>
      <c r="Y357" s="20"/>
      <c r="Z357" s="20"/>
      <c r="AA357" s="19" t="n">
        <v>0</v>
      </c>
      <c r="AB357" s="20"/>
      <c r="AC357" s="20"/>
      <c r="AD357" s="24" t="n">
        <f aca="false">IFERROR(AA357/AC357,0)</f>
        <v>0</v>
      </c>
      <c r="AE357" s="25" t="n">
        <f aca="false">K357-Q357-X357</f>
        <v>0</v>
      </c>
      <c r="AF357" s="25" t="n">
        <f aca="false">Q357-AA357</f>
        <v>0</v>
      </c>
      <c r="AG357" s="20"/>
      <c r="AH357" s="26" t="n">
        <f aca="false">IFERROR(AG357/Q357,0)</f>
        <v>0</v>
      </c>
      <c r="AI357" s="27" t="n">
        <v>0</v>
      </c>
      <c r="AJ357" s="26" t="n">
        <f aca="false">IF(AI357&gt;0,AprCoef/SQRT(AI357),0)</f>
        <v>0</v>
      </c>
      <c r="AK357" s="24" t="n">
        <f aca="false">AI357*AJ357/365</f>
        <v>0</v>
      </c>
      <c r="AL357" s="24" t="n">
        <f aca="false">AD357</f>
        <v>0</v>
      </c>
      <c r="AM357" s="24" t="n">
        <f aca="false">AK357-AL357</f>
        <v>0</v>
      </c>
      <c r="AN357" s="28" t="str">
        <f aca="false">IF(A357&gt;=Hip3LaunchDate,"YES","")</f>
        <v/>
      </c>
      <c r="AO357" s="28" t="str">
        <f aca="false">IF(A357&lt;Hip4LaunchDate,"pre-launch","live (zero-fee)")</f>
        <v>pre-launch</v>
      </c>
      <c r="AP357" s="20"/>
      <c r="AQ357" s="20"/>
      <c r="AR357" s="20"/>
    </row>
    <row r="358" customFormat="false" ht="15" hidden="false" customHeight="false" outlineLevel="0" collapsed="false">
      <c r="A358" s="18" t="n">
        <v>45419</v>
      </c>
      <c r="B358" s="19" t="n">
        <v>827783685.48</v>
      </c>
      <c r="C358" s="19" t="n">
        <v>0</v>
      </c>
      <c r="D358" s="20"/>
      <c r="E358" s="21" t="n">
        <f aca="false">B358+C358</f>
        <v>827783685.48</v>
      </c>
      <c r="F358" s="21" t="n">
        <f aca="false">E358+D358</f>
        <v>827783685.48</v>
      </c>
      <c r="G358" s="22" t="n">
        <f aca="false">IFERROR(C358/E358,0)</f>
        <v>0</v>
      </c>
      <c r="H358" s="20"/>
      <c r="I358" s="20"/>
      <c r="J358" s="20"/>
      <c r="K358" s="21" t="n">
        <f aca="false">H358+I358</f>
        <v>0</v>
      </c>
      <c r="L358" s="20"/>
      <c r="M358" s="21" t="n">
        <f aca="false">H358-L358</f>
        <v>0</v>
      </c>
      <c r="N358" s="23" t="n">
        <f aca="false">IFERROR(M358/B358*10000,0)</f>
        <v>0</v>
      </c>
      <c r="O358" s="20"/>
      <c r="P358" s="20"/>
      <c r="Q358" s="21" t="n">
        <f aca="false">O358+P358</f>
        <v>0</v>
      </c>
      <c r="R358" s="22" t="n">
        <f aca="false">IF(A358&lt;HlpChangeDate,HlpSharePre,HlpSharePost)</f>
        <v>0.03</v>
      </c>
      <c r="S358" s="21" t="n">
        <f aca="false">Q358*R358/(1-R358)</f>
        <v>0</v>
      </c>
      <c r="T358" s="20"/>
      <c r="U358" s="21" t="n">
        <f aca="false">S358-T358</f>
        <v>0</v>
      </c>
      <c r="V358" s="21" t="n">
        <f aca="false">Y358-O358*R358/(1-R358)</f>
        <v>0</v>
      </c>
      <c r="W358" s="21" t="n">
        <f aca="false">Z358-P358*R358/(1-R358)</f>
        <v>0</v>
      </c>
      <c r="X358" s="21" t="n">
        <f aca="false">S358+V358+W358</f>
        <v>0</v>
      </c>
      <c r="Y358" s="20"/>
      <c r="Z358" s="20"/>
      <c r="AA358" s="19" t="n">
        <v>0</v>
      </c>
      <c r="AB358" s="20"/>
      <c r="AC358" s="20"/>
      <c r="AD358" s="24" t="n">
        <f aca="false">IFERROR(AA358/AC358,0)</f>
        <v>0</v>
      </c>
      <c r="AE358" s="25" t="n">
        <f aca="false">K358-Q358-X358</f>
        <v>0</v>
      </c>
      <c r="AF358" s="25" t="n">
        <f aca="false">Q358-AA358</f>
        <v>0</v>
      </c>
      <c r="AG358" s="20"/>
      <c r="AH358" s="26" t="n">
        <f aca="false">IFERROR(AG358/Q358,0)</f>
        <v>0</v>
      </c>
      <c r="AI358" s="27" t="n">
        <v>0</v>
      </c>
      <c r="AJ358" s="26" t="n">
        <f aca="false">IF(AI358&gt;0,AprCoef/SQRT(AI358),0)</f>
        <v>0</v>
      </c>
      <c r="AK358" s="24" t="n">
        <f aca="false">AI358*AJ358/365</f>
        <v>0</v>
      </c>
      <c r="AL358" s="24" t="n">
        <f aca="false">AD358</f>
        <v>0</v>
      </c>
      <c r="AM358" s="24" t="n">
        <f aca="false">AK358-AL358</f>
        <v>0</v>
      </c>
      <c r="AN358" s="28" t="str">
        <f aca="false">IF(A358&gt;=Hip3LaunchDate,"YES","")</f>
        <v/>
      </c>
      <c r="AO358" s="28" t="str">
        <f aca="false">IF(A358&lt;Hip4LaunchDate,"pre-launch","live (zero-fee)")</f>
        <v>pre-launch</v>
      </c>
      <c r="AP358" s="20"/>
      <c r="AQ358" s="20"/>
      <c r="AR358" s="20"/>
    </row>
    <row r="359" customFormat="false" ht="15" hidden="false" customHeight="false" outlineLevel="0" collapsed="false">
      <c r="A359" s="18" t="n">
        <v>45420</v>
      </c>
      <c r="B359" s="19" t="n">
        <v>892663821.03</v>
      </c>
      <c r="C359" s="19" t="n">
        <v>0</v>
      </c>
      <c r="D359" s="20"/>
      <c r="E359" s="21" t="n">
        <f aca="false">B359+C359</f>
        <v>892663821.03</v>
      </c>
      <c r="F359" s="21" t="n">
        <f aca="false">E359+D359</f>
        <v>892663821.03</v>
      </c>
      <c r="G359" s="22" t="n">
        <f aca="false">IFERROR(C359/E359,0)</f>
        <v>0</v>
      </c>
      <c r="H359" s="20"/>
      <c r="I359" s="20"/>
      <c r="J359" s="20"/>
      <c r="K359" s="21" t="n">
        <f aca="false">H359+I359</f>
        <v>0</v>
      </c>
      <c r="L359" s="20"/>
      <c r="M359" s="21" t="n">
        <f aca="false">H359-L359</f>
        <v>0</v>
      </c>
      <c r="N359" s="23" t="n">
        <f aca="false">IFERROR(M359/B359*10000,0)</f>
        <v>0</v>
      </c>
      <c r="O359" s="20"/>
      <c r="P359" s="20"/>
      <c r="Q359" s="21" t="n">
        <f aca="false">O359+P359</f>
        <v>0</v>
      </c>
      <c r="R359" s="22" t="n">
        <f aca="false">IF(A359&lt;HlpChangeDate,HlpSharePre,HlpSharePost)</f>
        <v>0.03</v>
      </c>
      <c r="S359" s="21" t="n">
        <f aca="false">Q359*R359/(1-R359)</f>
        <v>0</v>
      </c>
      <c r="T359" s="20"/>
      <c r="U359" s="21" t="n">
        <f aca="false">S359-T359</f>
        <v>0</v>
      </c>
      <c r="V359" s="21" t="n">
        <f aca="false">Y359-O359*R359/(1-R359)</f>
        <v>0</v>
      </c>
      <c r="W359" s="21" t="n">
        <f aca="false">Z359-P359*R359/(1-R359)</f>
        <v>0</v>
      </c>
      <c r="X359" s="21" t="n">
        <f aca="false">S359+V359+W359</f>
        <v>0</v>
      </c>
      <c r="Y359" s="20"/>
      <c r="Z359" s="20"/>
      <c r="AA359" s="19" t="n">
        <v>0</v>
      </c>
      <c r="AB359" s="20"/>
      <c r="AC359" s="20"/>
      <c r="AD359" s="24" t="n">
        <f aca="false">IFERROR(AA359/AC359,0)</f>
        <v>0</v>
      </c>
      <c r="AE359" s="25" t="n">
        <f aca="false">K359-Q359-X359</f>
        <v>0</v>
      </c>
      <c r="AF359" s="25" t="n">
        <f aca="false">Q359-AA359</f>
        <v>0</v>
      </c>
      <c r="AG359" s="20"/>
      <c r="AH359" s="26" t="n">
        <f aca="false">IFERROR(AG359/Q359,0)</f>
        <v>0</v>
      </c>
      <c r="AI359" s="27" t="n">
        <v>0</v>
      </c>
      <c r="AJ359" s="26" t="n">
        <f aca="false">IF(AI359&gt;0,AprCoef/SQRT(AI359),0)</f>
        <v>0</v>
      </c>
      <c r="AK359" s="24" t="n">
        <f aca="false">AI359*AJ359/365</f>
        <v>0</v>
      </c>
      <c r="AL359" s="24" t="n">
        <f aca="false">AD359</f>
        <v>0</v>
      </c>
      <c r="AM359" s="24" t="n">
        <f aca="false">AK359-AL359</f>
        <v>0</v>
      </c>
      <c r="AN359" s="28" t="str">
        <f aca="false">IF(A359&gt;=Hip3LaunchDate,"YES","")</f>
        <v/>
      </c>
      <c r="AO359" s="28" t="str">
        <f aca="false">IF(A359&lt;Hip4LaunchDate,"pre-launch","live (zero-fee)")</f>
        <v>pre-launch</v>
      </c>
      <c r="AP359" s="20"/>
      <c r="AQ359" s="20"/>
      <c r="AR359" s="20"/>
    </row>
    <row r="360" customFormat="false" ht="15" hidden="false" customHeight="false" outlineLevel="0" collapsed="false">
      <c r="A360" s="18" t="n">
        <v>45421</v>
      </c>
      <c r="B360" s="19" t="n">
        <v>679332408.06</v>
      </c>
      <c r="C360" s="19" t="n">
        <v>0</v>
      </c>
      <c r="D360" s="20"/>
      <c r="E360" s="21" t="n">
        <f aca="false">B360+C360</f>
        <v>679332408.06</v>
      </c>
      <c r="F360" s="21" t="n">
        <f aca="false">E360+D360</f>
        <v>679332408.06</v>
      </c>
      <c r="G360" s="22" t="n">
        <f aca="false">IFERROR(C360/E360,0)</f>
        <v>0</v>
      </c>
      <c r="H360" s="20"/>
      <c r="I360" s="20"/>
      <c r="J360" s="20"/>
      <c r="K360" s="21" t="n">
        <f aca="false">H360+I360</f>
        <v>0</v>
      </c>
      <c r="L360" s="20"/>
      <c r="M360" s="21" t="n">
        <f aca="false">H360-L360</f>
        <v>0</v>
      </c>
      <c r="N360" s="23" t="n">
        <f aca="false">IFERROR(M360/B360*10000,0)</f>
        <v>0</v>
      </c>
      <c r="O360" s="20"/>
      <c r="P360" s="20"/>
      <c r="Q360" s="21" t="n">
        <f aca="false">O360+P360</f>
        <v>0</v>
      </c>
      <c r="R360" s="22" t="n">
        <f aca="false">IF(A360&lt;HlpChangeDate,HlpSharePre,HlpSharePost)</f>
        <v>0.03</v>
      </c>
      <c r="S360" s="21" t="n">
        <f aca="false">Q360*R360/(1-R360)</f>
        <v>0</v>
      </c>
      <c r="T360" s="20"/>
      <c r="U360" s="21" t="n">
        <f aca="false">S360-T360</f>
        <v>0</v>
      </c>
      <c r="V360" s="21" t="n">
        <f aca="false">Y360-O360*R360/(1-R360)</f>
        <v>0</v>
      </c>
      <c r="W360" s="21" t="n">
        <f aca="false">Z360-P360*R360/(1-R360)</f>
        <v>0</v>
      </c>
      <c r="X360" s="21" t="n">
        <f aca="false">S360+V360+W360</f>
        <v>0</v>
      </c>
      <c r="Y360" s="20"/>
      <c r="Z360" s="20"/>
      <c r="AA360" s="19" t="n">
        <v>0</v>
      </c>
      <c r="AB360" s="20"/>
      <c r="AC360" s="20"/>
      <c r="AD360" s="24" t="n">
        <f aca="false">IFERROR(AA360/AC360,0)</f>
        <v>0</v>
      </c>
      <c r="AE360" s="25" t="n">
        <f aca="false">K360-Q360-X360</f>
        <v>0</v>
      </c>
      <c r="AF360" s="25" t="n">
        <f aca="false">Q360-AA360</f>
        <v>0</v>
      </c>
      <c r="AG360" s="20"/>
      <c r="AH360" s="26" t="n">
        <f aca="false">IFERROR(AG360/Q360,0)</f>
        <v>0</v>
      </c>
      <c r="AI360" s="27" t="n">
        <v>0</v>
      </c>
      <c r="AJ360" s="26" t="n">
        <f aca="false">IF(AI360&gt;0,AprCoef/SQRT(AI360),0)</f>
        <v>0</v>
      </c>
      <c r="AK360" s="24" t="n">
        <f aca="false">AI360*AJ360/365</f>
        <v>0</v>
      </c>
      <c r="AL360" s="24" t="n">
        <f aca="false">AD360</f>
        <v>0</v>
      </c>
      <c r="AM360" s="24" t="n">
        <f aca="false">AK360-AL360</f>
        <v>0</v>
      </c>
      <c r="AN360" s="28" t="str">
        <f aca="false">IF(A360&gt;=Hip3LaunchDate,"YES","")</f>
        <v/>
      </c>
      <c r="AO360" s="28" t="str">
        <f aca="false">IF(A360&lt;Hip4LaunchDate,"pre-launch","live (zero-fee)")</f>
        <v>pre-launch</v>
      </c>
      <c r="AP360" s="20"/>
      <c r="AQ360" s="20"/>
      <c r="AR360" s="20"/>
    </row>
    <row r="361" customFormat="false" ht="15" hidden="false" customHeight="false" outlineLevel="0" collapsed="false">
      <c r="A361" s="18" t="n">
        <v>45422</v>
      </c>
      <c r="B361" s="19" t="n">
        <v>807060703.73</v>
      </c>
      <c r="C361" s="19" t="n">
        <v>0</v>
      </c>
      <c r="D361" s="20"/>
      <c r="E361" s="21" t="n">
        <f aca="false">B361+C361</f>
        <v>807060703.73</v>
      </c>
      <c r="F361" s="21" t="n">
        <f aca="false">E361+D361</f>
        <v>807060703.73</v>
      </c>
      <c r="G361" s="22" t="n">
        <f aca="false">IFERROR(C361/E361,0)</f>
        <v>0</v>
      </c>
      <c r="H361" s="20"/>
      <c r="I361" s="20"/>
      <c r="J361" s="20"/>
      <c r="K361" s="21" t="n">
        <f aca="false">H361+I361</f>
        <v>0</v>
      </c>
      <c r="L361" s="20"/>
      <c r="M361" s="21" t="n">
        <f aca="false">H361-L361</f>
        <v>0</v>
      </c>
      <c r="N361" s="23" t="n">
        <f aca="false">IFERROR(M361/B361*10000,0)</f>
        <v>0</v>
      </c>
      <c r="O361" s="20"/>
      <c r="P361" s="20"/>
      <c r="Q361" s="21" t="n">
        <f aca="false">O361+P361</f>
        <v>0</v>
      </c>
      <c r="R361" s="22" t="n">
        <f aca="false">IF(A361&lt;HlpChangeDate,HlpSharePre,HlpSharePost)</f>
        <v>0.03</v>
      </c>
      <c r="S361" s="21" t="n">
        <f aca="false">Q361*R361/(1-R361)</f>
        <v>0</v>
      </c>
      <c r="T361" s="20"/>
      <c r="U361" s="21" t="n">
        <f aca="false">S361-T361</f>
        <v>0</v>
      </c>
      <c r="V361" s="21" t="n">
        <f aca="false">Y361-O361*R361/(1-R361)</f>
        <v>0</v>
      </c>
      <c r="W361" s="21" t="n">
        <f aca="false">Z361-P361*R361/(1-R361)</f>
        <v>0</v>
      </c>
      <c r="X361" s="21" t="n">
        <f aca="false">S361+V361+W361</f>
        <v>0</v>
      </c>
      <c r="Y361" s="20"/>
      <c r="Z361" s="20"/>
      <c r="AA361" s="19" t="n">
        <v>0</v>
      </c>
      <c r="AB361" s="20"/>
      <c r="AC361" s="20"/>
      <c r="AD361" s="24" t="n">
        <f aca="false">IFERROR(AA361/AC361,0)</f>
        <v>0</v>
      </c>
      <c r="AE361" s="25" t="n">
        <f aca="false">K361-Q361-X361</f>
        <v>0</v>
      </c>
      <c r="AF361" s="25" t="n">
        <f aca="false">Q361-AA361</f>
        <v>0</v>
      </c>
      <c r="AG361" s="20"/>
      <c r="AH361" s="26" t="n">
        <f aca="false">IFERROR(AG361/Q361,0)</f>
        <v>0</v>
      </c>
      <c r="AI361" s="27" t="n">
        <v>0</v>
      </c>
      <c r="AJ361" s="26" t="n">
        <f aca="false">IF(AI361&gt;0,AprCoef/SQRT(AI361),0)</f>
        <v>0</v>
      </c>
      <c r="AK361" s="24" t="n">
        <f aca="false">AI361*AJ361/365</f>
        <v>0</v>
      </c>
      <c r="AL361" s="24" t="n">
        <f aca="false">AD361</f>
        <v>0</v>
      </c>
      <c r="AM361" s="24" t="n">
        <f aca="false">AK361-AL361</f>
        <v>0</v>
      </c>
      <c r="AN361" s="28" t="str">
        <f aca="false">IF(A361&gt;=Hip3LaunchDate,"YES","")</f>
        <v/>
      </c>
      <c r="AO361" s="28" t="str">
        <f aca="false">IF(A361&lt;Hip4LaunchDate,"pre-launch","live (zero-fee)")</f>
        <v>pre-launch</v>
      </c>
      <c r="AP361" s="20"/>
      <c r="AQ361" s="20"/>
      <c r="AR361" s="20"/>
    </row>
    <row r="362" customFormat="false" ht="15" hidden="false" customHeight="false" outlineLevel="0" collapsed="false">
      <c r="A362" s="18" t="n">
        <v>45423</v>
      </c>
      <c r="B362" s="19" t="n">
        <v>308265299.7</v>
      </c>
      <c r="C362" s="19" t="n">
        <v>0</v>
      </c>
      <c r="D362" s="20"/>
      <c r="E362" s="21" t="n">
        <f aca="false">B362+C362</f>
        <v>308265299.7</v>
      </c>
      <c r="F362" s="21" t="n">
        <f aca="false">E362+D362</f>
        <v>308265299.7</v>
      </c>
      <c r="G362" s="22" t="n">
        <f aca="false">IFERROR(C362/E362,0)</f>
        <v>0</v>
      </c>
      <c r="H362" s="20"/>
      <c r="I362" s="20"/>
      <c r="J362" s="20"/>
      <c r="K362" s="21" t="n">
        <f aca="false">H362+I362</f>
        <v>0</v>
      </c>
      <c r="L362" s="20"/>
      <c r="M362" s="21" t="n">
        <f aca="false">H362-L362</f>
        <v>0</v>
      </c>
      <c r="N362" s="23" t="n">
        <f aca="false">IFERROR(M362/B362*10000,0)</f>
        <v>0</v>
      </c>
      <c r="O362" s="20"/>
      <c r="P362" s="20"/>
      <c r="Q362" s="21" t="n">
        <f aca="false">O362+P362</f>
        <v>0</v>
      </c>
      <c r="R362" s="22" t="n">
        <f aca="false">IF(A362&lt;HlpChangeDate,HlpSharePre,HlpSharePost)</f>
        <v>0.03</v>
      </c>
      <c r="S362" s="21" t="n">
        <f aca="false">Q362*R362/(1-R362)</f>
        <v>0</v>
      </c>
      <c r="T362" s="20"/>
      <c r="U362" s="21" t="n">
        <f aca="false">S362-T362</f>
        <v>0</v>
      </c>
      <c r="V362" s="21" t="n">
        <f aca="false">Y362-O362*R362/(1-R362)</f>
        <v>0</v>
      </c>
      <c r="W362" s="21" t="n">
        <f aca="false">Z362-P362*R362/(1-R362)</f>
        <v>0</v>
      </c>
      <c r="X362" s="21" t="n">
        <f aca="false">S362+V362+W362</f>
        <v>0</v>
      </c>
      <c r="Y362" s="20"/>
      <c r="Z362" s="20"/>
      <c r="AA362" s="19" t="n">
        <v>0</v>
      </c>
      <c r="AB362" s="20"/>
      <c r="AC362" s="20"/>
      <c r="AD362" s="24" t="n">
        <f aca="false">IFERROR(AA362/AC362,0)</f>
        <v>0</v>
      </c>
      <c r="AE362" s="25" t="n">
        <f aca="false">K362-Q362-X362</f>
        <v>0</v>
      </c>
      <c r="AF362" s="25" t="n">
        <f aca="false">Q362-AA362</f>
        <v>0</v>
      </c>
      <c r="AG362" s="20"/>
      <c r="AH362" s="26" t="n">
        <f aca="false">IFERROR(AG362/Q362,0)</f>
        <v>0</v>
      </c>
      <c r="AI362" s="27" t="n">
        <v>0</v>
      </c>
      <c r="AJ362" s="26" t="n">
        <f aca="false">IF(AI362&gt;0,AprCoef/SQRT(AI362),0)</f>
        <v>0</v>
      </c>
      <c r="AK362" s="24" t="n">
        <f aca="false">AI362*AJ362/365</f>
        <v>0</v>
      </c>
      <c r="AL362" s="24" t="n">
        <f aca="false">AD362</f>
        <v>0</v>
      </c>
      <c r="AM362" s="24" t="n">
        <f aca="false">AK362-AL362</f>
        <v>0</v>
      </c>
      <c r="AN362" s="28" t="str">
        <f aca="false">IF(A362&gt;=Hip3LaunchDate,"YES","")</f>
        <v/>
      </c>
      <c r="AO362" s="28" t="str">
        <f aca="false">IF(A362&lt;Hip4LaunchDate,"pre-launch","live (zero-fee)")</f>
        <v>pre-launch</v>
      </c>
      <c r="AP362" s="20"/>
      <c r="AQ362" s="20"/>
      <c r="AR362" s="20"/>
    </row>
    <row r="363" customFormat="false" ht="15" hidden="false" customHeight="false" outlineLevel="0" collapsed="false">
      <c r="A363" s="18" t="n">
        <v>45424</v>
      </c>
      <c r="B363" s="19" t="n">
        <v>274770431.09</v>
      </c>
      <c r="C363" s="19" t="n">
        <v>0</v>
      </c>
      <c r="D363" s="20"/>
      <c r="E363" s="21" t="n">
        <f aca="false">B363+C363</f>
        <v>274770431.09</v>
      </c>
      <c r="F363" s="21" t="n">
        <f aca="false">E363+D363</f>
        <v>274770431.09</v>
      </c>
      <c r="G363" s="22" t="n">
        <f aca="false">IFERROR(C363/E363,0)</f>
        <v>0</v>
      </c>
      <c r="H363" s="20"/>
      <c r="I363" s="20"/>
      <c r="J363" s="20"/>
      <c r="K363" s="21" t="n">
        <f aca="false">H363+I363</f>
        <v>0</v>
      </c>
      <c r="L363" s="20"/>
      <c r="M363" s="21" t="n">
        <f aca="false">H363-L363</f>
        <v>0</v>
      </c>
      <c r="N363" s="23" t="n">
        <f aca="false">IFERROR(M363/B363*10000,0)</f>
        <v>0</v>
      </c>
      <c r="O363" s="20"/>
      <c r="P363" s="20"/>
      <c r="Q363" s="21" t="n">
        <f aca="false">O363+P363</f>
        <v>0</v>
      </c>
      <c r="R363" s="22" t="n">
        <f aca="false">IF(A363&lt;HlpChangeDate,HlpSharePre,HlpSharePost)</f>
        <v>0.03</v>
      </c>
      <c r="S363" s="21" t="n">
        <f aca="false">Q363*R363/(1-R363)</f>
        <v>0</v>
      </c>
      <c r="T363" s="20"/>
      <c r="U363" s="21" t="n">
        <f aca="false">S363-T363</f>
        <v>0</v>
      </c>
      <c r="V363" s="21" t="n">
        <f aca="false">Y363-O363*R363/(1-R363)</f>
        <v>0</v>
      </c>
      <c r="W363" s="21" t="n">
        <f aca="false">Z363-P363*R363/(1-R363)</f>
        <v>0</v>
      </c>
      <c r="X363" s="21" t="n">
        <f aca="false">S363+V363+W363</f>
        <v>0</v>
      </c>
      <c r="Y363" s="20"/>
      <c r="Z363" s="20"/>
      <c r="AA363" s="19" t="n">
        <v>0</v>
      </c>
      <c r="AB363" s="20"/>
      <c r="AC363" s="20"/>
      <c r="AD363" s="24" t="n">
        <f aca="false">IFERROR(AA363/AC363,0)</f>
        <v>0</v>
      </c>
      <c r="AE363" s="25" t="n">
        <f aca="false">K363-Q363-X363</f>
        <v>0</v>
      </c>
      <c r="AF363" s="25" t="n">
        <f aca="false">Q363-AA363</f>
        <v>0</v>
      </c>
      <c r="AG363" s="20"/>
      <c r="AH363" s="26" t="n">
        <f aca="false">IFERROR(AG363/Q363,0)</f>
        <v>0</v>
      </c>
      <c r="AI363" s="27" t="n">
        <v>0</v>
      </c>
      <c r="AJ363" s="26" t="n">
        <f aca="false">IF(AI363&gt;0,AprCoef/SQRT(AI363),0)</f>
        <v>0</v>
      </c>
      <c r="AK363" s="24" t="n">
        <f aca="false">AI363*AJ363/365</f>
        <v>0</v>
      </c>
      <c r="AL363" s="24" t="n">
        <f aca="false">AD363</f>
        <v>0</v>
      </c>
      <c r="AM363" s="24" t="n">
        <f aca="false">AK363-AL363</f>
        <v>0</v>
      </c>
      <c r="AN363" s="28" t="str">
        <f aca="false">IF(A363&gt;=Hip3LaunchDate,"YES","")</f>
        <v/>
      </c>
      <c r="AO363" s="28" t="str">
        <f aca="false">IF(A363&lt;Hip4LaunchDate,"pre-launch","live (zero-fee)")</f>
        <v>pre-launch</v>
      </c>
      <c r="AP363" s="20"/>
      <c r="AQ363" s="20"/>
      <c r="AR363" s="20"/>
    </row>
    <row r="364" customFormat="false" ht="15" hidden="false" customHeight="false" outlineLevel="0" collapsed="false">
      <c r="A364" s="18" t="n">
        <v>45425</v>
      </c>
      <c r="B364" s="19" t="n">
        <v>888557904.56</v>
      </c>
      <c r="C364" s="19" t="n">
        <v>0</v>
      </c>
      <c r="D364" s="20"/>
      <c r="E364" s="21" t="n">
        <f aca="false">B364+C364</f>
        <v>888557904.56</v>
      </c>
      <c r="F364" s="21" t="n">
        <f aca="false">E364+D364</f>
        <v>888557904.56</v>
      </c>
      <c r="G364" s="22" t="n">
        <f aca="false">IFERROR(C364/E364,0)</f>
        <v>0</v>
      </c>
      <c r="H364" s="20"/>
      <c r="I364" s="20"/>
      <c r="J364" s="20"/>
      <c r="K364" s="21" t="n">
        <f aca="false">H364+I364</f>
        <v>0</v>
      </c>
      <c r="L364" s="20"/>
      <c r="M364" s="21" t="n">
        <f aca="false">H364-L364</f>
        <v>0</v>
      </c>
      <c r="N364" s="23" t="n">
        <f aca="false">IFERROR(M364/B364*10000,0)</f>
        <v>0</v>
      </c>
      <c r="O364" s="20"/>
      <c r="P364" s="20"/>
      <c r="Q364" s="21" t="n">
        <f aca="false">O364+P364</f>
        <v>0</v>
      </c>
      <c r="R364" s="22" t="n">
        <f aca="false">IF(A364&lt;HlpChangeDate,HlpSharePre,HlpSharePost)</f>
        <v>0.03</v>
      </c>
      <c r="S364" s="21" t="n">
        <f aca="false">Q364*R364/(1-R364)</f>
        <v>0</v>
      </c>
      <c r="T364" s="20"/>
      <c r="U364" s="21" t="n">
        <f aca="false">S364-T364</f>
        <v>0</v>
      </c>
      <c r="V364" s="21" t="n">
        <f aca="false">Y364-O364*R364/(1-R364)</f>
        <v>0</v>
      </c>
      <c r="W364" s="21" t="n">
        <f aca="false">Z364-P364*R364/(1-R364)</f>
        <v>0</v>
      </c>
      <c r="X364" s="21" t="n">
        <f aca="false">S364+V364+W364</f>
        <v>0</v>
      </c>
      <c r="Y364" s="20"/>
      <c r="Z364" s="20"/>
      <c r="AA364" s="19" t="n">
        <v>0</v>
      </c>
      <c r="AB364" s="20"/>
      <c r="AC364" s="20"/>
      <c r="AD364" s="24" t="n">
        <f aca="false">IFERROR(AA364/AC364,0)</f>
        <v>0</v>
      </c>
      <c r="AE364" s="25" t="n">
        <f aca="false">K364-Q364-X364</f>
        <v>0</v>
      </c>
      <c r="AF364" s="25" t="n">
        <f aca="false">Q364-AA364</f>
        <v>0</v>
      </c>
      <c r="AG364" s="20"/>
      <c r="AH364" s="26" t="n">
        <f aca="false">IFERROR(AG364/Q364,0)</f>
        <v>0</v>
      </c>
      <c r="AI364" s="27" t="n">
        <v>0</v>
      </c>
      <c r="AJ364" s="26" t="n">
        <f aca="false">IF(AI364&gt;0,AprCoef/SQRT(AI364),0)</f>
        <v>0</v>
      </c>
      <c r="AK364" s="24" t="n">
        <f aca="false">AI364*AJ364/365</f>
        <v>0</v>
      </c>
      <c r="AL364" s="24" t="n">
        <f aca="false">AD364</f>
        <v>0</v>
      </c>
      <c r="AM364" s="24" t="n">
        <f aca="false">AK364-AL364</f>
        <v>0</v>
      </c>
      <c r="AN364" s="28" t="str">
        <f aca="false">IF(A364&gt;=Hip3LaunchDate,"YES","")</f>
        <v/>
      </c>
      <c r="AO364" s="28" t="str">
        <f aca="false">IF(A364&lt;Hip4LaunchDate,"pre-launch","live (zero-fee)")</f>
        <v>pre-launch</v>
      </c>
      <c r="AP364" s="20"/>
      <c r="AQ364" s="20"/>
      <c r="AR364" s="20"/>
    </row>
    <row r="365" customFormat="false" ht="15" hidden="false" customHeight="false" outlineLevel="0" collapsed="false">
      <c r="A365" s="18" t="n">
        <v>45426</v>
      </c>
      <c r="B365" s="19" t="n">
        <v>774923029.72</v>
      </c>
      <c r="C365" s="19" t="n">
        <v>0</v>
      </c>
      <c r="D365" s="20"/>
      <c r="E365" s="21" t="n">
        <f aca="false">B365+C365</f>
        <v>774923029.72</v>
      </c>
      <c r="F365" s="21" t="n">
        <f aca="false">E365+D365</f>
        <v>774923029.72</v>
      </c>
      <c r="G365" s="22" t="n">
        <f aca="false">IFERROR(C365/E365,0)</f>
        <v>0</v>
      </c>
      <c r="H365" s="20"/>
      <c r="I365" s="20"/>
      <c r="J365" s="20"/>
      <c r="K365" s="21" t="n">
        <f aca="false">H365+I365</f>
        <v>0</v>
      </c>
      <c r="L365" s="20"/>
      <c r="M365" s="21" t="n">
        <f aca="false">H365-L365</f>
        <v>0</v>
      </c>
      <c r="N365" s="23" t="n">
        <f aca="false">IFERROR(M365/B365*10000,0)</f>
        <v>0</v>
      </c>
      <c r="O365" s="20"/>
      <c r="P365" s="20"/>
      <c r="Q365" s="21" t="n">
        <f aca="false">O365+P365</f>
        <v>0</v>
      </c>
      <c r="R365" s="22" t="n">
        <f aca="false">IF(A365&lt;HlpChangeDate,HlpSharePre,HlpSharePost)</f>
        <v>0.03</v>
      </c>
      <c r="S365" s="21" t="n">
        <f aca="false">Q365*R365/(1-R365)</f>
        <v>0</v>
      </c>
      <c r="T365" s="20"/>
      <c r="U365" s="21" t="n">
        <f aca="false">S365-T365</f>
        <v>0</v>
      </c>
      <c r="V365" s="21" t="n">
        <f aca="false">Y365-O365*R365/(1-R365)</f>
        <v>0</v>
      </c>
      <c r="W365" s="21" t="n">
        <f aca="false">Z365-P365*R365/(1-R365)</f>
        <v>0</v>
      </c>
      <c r="X365" s="21" t="n">
        <f aca="false">S365+V365+W365</f>
        <v>0</v>
      </c>
      <c r="Y365" s="20"/>
      <c r="Z365" s="20"/>
      <c r="AA365" s="19" t="n">
        <v>0</v>
      </c>
      <c r="AB365" s="20"/>
      <c r="AC365" s="20"/>
      <c r="AD365" s="24" t="n">
        <f aca="false">IFERROR(AA365/AC365,0)</f>
        <v>0</v>
      </c>
      <c r="AE365" s="25" t="n">
        <f aca="false">K365-Q365-X365</f>
        <v>0</v>
      </c>
      <c r="AF365" s="25" t="n">
        <f aca="false">Q365-AA365</f>
        <v>0</v>
      </c>
      <c r="AG365" s="20"/>
      <c r="AH365" s="26" t="n">
        <f aca="false">IFERROR(AG365/Q365,0)</f>
        <v>0</v>
      </c>
      <c r="AI365" s="27" t="n">
        <v>0</v>
      </c>
      <c r="AJ365" s="26" t="n">
        <f aca="false">IF(AI365&gt;0,AprCoef/SQRT(AI365),0)</f>
        <v>0</v>
      </c>
      <c r="AK365" s="24" t="n">
        <f aca="false">AI365*AJ365/365</f>
        <v>0</v>
      </c>
      <c r="AL365" s="24" t="n">
        <f aca="false">AD365</f>
        <v>0</v>
      </c>
      <c r="AM365" s="24" t="n">
        <f aca="false">AK365-AL365</f>
        <v>0</v>
      </c>
      <c r="AN365" s="28" t="str">
        <f aca="false">IF(A365&gt;=Hip3LaunchDate,"YES","")</f>
        <v/>
      </c>
      <c r="AO365" s="28" t="str">
        <f aca="false">IF(A365&lt;Hip4LaunchDate,"pre-launch","live (zero-fee)")</f>
        <v>pre-launch</v>
      </c>
      <c r="AP365" s="20"/>
      <c r="AQ365" s="20"/>
      <c r="AR365" s="20"/>
    </row>
    <row r="366" customFormat="false" ht="15" hidden="false" customHeight="false" outlineLevel="0" collapsed="false">
      <c r="A366" s="18" t="n">
        <v>45427</v>
      </c>
      <c r="B366" s="19" t="n">
        <v>914482493.87</v>
      </c>
      <c r="C366" s="19" t="n">
        <v>0</v>
      </c>
      <c r="D366" s="20"/>
      <c r="E366" s="21" t="n">
        <f aca="false">B366+C366</f>
        <v>914482493.87</v>
      </c>
      <c r="F366" s="21" t="n">
        <f aca="false">E366+D366</f>
        <v>914482493.87</v>
      </c>
      <c r="G366" s="22" t="n">
        <f aca="false">IFERROR(C366/E366,0)</f>
        <v>0</v>
      </c>
      <c r="H366" s="20"/>
      <c r="I366" s="20"/>
      <c r="J366" s="20"/>
      <c r="K366" s="21" t="n">
        <f aca="false">H366+I366</f>
        <v>0</v>
      </c>
      <c r="L366" s="20"/>
      <c r="M366" s="21" t="n">
        <f aca="false">H366-L366</f>
        <v>0</v>
      </c>
      <c r="N366" s="23" t="n">
        <f aca="false">IFERROR(M366/B366*10000,0)</f>
        <v>0</v>
      </c>
      <c r="O366" s="20"/>
      <c r="P366" s="20"/>
      <c r="Q366" s="21" t="n">
        <f aca="false">O366+P366</f>
        <v>0</v>
      </c>
      <c r="R366" s="22" t="n">
        <f aca="false">IF(A366&lt;HlpChangeDate,HlpSharePre,HlpSharePost)</f>
        <v>0.03</v>
      </c>
      <c r="S366" s="21" t="n">
        <f aca="false">Q366*R366/(1-R366)</f>
        <v>0</v>
      </c>
      <c r="T366" s="20"/>
      <c r="U366" s="21" t="n">
        <f aca="false">S366-T366</f>
        <v>0</v>
      </c>
      <c r="V366" s="21" t="n">
        <f aca="false">Y366-O366*R366/(1-R366)</f>
        <v>0</v>
      </c>
      <c r="W366" s="21" t="n">
        <f aca="false">Z366-P366*R366/(1-R366)</f>
        <v>0</v>
      </c>
      <c r="X366" s="21" t="n">
        <f aca="false">S366+V366+W366</f>
        <v>0</v>
      </c>
      <c r="Y366" s="20"/>
      <c r="Z366" s="20"/>
      <c r="AA366" s="19" t="n">
        <v>0</v>
      </c>
      <c r="AB366" s="20"/>
      <c r="AC366" s="20"/>
      <c r="AD366" s="24" t="n">
        <f aca="false">IFERROR(AA366/AC366,0)</f>
        <v>0</v>
      </c>
      <c r="AE366" s="25" t="n">
        <f aca="false">K366-Q366-X366</f>
        <v>0</v>
      </c>
      <c r="AF366" s="25" t="n">
        <f aca="false">Q366-AA366</f>
        <v>0</v>
      </c>
      <c r="AG366" s="20"/>
      <c r="AH366" s="26" t="n">
        <f aca="false">IFERROR(AG366/Q366,0)</f>
        <v>0</v>
      </c>
      <c r="AI366" s="27" t="n">
        <v>0</v>
      </c>
      <c r="AJ366" s="26" t="n">
        <f aca="false">IF(AI366&gt;0,AprCoef/SQRT(AI366),0)</f>
        <v>0</v>
      </c>
      <c r="AK366" s="24" t="n">
        <f aca="false">AI366*AJ366/365</f>
        <v>0</v>
      </c>
      <c r="AL366" s="24" t="n">
        <f aca="false">AD366</f>
        <v>0</v>
      </c>
      <c r="AM366" s="24" t="n">
        <f aca="false">AK366-AL366</f>
        <v>0</v>
      </c>
      <c r="AN366" s="28" t="str">
        <f aca="false">IF(A366&gt;=Hip3LaunchDate,"YES","")</f>
        <v/>
      </c>
      <c r="AO366" s="28" t="str">
        <f aca="false">IF(A366&lt;Hip4LaunchDate,"pre-launch","live (zero-fee)")</f>
        <v>pre-launch</v>
      </c>
      <c r="AP366" s="20"/>
      <c r="AQ366" s="20"/>
      <c r="AR366" s="20"/>
    </row>
    <row r="367" customFormat="false" ht="15" hidden="false" customHeight="false" outlineLevel="0" collapsed="false">
      <c r="A367" s="18" t="n">
        <v>45428</v>
      </c>
      <c r="B367" s="19" t="n">
        <v>760527575.1</v>
      </c>
      <c r="C367" s="19" t="n">
        <v>0</v>
      </c>
      <c r="D367" s="20"/>
      <c r="E367" s="21" t="n">
        <f aca="false">B367+C367</f>
        <v>760527575.1</v>
      </c>
      <c r="F367" s="21" t="n">
        <f aca="false">E367+D367</f>
        <v>760527575.1</v>
      </c>
      <c r="G367" s="22" t="n">
        <f aca="false">IFERROR(C367/E367,0)</f>
        <v>0</v>
      </c>
      <c r="H367" s="20"/>
      <c r="I367" s="20"/>
      <c r="J367" s="20"/>
      <c r="K367" s="21" t="n">
        <f aca="false">H367+I367</f>
        <v>0</v>
      </c>
      <c r="L367" s="20"/>
      <c r="M367" s="21" t="n">
        <f aca="false">H367-L367</f>
        <v>0</v>
      </c>
      <c r="N367" s="23" t="n">
        <f aca="false">IFERROR(M367/B367*10000,0)</f>
        <v>0</v>
      </c>
      <c r="O367" s="20"/>
      <c r="P367" s="20"/>
      <c r="Q367" s="21" t="n">
        <f aca="false">O367+P367</f>
        <v>0</v>
      </c>
      <c r="R367" s="22" t="n">
        <f aca="false">IF(A367&lt;HlpChangeDate,HlpSharePre,HlpSharePost)</f>
        <v>0.03</v>
      </c>
      <c r="S367" s="21" t="n">
        <f aca="false">Q367*R367/(1-R367)</f>
        <v>0</v>
      </c>
      <c r="T367" s="20"/>
      <c r="U367" s="21" t="n">
        <f aca="false">S367-T367</f>
        <v>0</v>
      </c>
      <c r="V367" s="21" t="n">
        <f aca="false">Y367-O367*R367/(1-R367)</f>
        <v>0</v>
      </c>
      <c r="W367" s="21" t="n">
        <f aca="false">Z367-P367*R367/(1-R367)</f>
        <v>0</v>
      </c>
      <c r="X367" s="21" t="n">
        <f aca="false">S367+V367+W367</f>
        <v>0</v>
      </c>
      <c r="Y367" s="20"/>
      <c r="Z367" s="20"/>
      <c r="AA367" s="19" t="n">
        <v>0</v>
      </c>
      <c r="AB367" s="20"/>
      <c r="AC367" s="20"/>
      <c r="AD367" s="24" t="n">
        <f aca="false">IFERROR(AA367/AC367,0)</f>
        <v>0</v>
      </c>
      <c r="AE367" s="25" t="n">
        <f aca="false">K367-Q367-X367</f>
        <v>0</v>
      </c>
      <c r="AF367" s="25" t="n">
        <f aca="false">Q367-AA367</f>
        <v>0</v>
      </c>
      <c r="AG367" s="20"/>
      <c r="AH367" s="26" t="n">
        <f aca="false">IFERROR(AG367/Q367,0)</f>
        <v>0</v>
      </c>
      <c r="AI367" s="27" t="n">
        <v>0</v>
      </c>
      <c r="AJ367" s="26" t="n">
        <f aca="false">IF(AI367&gt;0,AprCoef/SQRT(AI367),0)</f>
        <v>0</v>
      </c>
      <c r="AK367" s="24" t="n">
        <f aca="false">AI367*AJ367/365</f>
        <v>0</v>
      </c>
      <c r="AL367" s="24" t="n">
        <f aca="false">AD367</f>
        <v>0</v>
      </c>
      <c r="AM367" s="24" t="n">
        <f aca="false">AK367-AL367</f>
        <v>0</v>
      </c>
      <c r="AN367" s="28" t="str">
        <f aca="false">IF(A367&gt;=Hip3LaunchDate,"YES","")</f>
        <v/>
      </c>
      <c r="AO367" s="28" t="str">
        <f aca="false">IF(A367&lt;Hip4LaunchDate,"pre-launch","live (zero-fee)")</f>
        <v>pre-launch</v>
      </c>
      <c r="AP367" s="20"/>
      <c r="AQ367" s="20"/>
      <c r="AR367" s="20"/>
    </row>
    <row r="368" customFormat="false" ht="15" hidden="false" customHeight="false" outlineLevel="0" collapsed="false">
      <c r="A368" s="18" t="n">
        <v>45429</v>
      </c>
      <c r="B368" s="19" t="n">
        <v>756952480.68</v>
      </c>
      <c r="C368" s="19" t="n">
        <v>0</v>
      </c>
      <c r="D368" s="20"/>
      <c r="E368" s="21" t="n">
        <f aca="false">B368+C368</f>
        <v>756952480.68</v>
      </c>
      <c r="F368" s="21" t="n">
        <f aca="false">E368+D368</f>
        <v>756952480.68</v>
      </c>
      <c r="G368" s="22" t="n">
        <f aca="false">IFERROR(C368/E368,0)</f>
        <v>0</v>
      </c>
      <c r="H368" s="20"/>
      <c r="I368" s="20"/>
      <c r="J368" s="20"/>
      <c r="K368" s="21" t="n">
        <f aca="false">H368+I368</f>
        <v>0</v>
      </c>
      <c r="L368" s="20"/>
      <c r="M368" s="21" t="n">
        <f aca="false">H368-L368</f>
        <v>0</v>
      </c>
      <c r="N368" s="23" t="n">
        <f aca="false">IFERROR(M368/B368*10000,0)</f>
        <v>0</v>
      </c>
      <c r="O368" s="20"/>
      <c r="P368" s="20"/>
      <c r="Q368" s="21" t="n">
        <f aca="false">O368+P368</f>
        <v>0</v>
      </c>
      <c r="R368" s="22" t="n">
        <f aca="false">IF(A368&lt;HlpChangeDate,HlpSharePre,HlpSharePost)</f>
        <v>0.03</v>
      </c>
      <c r="S368" s="21" t="n">
        <f aca="false">Q368*R368/(1-R368)</f>
        <v>0</v>
      </c>
      <c r="T368" s="20"/>
      <c r="U368" s="21" t="n">
        <f aca="false">S368-T368</f>
        <v>0</v>
      </c>
      <c r="V368" s="21" t="n">
        <f aca="false">Y368-O368*R368/(1-R368)</f>
        <v>0</v>
      </c>
      <c r="W368" s="21" t="n">
        <f aca="false">Z368-P368*R368/(1-R368)</f>
        <v>0</v>
      </c>
      <c r="X368" s="21" t="n">
        <f aca="false">S368+V368+W368</f>
        <v>0</v>
      </c>
      <c r="Y368" s="20"/>
      <c r="Z368" s="20"/>
      <c r="AA368" s="19" t="n">
        <v>0</v>
      </c>
      <c r="AB368" s="20"/>
      <c r="AC368" s="20"/>
      <c r="AD368" s="24" t="n">
        <f aca="false">IFERROR(AA368/AC368,0)</f>
        <v>0</v>
      </c>
      <c r="AE368" s="25" t="n">
        <f aca="false">K368-Q368-X368</f>
        <v>0</v>
      </c>
      <c r="AF368" s="25" t="n">
        <f aca="false">Q368-AA368</f>
        <v>0</v>
      </c>
      <c r="AG368" s="20"/>
      <c r="AH368" s="26" t="n">
        <f aca="false">IFERROR(AG368/Q368,0)</f>
        <v>0</v>
      </c>
      <c r="AI368" s="27" t="n">
        <v>0</v>
      </c>
      <c r="AJ368" s="26" t="n">
        <f aca="false">IF(AI368&gt;0,AprCoef/SQRT(AI368),0)</f>
        <v>0</v>
      </c>
      <c r="AK368" s="24" t="n">
        <f aca="false">AI368*AJ368/365</f>
        <v>0</v>
      </c>
      <c r="AL368" s="24" t="n">
        <f aca="false">AD368</f>
        <v>0</v>
      </c>
      <c r="AM368" s="24" t="n">
        <f aca="false">AK368-AL368</f>
        <v>0</v>
      </c>
      <c r="AN368" s="28" t="str">
        <f aca="false">IF(A368&gt;=Hip3LaunchDate,"YES","")</f>
        <v/>
      </c>
      <c r="AO368" s="28" t="str">
        <f aca="false">IF(A368&lt;Hip4LaunchDate,"pre-launch","live (zero-fee)")</f>
        <v>pre-launch</v>
      </c>
      <c r="AP368" s="20"/>
      <c r="AQ368" s="20"/>
      <c r="AR368" s="20"/>
    </row>
    <row r="369" customFormat="false" ht="15" hidden="false" customHeight="false" outlineLevel="0" collapsed="false">
      <c r="A369" s="18" t="n">
        <v>45430</v>
      </c>
      <c r="B369" s="19" t="n">
        <v>418702470.92</v>
      </c>
      <c r="C369" s="19" t="n">
        <v>0</v>
      </c>
      <c r="D369" s="20"/>
      <c r="E369" s="21" t="n">
        <f aca="false">B369+C369</f>
        <v>418702470.92</v>
      </c>
      <c r="F369" s="21" t="n">
        <f aca="false">E369+D369</f>
        <v>418702470.92</v>
      </c>
      <c r="G369" s="22" t="n">
        <f aca="false">IFERROR(C369/E369,0)</f>
        <v>0</v>
      </c>
      <c r="H369" s="20"/>
      <c r="I369" s="20"/>
      <c r="J369" s="20"/>
      <c r="K369" s="21" t="n">
        <f aca="false">H369+I369</f>
        <v>0</v>
      </c>
      <c r="L369" s="20"/>
      <c r="M369" s="21" t="n">
        <f aca="false">H369-L369</f>
        <v>0</v>
      </c>
      <c r="N369" s="23" t="n">
        <f aca="false">IFERROR(M369/B369*10000,0)</f>
        <v>0</v>
      </c>
      <c r="O369" s="20"/>
      <c r="P369" s="20"/>
      <c r="Q369" s="21" t="n">
        <f aca="false">O369+P369</f>
        <v>0</v>
      </c>
      <c r="R369" s="22" t="n">
        <f aca="false">IF(A369&lt;HlpChangeDate,HlpSharePre,HlpSharePost)</f>
        <v>0.03</v>
      </c>
      <c r="S369" s="21" t="n">
        <f aca="false">Q369*R369/(1-R369)</f>
        <v>0</v>
      </c>
      <c r="T369" s="20"/>
      <c r="U369" s="21" t="n">
        <f aca="false">S369-T369</f>
        <v>0</v>
      </c>
      <c r="V369" s="21" t="n">
        <f aca="false">Y369-O369*R369/(1-R369)</f>
        <v>0</v>
      </c>
      <c r="W369" s="21" t="n">
        <f aca="false">Z369-P369*R369/(1-R369)</f>
        <v>0</v>
      </c>
      <c r="X369" s="21" t="n">
        <f aca="false">S369+V369+W369</f>
        <v>0</v>
      </c>
      <c r="Y369" s="20"/>
      <c r="Z369" s="20"/>
      <c r="AA369" s="19" t="n">
        <v>0</v>
      </c>
      <c r="AB369" s="20"/>
      <c r="AC369" s="20"/>
      <c r="AD369" s="24" t="n">
        <f aca="false">IFERROR(AA369/AC369,0)</f>
        <v>0</v>
      </c>
      <c r="AE369" s="25" t="n">
        <f aca="false">K369-Q369-X369</f>
        <v>0</v>
      </c>
      <c r="AF369" s="25" t="n">
        <f aca="false">Q369-AA369</f>
        <v>0</v>
      </c>
      <c r="AG369" s="20"/>
      <c r="AH369" s="26" t="n">
        <f aca="false">IFERROR(AG369/Q369,0)</f>
        <v>0</v>
      </c>
      <c r="AI369" s="27" t="n">
        <v>0</v>
      </c>
      <c r="AJ369" s="26" t="n">
        <f aca="false">IF(AI369&gt;0,AprCoef/SQRT(AI369),0)</f>
        <v>0</v>
      </c>
      <c r="AK369" s="24" t="n">
        <f aca="false">AI369*AJ369/365</f>
        <v>0</v>
      </c>
      <c r="AL369" s="24" t="n">
        <f aca="false">AD369</f>
        <v>0</v>
      </c>
      <c r="AM369" s="24" t="n">
        <f aca="false">AK369-AL369</f>
        <v>0</v>
      </c>
      <c r="AN369" s="28" t="str">
        <f aca="false">IF(A369&gt;=Hip3LaunchDate,"YES","")</f>
        <v/>
      </c>
      <c r="AO369" s="28" t="str">
        <f aca="false">IF(A369&lt;Hip4LaunchDate,"pre-launch","live (zero-fee)")</f>
        <v>pre-launch</v>
      </c>
      <c r="AP369" s="20"/>
      <c r="AQ369" s="20"/>
      <c r="AR369" s="20"/>
    </row>
    <row r="370" customFormat="false" ht="15" hidden="false" customHeight="false" outlineLevel="0" collapsed="false">
      <c r="A370" s="18" t="n">
        <v>45431</v>
      </c>
      <c r="B370" s="19" t="n">
        <v>556804308.59</v>
      </c>
      <c r="C370" s="19" t="n">
        <v>0</v>
      </c>
      <c r="D370" s="20"/>
      <c r="E370" s="21" t="n">
        <f aca="false">B370+C370</f>
        <v>556804308.59</v>
      </c>
      <c r="F370" s="21" t="n">
        <f aca="false">E370+D370</f>
        <v>556804308.59</v>
      </c>
      <c r="G370" s="22" t="n">
        <f aca="false">IFERROR(C370/E370,0)</f>
        <v>0</v>
      </c>
      <c r="H370" s="20"/>
      <c r="I370" s="20"/>
      <c r="J370" s="20"/>
      <c r="K370" s="21" t="n">
        <f aca="false">H370+I370</f>
        <v>0</v>
      </c>
      <c r="L370" s="20"/>
      <c r="M370" s="21" t="n">
        <f aca="false">H370-L370</f>
        <v>0</v>
      </c>
      <c r="N370" s="23" t="n">
        <f aca="false">IFERROR(M370/B370*10000,0)</f>
        <v>0</v>
      </c>
      <c r="O370" s="20"/>
      <c r="P370" s="20"/>
      <c r="Q370" s="21" t="n">
        <f aca="false">O370+P370</f>
        <v>0</v>
      </c>
      <c r="R370" s="22" t="n">
        <f aca="false">IF(A370&lt;HlpChangeDate,HlpSharePre,HlpSharePost)</f>
        <v>0.03</v>
      </c>
      <c r="S370" s="21" t="n">
        <f aca="false">Q370*R370/(1-R370)</f>
        <v>0</v>
      </c>
      <c r="T370" s="20"/>
      <c r="U370" s="21" t="n">
        <f aca="false">S370-T370</f>
        <v>0</v>
      </c>
      <c r="V370" s="21" t="n">
        <f aca="false">Y370-O370*R370/(1-R370)</f>
        <v>0</v>
      </c>
      <c r="W370" s="21" t="n">
        <f aca="false">Z370-P370*R370/(1-R370)</f>
        <v>0</v>
      </c>
      <c r="X370" s="21" t="n">
        <f aca="false">S370+V370+W370</f>
        <v>0</v>
      </c>
      <c r="Y370" s="20"/>
      <c r="Z370" s="20"/>
      <c r="AA370" s="19" t="n">
        <v>0</v>
      </c>
      <c r="AB370" s="20"/>
      <c r="AC370" s="20"/>
      <c r="AD370" s="24" t="n">
        <f aca="false">IFERROR(AA370/AC370,0)</f>
        <v>0</v>
      </c>
      <c r="AE370" s="25" t="n">
        <f aca="false">K370-Q370-X370</f>
        <v>0</v>
      </c>
      <c r="AF370" s="25" t="n">
        <f aca="false">Q370-AA370</f>
        <v>0</v>
      </c>
      <c r="AG370" s="20"/>
      <c r="AH370" s="26" t="n">
        <f aca="false">IFERROR(AG370/Q370,0)</f>
        <v>0</v>
      </c>
      <c r="AI370" s="27" t="n">
        <v>0</v>
      </c>
      <c r="AJ370" s="26" t="n">
        <f aca="false">IF(AI370&gt;0,AprCoef/SQRT(AI370),0)</f>
        <v>0</v>
      </c>
      <c r="AK370" s="24" t="n">
        <f aca="false">AI370*AJ370/365</f>
        <v>0</v>
      </c>
      <c r="AL370" s="24" t="n">
        <f aca="false">AD370</f>
        <v>0</v>
      </c>
      <c r="AM370" s="24" t="n">
        <f aca="false">AK370-AL370</f>
        <v>0</v>
      </c>
      <c r="AN370" s="28" t="str">
        <f aca="false">IF(A370&gt;=Hip3LaunchDate,"YES","")</f>
        <v/>
      </c>
      <c r="AO370" s="28" t="str">
        <f aca="false">IF(A370&lt;Hip4LaunchDate,"pre-launch","live (zero-fee)")</f>
        <v>pre-launch</v>
      </c>
      <c r="AP370" s="20"/>
      <c r="AQ370" s="20"/>
      <c r="AR370" s="20"/>
    </row>
    <row r="371" customFormat="false" ht="15" hidden="false" customHeight="false" outlineLevel="0" collapsed="false">
      <c r="A371" s="18" t="n">
        <v>45432</v>
      </c>
      <c r="B371" s="19" t="n">
        <v>1559656764.43</v>
      </c>
      <c r="C371" s="19" t="n">
        <v>0</v>
      </c>
      <c r="D371" s="20"/>
      <c r="E371" s="21" t="n">
        <f aca="false">B371+C371</f>
        <v>1559656764.43</v>
      </c>
      <c r="F371" s="21" t="n">
        <f aca="false">E371+D371</f>
        <v>1559656764.43</v>
      </c>
      <c r="G371" s="22" t="n">
        <f aca="false">IFERROR(C371/E371,0)</f>
        <v>0</v>
      </c>
      <c r="H371" s="20"/>
      <c r="I371" s="20"/>
      <c r="J371" s="20"/>
      <c r="K371" s="21" t="n">
        <f aca="false">H371+I371</f>
        <v>0</v>
      </c>
      <c r="L371" s="20"/>
      <c r="M371" s="21" t="n">
        <f aca="false">H371-L371</f>
        <v>0</v>
      </c>
      <c r="N371" s="23" t="n">
        <f aca="false">IFERROR(M371/B371*10000,0)</f>
        <v>0</v>
      </c>
      <c r="O371" s="20"/>
      <c r="P371" s="20"/>
      <c r="Q371" s="21" t="n">
        <f aca="false">O371+P371</f>
        <v>0</v>
      </c>
      <c r="R371" s="22" t="n">
        <f aca="false">IF(A371&lt;HlpChangeDate,HlpSharePre,HlpSharePost)</f>
        <v>0.03</v>
      </c>
      <c r="S371" s="21" t="n">
        <f aca="false">Q371*R371/(1-R371)</f>
        <v>0</v>
      </c>
      <c r="T371" s="20"/>
      <c r="U371" s="21" t="n">
        <f aca="false">S371-T371</f>
        <v>0</v>
      </c>
      <c r="V371" s="21" t="n">
        <f aca="false">Y371-O371*R371/(1-R371)</f>
        <v>0</v>
      </c>
      <c r="W371" s="21" t="n">
        <f aca="false">Z371-P371*R371/(1-R371)</f>
        <v>0</v>
      </c>
      <c r="X371" s="21" t="n">
        <f aca="false">S371+V371+W371</f>
        <v>0</v>
      </c>
      <c r="Y371" s="20"/>
      <c r="Z371" s="20"/>
      <c r="AA371" s="19" t="n">
        <v>0</v>
      </c>
      <c r="AB371" s="20"/>
      <c r="AC371" s="20"/>
      <c r="AD371" s="24" t="n">
        <f aca="false">IFERROR(AA371/AC371,0)</f>
        <v>0</v>
      </c>
      <c r="AE371" s="25" t="n">
        <f aca="false">K371-Q371-X371</f>
        <v>0</v>
      </c>
      <c r="AF371" s="25" t="n">
        <f aca="false">Q371-AA371</f>
        <v>0</v>
      </c>
      <c r="AG371" s="20"/>
      <c r="AH371" s="26" t="n">
        <f aca="false">IFERROR(AG371/Q371,0)</f>
        <v>0</v>
      </c>
      <c r="AI371" s="27" t="n">
        <v>0</v>
      </c>
      <c r="AJ371" s="26" t="n">
        <f aca="false">IF(AI371&gt;0,AprCoef/SQRT(AI371),0)</f>
        <v>0</v>
      </c>
      <c r="AK371" s="24" t="n">
        <f aca="false">AI371*AJ371/365</f>
        <v>0</v>
      </c>
      <c r="AL371" s="24" t="n">
        <f aca="false">AD371</f>
        <v>0</v>
      </c>
      <c r="AM371" s="24" t="n">
        <f aca="false">AK371-AL371</f>
        <v>0</v>
      </c>
      <c r="AN371" s="28" t="str">
        <f aca="false">IF(A371&gt;=Hip3LaunchDate,"YES","")</f>
        <v/>
      </c>
      <c r="AO371" s="28" t="str">
        <f aca="false">IF(A371&lt;Hip4LaunchDate,"pre-launch","live (zero-fee)")</f>
        <v>pre-launch</v>
      </c>
      <c r="AP371" s="20"/>
      <c r="AQ371" s="20"/>
      <c r="AR371" s="20"/>
    </row>
    <row r="372" customFormat="false" ht="15" hidden="false" customHeight="false" outlineLevel="0" collapsed="false">
      <c r="A372" s="18" t="n">
        <v>45433</v>
      </c>
      <c r="B372" s="19" t="n">
        <v>1188393198.68</v>
      </c>
      <c r="C372" s="19" t="n">
        <v>0</v>
      </c>
      <c r="D372" s="20"/>
      <c r="E372" s="21" t="n">
        <f aca="false">B372+C372</f>
        <v>1188393198.68</v>
      </c>
      <c r="F372" s="21" t="n">
        <f aca="false">E372+D372</f>
        <v>1188393198.68</v>
      </c>
      <c r="G372" s="22" t="n">
        <f aca="false">IFERROR(C372/E372,0)</f>
        <v>0</v>
      </c>
      <c r="H372" s="20"/>
      <c r="I372" s="20"/>
      <c r="J372" s="20"/>
      <c r="K372" s="21" t="n">
        <f aca="false">H372+I372</f>
        <v>0</v>
      </c>
      <c r="L372" s="20"/>
      <c r="M372" s="21" t="n">
        <f aca="false">H372-L372</f>
        <v>0</v>
      </c>
      <c r="N372" s="23" t="n">
        <f aca="false">IFERROR(M372/B372*10000,0)</f>
        <v>0</v>
      </c>
      <c r="O372" s="20"/>
      <c r="P372" s="20"/>
      <c r="Q372" s="21" t="n">
        <f aca="false">O372+P372</f>
        <v>0</v>
      </c>
      <c r="R372" s="22" t="n">
        <f aca="false">IF(A372&lt;HlpChangeDate,HlpSharePre,HlpSharePost)</f>
        <v>0.03</v>
      </c>
      <c r="S372" s="21" t="n">
        <f aca="false">Q372*R372/(1-R372)</f>
        <v>0</v>
      </c>
      <c r="T372" s="20"/>
      <c r="U372" s="21" t="n">
        <f aca="false">S372-T372</f>
        <v>0</v>
      </c>
      <c r="V372" s="21" t="n">
        <f aca="false">Y372-O372*R372/(1-R372)</f>
        <v>0</v>
      </c>
      <c r="W372" s="21" t="n">
        <f aca="false">Z372-P372*R372/(1-R372)</f>
        <v>0</v>
      </c>
      <c r="X372" s="21" t="n">
        <f aca="false">S372+V372+W372</f>
        <v>0</v>
      </c>
      <c r="Y372" s="20"/>
      <c r="Z372" s="20"/>
      <c r="AA372" s="19" t="n">
        <v>0</v>
      </c>
      <c r="AB372" s="20"/>
      <c r="AC372" s="20"/>
      <c r="AD372" s="24" t="n">
        <f aca="false">IFERROR(AA372/AC372,0)</f>
        <v>0</v>
      </c>
      <c r="AE372" s="25" t="n">
        <f aca="false">K372-Q372-X372</f>
        <v>0</v>
      </c>
      <c r="AF372" s="25" t="n">
        <f aca="false">Q372-AA372</f>
        <v>0</v>
      </c>
      <c r="AG372" s="20"/>
      <c r="AH372" s="26" t="n">
        <f aca="false">IFERROR(AG372/Q372,0)</f>
        <v>0</v>
      </c>
      <c r="AI372" s="27" t="n">
        <v>0</v>
      </c>
      <c r="AJ372" s="26" t="n">
        <f aca="false">IF(AI372&gt;0,AprCoef/SQRT(AI372),0)</f>
        <v>0</v>
      </c>
      <c r="AK372" s="24" t="n">
        <f aca="false">AI372*AJ372/365</f>
        <v>0</v>
      </c>
      <c r="AL372" s="24" t="n">
        <f aca="false">AD372</f>
        <v>0</v>
      </c>
      <c r="AM372" s="24" t="n">
        <f aca="false">AK372-AL372</f>
        <v>0</v>
      </c>
      <c r="AN372" s="28" t="str">
        <f aca="false">IF(A372&gt;=Hip3LaunchDate,"YES","")</f>
        <v/>
      </c>
      <c r="AO372" s="28" t="str">
        <f aca="false">IF(A372&lt;Hip4LaunchDate,"pre-launch","live (zero-fee)")</f>
        <v>pre-launch</v>
      </c>
      <c r="AP372" s="20"/>
      <c r="AQ372" s="20"/>
      <c r="AR372" s="20"/>
    </row>
    <row r="373" customFormat="false" ht="15" hidden="false" customHeight="false" outlineLevel="0" collapsed="false">
      <c r="A373" s="18" t="n">
        <v>45434</v>
      </c>
      <c r="B373" s="19" t="n">
        <v>1153848085.02</v>
      </c>
      <c r="C373" s="19" t="n">
        <v>0</v>
      </c>
      <c r="D373" s="20"/>
      <c r="E373" s="21" t="n">
        <f aca="false">B373+C373</f>
        <v>1153848085.02</v>
      </c>
      <c r="F373" s="21" t="n">
        <f aca="false">E373+D373</f>
        <v>1153848085.02</v>
      </c>
      <c r="G373" s="22" t="n">
        <f aca="false">IFERROR(C373/E373,0)</f>
        <v>0</v>
      </c>
      <c r="H373" s="20"/>
      <c r="I373" s="20"/>
      <c r="J373" s="20"/>
      <c r="K373" s="21" t="n">
        <f aca="false">H373+I373</f>
        <v>0</v>
      </c>
      <c r="L373" s="20"/>
      <c r="M373" s="21" t="n">
        <f aca="false">H373-L373</f>
        <v>0</v>
      </c>
      <c r="N373" s="23" t="n">
        <f aca="false">IFERROR(M373/B373*10000,0)</f>
        <v>0</v>
      </c>
      <c r="O373" s="20"/>
      <c r="P373" s="20"/>
      <c r="Q373" s="21" t="n">
        <f aca="false">O373+P373</f>
        <v>0</v>
      </c>
      <c r="R373" s="22" t="n">
        <f aca="false">IF(A373&lt;HlpChangeDate,HlpSharePre,HlpSharePost)</f>
        <v>0.03</v>
      </c>
      <c r="S373" s="21" t="n">
        <f aca="false">Q373*R373/(1-R373)</f>
        <v>0</v>
      </c>
      <c r="T373" s="20"/>
      <c r="U373" s="21" t="n">
        <f aca="false">S373-T373</f>
        <v>0</v>
      </c>
      <c r="V373" s="21" t="n">
        <f aca="false">Y373-O373*R373/(1-R373)</f>
        <v>0</v>
      </c>
      <c r="W373" s="21" t="n">
        <f aca="false">Z373-P373*R373/(1-R373)</f>
        <v>0</v>
      </c>
      <c r="X373" s="21" t="n">
        <f aca="false">S373+V373+W373</f>
        <v>0</v>
      </c>
      <c r="Y373" s="20"/>
      <c r="Z373" s="20"/>
      <c r="AA373" s="19" t="n">
        <v>0</v>
      </c>
      <c r="AB373" s="20"/>
      <c r="AC373" s="20"/>
      <c r="AD373" s="24" t="n">
        <f aca="false">IFERROR(AA373/AC373,0)</f>
        <v>0</v>
      </c>
      <c r="AE373" s="25" t="n">
        <f aca="false">K373-Q373-X373</f>
        <v>0</v>
      </c>
      <c r="AF373" s="25" t="n">
        <f aca="false">Q373-AA373</f>
        <v>0</v>
      </c>
      <c r="AG373" s="20"/>
      <c r="AH373" s="26" t="n">
        <f aca="false">IFERROR(AG373/Q373,0)</f>
        <v>0</v>
      </c>
      <c r="AI373" s="27" t="n">
        <v>0</v>
      </c>
      <c r="AJ373" s="26" t="n">
        <f aca="false">IF(AI373&gt;0,AprCoef/SQRT(AI373),0)</f>
        <v>0</v>
      </c>
      <c r="AK373" s="24" t="n">
        <f aca="false">AI373*AJ373/365</f>
        <v>0</v>
      </c>
      <c r="AL373" s="24" t="n">
        <f aca="false">AD373</f>
        <v>0</v>
      </c>
      <c r="AM373" s="24" t="n">
        <f aca="false">AK373-AL373</f>
        <v>0</v>
      </c>
      <c r="AN373" s="28" t="str">
        <f aca="false">IF(A373&gt;=Hip3LaunchDate,"YES","")</f>
        <v/>
      </c>
      <c r="AO373" s="28" t="str">
        <f aca="false">IF(A373&lt;Hip4LaunchDate,"pre-launch","live (zero-fee)")</f>
        <v>pre-launch</v>
      </c>
      <c r="AP373" s="20"/>
      <c r="AQ373" s="20"/>
      <c r="AR373" s="20"/>
    </row>
    <row r="374" customFormat="false" ht="15" hidden="false" customHeight="false" outlineLevel="0" collapsed="false">
      <c r="A374" s="18" t="n">
        <v>45435</v>
      </c>
      <c r="B374" s="19" t="n">
        <v>2010732638.27</v>
      </c>
      <c r="C374" s="19" t="n">
        <v>0</v>
      </c>
      <c r="D374" s="20"/>
      <c r="E374" s="21" t="n">
        <f aca="false">B374+C374</f>
        <v>2010732638.27</v>
      </c>
      <c r="F374" s="21" t="n">
        <f aca="false">E374+D374</f>
        <v>2010732638.27</v>
      </c>
      <c r="G374" s="22" t="n">
        <f aca="false">IFERROR(C374/E374,0)</f>
        <v>0</v>
      </c>
      <c r="H374" s="20"/>
      <c r="I374" s="20"/>
      <c r="J374" s="20"/>
      <c r="K374" s="21" t="n">
        <f aca="false">H374+I374</f>
        <v>0</v>
      </c>
      <c r="L374" s="20"/>
      <c r="M374" s="21" t="n">
        <f aca="false">H374-L374</f>
        <v>0</v>
      </c>
      <c r="N374" s="23" t="n">
        <f aca="false">IFERROR(M374/B374*10000,0)</f>
        <v>0</v>
      </c>
      <c r="O374" s="20"/>
      <c r="P374" s="20"/>
      <c r="Q374" s="21" t="n">
        <f aca="false">O374+P374</f>
        <v>0</v>
      </c>
      <c r="R374" s="22" t="n">
        <f aca="false">IF(A374&lt;HlpChangeDate,HlpSharePre,HlpSharePost)</f>
        <v>0.03</v>
      </c>
      <c r="S374" s="21" t="n">
        <f aca="false">Q374*R374/(1-R374)</f>
        <v>0</v>
      </c>
      <c r="T374" s="20"/>
      <c r="U374" s="21" t="n">
        <f aca="false">S374-T374</f>
        <v>0</v>
      </c>
      <c r="V374" s="21" t="n">
        <f aca="false">Y374-O374*R374/(1-R374)</f>
        <v>0</v>
      </c>
      <c r="W374" s="21" t="n">
        <f aca="false">Z374-P374*R374/(1-R374)</f>
        <v>0</v>
      </c>
      <c r="X374" s="21" t="n">
        <f aca="false">S374+V374+W374</f>
        <v>0</v>
      </c>
      <c r="Y374" s="20"/>
      <c r="Z374" s="20"/>
      <c r="AA374" s="19" t="n">
        <v>0</v>
      </c>
      <c r="AB374" s="20"/>
      <c r="AC374" s="20"/>
      <c r="AD374" s="24" t="n">
        <f aca="false">IFERROR(AA374/AC374,0)</f>
        <v>0</v>
      </c>
      <c r="AE374" s="25" t="n">
        <f aca="false">K374-Q374-X374</f>
        <v>0</v>
      </c>
      <c r="AF374" s="25" t="n">
        <f aca="false">Q374-AA374</f>
        <v>0</v>
      </c>
      <c r="AG374" s="20"/>
      <c r="AH374" s="26" t="n">
        <f aca="false">IFERROR(AG374/Q374,0)</f>
        <v>0</v>
      </c>
      <c r="AI374" s="27" t="n">
        <v>0</v>
      </c>
      <c r="AJ374" s="26" t="n">
        <f aca="false">IF(AI374&gt;0,AprCoef/SQRT(AI374),0)</f>
        <v>0</v>
      </c>
      <c r="AK374" s="24" t="n">
        <f aca="false">AI374*AJ374/365</f>
        <v>0</v>
      </c>
      <c r="AL374" s="24" t="n">
        <f aca="false">AD374</f>
        <v>0</v>
      </c>
      <c r="AM374" s="24" t="n">
        <f aca="false">AK374-AL374</f>
        <v>0</v>
      </c>
      <c r="AN374" s="28" t="str">
        <f aca="false">IF(A374&gt;=Hip3LaunchDate,"YES","")</f>
        <v/>
      </c>
      <c r="AO374" s="28" t="str">
        <f aca="false">IF(A374&lt;Hip4LaunchDate,"pre-launch","live (zero-fee)")</f>
        <v>pre-launch</v>
      </c>
      <c r="AP374" s="20"/>
      <c r="AQ374" s="20"/>
      <c r="AR374" s="20"/>
    </row>
    <row r="375" customFormat="false" ht="15" hidden="false" customHeight="false" outlineLevel="0" collapsed="false">
      <c r="A375" s="18" t="n">
        <v>45436</v>
      </c>
      <c r="B375" s="19" t="n">
        <v>915646407.34</v>
      </c>
      <c r="C375" s="19" t="n">
        <v>0</v>
      </c>
      <c r="D375" s="20"/>
      <c r="E375" s="21" t="n">
        <f aca="false">B375+C375</f>
        <v>915646407.34</v>
      </c>
      <c r="F375" s="21" t="n">
        <f aca="false">E375+D375</f>
        <v>915646407.34</v>
      </c>
      <c r="G375" s="22" t="n">
        <f aca="false">IFERROR(C375/E375,0)</f>
        <v>0</v>
      </c>
      <c r="H375" s="20"/>
      <c r="I375" s="20"/>
      <c r="J375" s="20"/>
      <c r="K375" s="21" t="n">
        <f aca="false">H375+I375</f>
        <v>0</v>
      </c>
      <c r="L375" s="20"/>
      <c r="M375" s="21" t="n">
        <f aca="false">H375-L375</f>
        <v>0</v>
      </c>
      <c r="N375" s="23" t="n">
        <f aca="false">IFERROR(M375/B375*10000,0)</f>
        <v>0</v>
      </c>
      <c r="O375" s="20"/>
      <c r="P375" s="20"/>
      <c r="Q375" s="21" t="n">
        <f aca="false">O375+P375</f>
        <v>0</v>
      </c>
      <c r="R375" s="22" t="n">
        <f aca="false">IF(A375&lt;HlpChangeDate,HlpSharePre,HlpSharePost)</f>
        <v>0.03</v>
      </c>
      <c r="S375" s="21" t="n">
        <f aca="false">Q375*R375/(1-R375)</f>
        <v>0</v>
      </c>
      <c r="T375" s="20"/>
      <c r="U375" s="21" t="n">
        <f aca="false">S375-T375</f>
        <v>0</v>
      </c>
      <c r="V375" s="21" t="n">
        <f aca="false">Y375-O375*R375/(1-R375)</f>
        <v>0</v>
      </c>
      <c r="W375" s="21" t="n">
        <f aca="false">Z375-P375*R375/(1-R375)</f>
        <v>0</v>
      </c>
      <c r="X375" s="21" t="n">
        <f aca="false">S375+V375+W375</f>
        <v>0</v>
      </c>
      <c r="Y375" s="20"/>
      <c r="Z375" s="20"/>
      <c r="AA375" s="19" t="n">
        <v>0</v>
      </c>
      <c r="AB375" s="20"/>
      <c r="AC375" s="20"/>
      <c r="AD375" s="24" t="n">
        <f aca="false">IFERROR(AA375/AC375,0)</f>
        <v>0</v>
      </c>
      <c r="AE375" s="25" t="n">
        <f aca="false">K375-Q375-X375</f>
        <v>0</v>
      </c>
      <c r="AF375" s="25" t="n">
        <f aca="false">Q375-AA375</f>
        <v>0</v>
      </c>
      <c r="AG375" s="20"/>
      <c r="AH375" s="26" t="n">
        <f aca="false">IFERROR(AG375/Q375,0)</f>
        <v>0</v>
      </c>
      <c r="AI375" s="27" t="n">
        <v>0</v>
      </c>
      <c r="AJ375" s="26" t="n">
        <f aca="false">IF(AI375&gt;0,AprCoef/SQRT(AI375),0)</f>
        <v>0</v>
      </c>
      <c r="AK375" s="24" t="n">
        <f aca="false">AI375*AJ375/365</f>
        <v>0</v>
      </c>
      <c r="AL375" s="24" t="n">
        <f aca="false">AD375</f>
        <v>0</v>
      </c>
      <c r="AM375" s="24" t="n">
        <f aca="false">AK375-AL375</f>
        <v>0</v>
      </c>
      <c r="AN375" s="28" t="str">
        <f aca="false">IF(A375&gt;=Hip3LaunchDate,"YES","")</f>
        <v/>
      </c>
      <c r="AO375" s="28" t="str">
        <f aca="false">IF(A375&lt;Hip4LaunchDate,"pre-launch","live (zero-fee)")</f>
        <v>pre-launch</v>
      </c>
      <c r="AP375" s="20"/>
      <c r="AQ375" s="20"/>
      <c r="AR375" s="20"/>
    </row>
    <row r="376" customFormat="false" ht="15" hidden="false" customHeight="false" outlineLevel="0" collapsed="false">
      <c r="A376" s="18" t="n">
        <v>45437</v>
      </c>
      <c r="B376" s="19" t="n">
        <v>388397278</v>
      </c>
      <c r="C376" s="19" t="n">
        <v>0</v>
      </c>
      <c r="D376" s="20"/>
      <c r="E376" s="21" t="n">
        <f aca="false">B376+C376</f>
        <v>388397278</v>
      </c>
      <c r="F376" s="21" t="n">
        <f aca="false">E376+D376</f>
        <v>388397278</v>
      </c>
      <c r="G376" s="22" t="n">
        <f aca="false">IFERROR(C376/E376,0)</f>
        <v>0</v>
      </c>
      <c r="H376" s="20"/>
      <c r="I376" s="20"/>
      <c r="J376" s="20"/>
      <c r="K376" s="21" t="n">
        <f aca="false">H376+I376</f>
        <v>0</v>
      </c>
      <c r="L376" s="20"/>
      <c r="M376" s="21" t="n">
        <f aca="false">H376-L376</f>
        <v>0</v>
      </c>
      <c r="N376" s="23" t="n">
        <f aca="false">IFERROR(M376/B376*10000,0)</f>
        <v>0</v>
      </c>
      <c r="O376" s="20"/>
      <c r="P376" s="20"/>
      <c r="Q376" s="21" t="n">
        <f aca="false">O376+P376</f>
        <v>0</v>
      </c>
      <c r="R376" s="22" t="n">
        <f aca="false">IF(A376&lt;HlpChangeDate,HlpSharePre,HlpSharePost)</f>
        <v>0.03</v>
      </c>
      <c r="S376" s="21" t="n">
        <f aca="false">Q376*R376/(1-R376)</f>
        <v>0</v>
      </c>
      <c r="T376" s="20"/>
      <c r="U376" s="21" t="n">
        <f aca="false">S376-T376</f>
        <v>0</v>
      </c>
      <c r="V376" s="21" t="n">
        <f aca="false">Y376-O376*R376/(1-R376)</f>
        <v>0</v>
      </c>
      <c r="W376" s="21" t="n">
        <f aca="false">Z376-P376*R376/(1-R376)</f>
        <v>0</v>
      </c>
      <c r="X376" s="21" t="n">
        <f aca="false">S376+V376+W376</f>
        <v>0</v>
      </c>
      <c r="Y376" s="20"/>
      <c r="Z376" s="20"/>
      <c r="AA376" s="19" t="n">
        <v>0</v>
      </c>
      <c r="AB376" s="20"/>
      <c r="AC376" s="20"/>
      <c r="AD376" s="24" t="n">
        <f aca="false">IFERROR(AA376/AC376,0)</f>
        <v>0</v>
      </c>
      <c r="AE376" s="25" t="n">
        <f aca="false">K376-Q376-X376</f>
        <v>0</v>
      </c>
      <c r="AF376" s="25" t="n">
        <f aca="false">Q376-AA376</f>
        <v>0</v>
      </c>
      <c r="AG376" s="20"/>
      <c r="AH376" s="26" t="n">
        <f aca="false">IFERROR(AG376/Q376,0)</f>
        <v>0</v>
      </c>
      <c r="AI376" s="27" t="n">
        <v>0</v>
      </c>
      <c r="AJ376" s="26" t="n">
        <f aca="false">IF(AI376&gt;0,AprCoef/SQRT(AI376),0)</f>
        <v>0</v>
      </c>
      <c r="AK376" s="24" t="n">
        <f aca="false">AI376*AJ376/365</f>
        <v>0</v>
      </c>
      <c r="AL376" s="24" t="n">
        <f aca="false">AD376</f>
        <v>0</v>
      </c>
      <c r="AM376" s="24" t="n">
        <f aca="false">AK376-AL376</f>
        <v>0</v>
      </c>
      <c r="AN376" s="28" t="str">
        <f aca="false">IF(A376&gt;=Hip3LaunchDate,"YES","")</f>
        <v/>
      </c>
      <c r="AO376" s="28" t="str">
        <f aca="false">IF(A376&lt;Hip4LaunchDate,"pre-launch","live (zero-fee)")</f>
        <v>pre-launch</v>
      </c>
      <c r="AP376" s="20"/>
      <c r="AQ376" s="20"/>
      <c r="AR376" s="20"/>
    </row>
    <row r="377" customFormat="false" ht="15" hidden="false" customHeight="false" outlineLevel="0" collapsed="false">
      <c r="A377" s="18" t="n">
        <v>45438</v>
      </c>
      <c r="B377" s="19" t="n">
        <v>536019684.76</v>
      </c>
      <c r="C377" s="19" t="n">
        <v>0</v>
      </c>
      <c r="D377" s="20"/>
      <c r="E377" s="21" t="n">
        <f aca="false">B377+C377</f>
        <v>536019684.76</v>
      </c>
      <c r="F377" s="21" t="n">
        <f aca="false">E377+D377</f>
        <v>536019684.76</v>
      </c>
      <c r="G377" s="22" t="n">
        <f aca="false">IFERROR(C377/E377,0)</f>
        <v>0</v>
      </c>
      <c r="H377" s="20"/>
      <c r="I377" s="20"/>
      <c r="J377" s="20"/>
      <c r="K377" s="21" t="n">
        <f aca="false">H377+I377</f>
        <v>0</v>
      </c>
      <c r="L377" s="20"/>
      <c r="M377" s="21" t="n">
        <f aca="false">H377-L377</f>
        <v>0</v>
      </c>
      <c r="N377" s="23" t="n">
        <f aca="false">IFERROR(M377/B377*10000,0)</f>
        <v>0</v>
      </c>
      <c r="O377" s="20"/>
      <c r="P377" s="20"/>
      <c r="Q377" s="21" t="n">
        <f aca="false">O377+P377</f>
        <v>0</v>
      </c>
      <c r="R377" s="22" t="n">
        <f aca="false">IF(A377&lt;HlpChangeDate,HlpSharePre,HlpSharePost)</f>
        <v>0.03</v>
      </c>
      <c r="S377" s="21" t="n">
        <f aca="false">Q377*R377/(1-R377)</f>
        <v>0</v>
      </c>
      <c r="T377" s="20"/>
      <c r="U377" s="21" t="n">
        <f aca="false">S377-T377</f>
        <v>0</v>
      </c>
      <c r="V377" s="21" t="n">
        <f aca="false">Y377-O377*R377/(1-R377)</f>
        <v>0</v>
      </c>
      <c r="W377" s="21" t="n">
        <f aca="false">Z377-P377*R377/(1-R377)</f>
        <v>0</v>
      </c>
      <c r="X377" s="21" t="n">
        <f aca="false">S377+V377+W377</f>
        <v>0</v>
      </c>
      <c r="Y377" s="20"/>
      <c r="Z377" s="20"/>
      <c r="AA377" s="19" t="n">
        <v>0</v>
      </c>
      <c r="AB377" s="20"/>
      <c r="AC377" s="20"/>
      <c r="AD377" s="24" t="n">
        <f aca="false">IFERROR(AA377/AC377,0)</f>
        <v>0</v>
      </c>
      <c r="AE377" s="25" t="n">
        <f aca="false">K377-Q377-X377</f>
        <v>0</v>
      </c>
      <c r="AF377" s="25" t="n">
        <f aca="false">Q377-AA377</f>
        <v>0</v>
      </c>
      <c r="AG377" s="20"/>
      <c r="AH377" s="26" t="n">
        <f aca="false">IFERROR(AG377/Q377,0)</f>
        <v>0</v>
      </c>
      <c r="AI377" s="27" t="n">
        <v>0</v>
      </c>
      <c r="AJ377" s="26" t="n">
        <f aca="false">IF(AI377&gt;0,AprCoef/SQRT(AI377),0)</f>
        <v>0</v>
      </c>
      <c r="AK377" s="24" t="n">
        <f aca="false">AI377*AJ377/365</f>
        <v>0</v>
      </c>
      <c r="AL377" s="24" t="n">
        <f aca="false">AD377</f>
        <v>0</v>
      </c>
      <c r="AM377" s="24" t="n">
        <f aca="false">AK377-AL377</f>
        <v>0</v>
      </c>
      <c r="AN377" s="28" t="str">
        <f aca="false">IF(A377&gt;=Hip3LaunchDate,"YES","")</f>
        <v/>
      </c>
      <c r="AO377" s="28" t="str">
        <f aca="false">IF(A377&lt;Hip4LaunchDate,"pre-launch","live (zero-fee)")</f>
        <v>pre-launch</v>
      </c>
      <c r="AP377" s="20"/>
      <c r="AQ377" s="20"/>
      <c r="AR377" s="20"/>
    </row>
    <row r="378" customFormat="false" ht="15" hidden="false" customHeight="false" outlineLevel="0" collapsed="false">
      <c r="A378" s="18" t="n">
        <v>45439</v>
      </c>
      <c r="B378" s="19" t="n">
        <v>784427402.02</v>
      </c>
      <c r="C378" s="19" t="n">
        <v>0</v>
      </c>
      <c r="D378" s="20"/>
      <c r="E378" s="21" t="n">
        <f aca="false">B378+C378</f>
        <v>784427402.02</v>
      </c>
      <c r="F378" s="21" t="n">
        <f aca="false">E378+D378</f>
        <v>784427402.02</v>
      </c>
      <c r="G378" s="22" t="n">
        <f aca="false">IFERROR(C378/E378,0)</f>
        <v>0</v>
      </c>
      <c r="H378" s="20"/>
      <c r="I378" s="20"/>
      <c r="J378" s="20"/>
      <c r="K378" s="21" t="n">
        <f aca="false">H378+I378</f>
        <v>0</v>
      </c>
      <c r="L378" s="20"/>
      <c r="M378" s="21" t="n">
        <f aca="false">H378-L378</f>
        <v>0</v>
      </c>
      <c r="N378" s="23" t="n">
        <f aca="false">IFERROR(M378/B378*10000,0)</f>
        <v>0</v>
      </c>
      <c r="O378" s="20"/>
      <c r="P378" s="20"/>
      <c r="Q378" s="21" t="n">
        <f aca="false">O378+P378</f>
        <v>0</v>
      </c>
      <c r="R378" s="22" t="n">
        <f aca="false">IF(A378&lt;HlpChangeDate,HlpSharePre,HlpSharePost)</f>
        <v>0.03</v>
      </c>
      <c r="S378" s="21" t="n">
        <f aca="false">Q378*R378/(1-R378)</f>
        <v>0</v>
      </c>
      <c r="T378" s="20"/>
      <c r="U378" s="21" t="n">
        <f aca="false">S378-T378</f>
        <v>0</v>
      </c>
      <c r="V378" s="21" t="n">
        <f aca="false">Y378-O378*R378/(1-R378)</f>
        <v>0</v>
      </c>
      <c r="W378" s="21" t="n">
        <f aca="false">Z378-P378*R378/(1-R378)</f>
        <v>0</v>
      </c>
      <c r="X378" s="21" t="n">
        <f aca="false">S378+V378+W378</f>
        <v>0</v>
      </c>
      <c r="Y378" s="20"/>
      <c r="Z378" s="20"/>
      <c r="AA378" s="19" t="n">
        <v>0</v>
      </c>
      <c r="AB378" s="20"/>
      <c r="AC378" s="20"/>
      <c r="AD378" s="24" t="n">
        <f aca="false">IFERROR(AA378/AC378,0)</f>
        <v>0</v>
      </c>
      <c r="AE378" s="25" t="n">
        <f aca="false">K378-Q378-X378</f>
        <v>0</v>
      </c>
      <c r="AF378" s="25" t="n">
        <f aca="false">Q378-AA378</f>
        <v>0</v>
      </c>
      <c r="AG378" s="20"/>
      <c r="AH378" s="26" t="n">
        <f aca="false">IFERROR(AG378/Q378,0)</f>
        <v>0</v>
      </c>
      <c r="AI378" s="27" t="n">
        <v>0</v>
      </c>
      <c r="AJ378" s="26" t="n">
        <f aca="false">IF(AI378&gt;0,AprCoef/SQRT(AI378),0)</f>
        <v>0</v>
      </c>
      <c r="AK378" s="24" t="n">
        <f aca="false">AI378*AJ378/365</f>
        <v>0</v>
      </c>
      <c r="AL378" s="24" t="n">
        <f aca="false">AD378</f>
        <v>0</v>
      </c>
      <c r="AM378" s="24" t="n">
        <f aca="false">AK378-AL378</f>
        <v>0</v>
      </c>
      <c r="AN378" s="28" t="str">
        <f aca="false">IF(A378&gt;=Hip3LaunchDate,"YES","")</f>
        <v/>
      </c>
      <c r="AO378" s="28" t="str">
        <f aca="false">IF(A378&lt;Hip4LaunchDate,"pre-launch","live (zero-fee)")</f>
        <v>pre-launch</v>
      </c>
      <c r="AP378" s="20"/>
      <c r="AQ378" s="20"/>
      <c r="AR378" s="20"/>
    </row>
    <row r="379" customFormat="false" ht="15" hidden="false" customHeight="false" outlineLevel="0" collapsed="false">
      <c r="A379" s="18" t="n">
        <v>45440</v>
      </c>
      <c r="B379" s="19" t="n">
        <v>1063856066.43</v>
      </c>
      <c r="C379" s="19" t="n">
        <v>0</v>
      </c>
      <c r="D379" s="20"/>
      <c r="E379" s="21" t="n">
        <f aca="false">B379+C379</f>
        <v>1063856066.43</v>
      </c>
      <c r="F379" s="21" t="n">
        <f aca="false">E379+D379</f>
        <v>1063856066.43</v>
      </c>
      <c r="G379" s="22" t="n">
        <f aca="false">IFERROR(C379/E379,0)</f>
        <v>0</v>
      </c>
      <c r="H379" s="20"/>
      <c r="I379" s="20"/>
      <c r="J379" s="20"/>
      <c r="K379" s="21" t="n">
        <f aca="false">H379+I379</f>
        <v>0</v>
      </c>
      <c r="L379" s="20"/>
      <c r="M379" s="21" t="n">
        <f aca="false">H379-L379</f>
        <v>0</v>
      </c>
      <c r="N379" s="23" t="n">
        <f aca="false">IFERROR(M379/B379*10000,0)</f>
        <v>0</v>
      </c>
      <c r="O379" s="20"/>
      <c r="P379" s="20"/>
      <c r="Q379" s="21" t="n">
        <f aca="false">O379+P379</f>
        <v>0</v>
      </c>
      <c r="R379" s="22" t="n">
        <f aca="false">IF(A379&lt;HlpChangeDate,HlpSharePre,HlpSharePost)</f>
        <v>0.03</v>
      </c>
      <c r="S379" s="21" t="n">
        <f aca="false">Q379*R379/(1-R379)</f>
        <v>0</v>
      </c>
      <c r="T379" s="20"/>
      <c r="U379" s="21" t="n">
        <f aca="false">S379-T379</f>
        <v>0</v>
      </c>
      <c r="V379" s="21" t="n">
        <f aca="false">Y379-O379*R379/(1-R379)</f>
        <v>0</v>
      </c>
      <c r="W379" s="21" t="n">
        <f aca="false">Z379-P379*R379/(1-R379)</f>
        <v>0</v>
      </c>
      <c r="X379" s="21" t="n">
        <f aca="false">S379+V379+W379</f>
        <v>0</v>
      </c>
      <c r="Y379" s="20"/>
      <c r="Z379" s="20"/>
      <c r="AA379" s="19" t="n">
        <v>0</v>
      </c>
      <c r="AB379" s="20"/>
      <c r="AC379" s="20"/>
      <c r="AD379" s="24" t="n">
        <f aca="false">IFERROR(AA379/AC379,0)</f>
        <v>0</v>
      </c>
      <c r="AE379" s="25" t="n">
        <f aca="false">K379-Q379-X379</f>
        <v>0</v>
      </c>
      <c r="AF379" s="25" t="n">
        <f aca="false">Q379-AA379</f>
        <v>0</v>
      </c>
      <c r="AG379" s="20"/>
      <c r="AH379" s="26" t="n">
        <f aca="false">IFERROR(AG379/Q379,0)</f>
        <v>0</v>
      </c>
      <c r="AI379" s="27" t="n">
        <v>0</v>
      </c>
      <c r="AJ379" s="26" t="n">
        <f aca="false">IF(AI379&gt;0,AprCoef/SQRT(AI379),0)</f>
        <v>0</v>
      </c>
      <c r="AK379" s="24" t="n">
        <f aca="false">AI379*AJ379/365</f>
        <v>0</v>
      </c>
      <c r="AL379" s="24" t="n">
        <f aca="false">AD379</f>
        <v>0</v>
      </c>
      <c r="AM379" s="24" t="n">
        <f aca="false">AK379-AL379</f>
        <v>0</v>
      </c>
      <c r="AN379" s="28" t="str">
        <f aca="false">IF(A379&gt;=Hip3LaunchDate,"YES","")</f>
        <v/>
      </c>
      <c r="AO379" s="28" t="str">
        <f aca="false">IF(A379&lt;Hip4LaunchDate,"pre-launch","live (zero-fee)")</f>
        <v>pre-launch</v>
      </c>
      <c r="AP379" s="20"/>
      <c r="AQ379" s="20"/>
      <c r="AR379" s="20"/>
    </row>
    <row r="380" customFormat="false" ht="15" hidden="false" customHeight="false" outlineLevel="0" collapsed="false">
      <c r="A380" s="18" t="n">
        <v>45441</v>
      </c>
      <c r="B380" s="19" t="n">
        <v>879243779.33</v>
      </c>
      <c r="C380" s="19" t="n">
        <v>0</v>
      </c>
      <c r="D380" s="20"/>
      <c r="E380" s="21" t="n">
        <f aca="false">B380+C380</f>
        <v>879243779.33</v>
      </c>
      <c r="F380" s="21" t="n">
        <f aca="false">E380+D380</f>
        <v>879243779.33</v>
      </c>
      <c r="G380" s="22" t="n">
        <f aca="false">IFERROR(C380/E380,0)</f>
        <v>0</v>
      </c>
      <c r="H380" s="20"/>
      <c r="I380" s="20"/>
      <c r="J380" s="20"/>
      <c r="K380" s="21" t="n">
        <f aca="false">H380+I380</f>
        <v>0</v>
      </c>
      <c r="L380" s="20"/>
      <c r="M380" s="21" t="n">
        <f aca="false">H380-L380</f>
        <v>0</v>
      </c>
      <c r="N380" s="23" t="n">
        <f aca="false">IFERROR(M380/B380*10000,0)</f>
        <v>0</v>
      </c>
      <c r="O380" s="20"/>
      <c r="P380" s="20"/>
      <c r="Q380" s="21" t="n">
        <f aca="false">O380+P380</f>
        <v>0</v>
      </c>
      <c r="R380" s="22" t="n">
        <f aca="false">IF(A380&lt;HlpChangeDate,HlpSharePre,HlpSharePost)</f>
        <v>0.03</v>
      </c>
      <c r="S380" s="21" t="n">
        <f aca="false">Q380*R380/(1-R380)</f>
        <v>0</v>
      </c>
      <c r="T380" s="20"/>
      <c r="U380" s="21" t="n">
        <f aca="false">S380-T380</f>
        <v>0</v>
      </c>
      <c r="V380" s="21" t="n">
        <f aca="false">Y380-O380*R380/(1-R380)</f>
        <v>0</v>
      </c>
      <c r="W380" s="21" t="n">
        <f aca="false">Z380-P380*R380/(1-R380)</f>
        <v>0</v>
      </c>
      <c r="X380" s="21" t="n">
        <f aca="false">S380+V380+W380</f>
        <v>0</v>
      </c>
      <c r="Y380" s="20"/>
      <c r="Z380" s="20"/>
      <c r="AA380" s="19" t="n">
        <v>0</v>
      </c>
      <c r="AB380" s="20"/>
      <c r="AC380" s="20"/>
      <c r="AD380" s="24" t="n">
        <f aca="false">IFERROR(AA380/AC380,0)</f>
        <v>0</v>
      </c>
      <c r="AE380" s="25" t="n">
        <f aca="false">K380-Q380-X380</f>
        <v>0</v>
      </c>
      <c r="AF380" s="25" t="n">
        <f aca="false">Q380-AA380</f>
        <v>0</v>
      </c>
      <c r="AG380" s="20"/>
      <c r="AH380" s="26" t="n">
        <f aca="false">IFERROR(AG380/Q380,0)</f>
        <v>0</v>
      </c>
      <c r="AI380" s="27" t="n">
        <v>0</v>
      </c>
      <c r="AJ380" s="26" t="n">
        <f aca="false">IF(AI380&gt;0,AprCoef/SQRT(AI380),0)</f>
        <v>0</v>
      </c>
      <c r="AK380" s="24" t="n">
        <f aca="false">AI380*AJ380/365</f>
        <v>0</v>
      </c>
      <c r="AL380" s="24" t="n">
        <f aca="false">AD380</f>
        <v>0</v>
      </c>
      <c r="AM380" s="24" t="n">
        <f aca="false">AK380-AL380</f>
        <v>0</v>
      </c>
      <c r="AN380" s="28" t="str">
        <f aca="false">IF(A380&gt;=Hip3LaunchDate,"YES","")</f>
        <v/>
      </c>
      <c r="AO380" s="28" t="str">
        <f aca="false">IF(A380&lt;Hip4LaunchDate,"pre-launch","live (zero-fee)")</f>
        <v>pre-launch</v>
      </c>
      <c r="AP380" s="20"/>
      <c r="AQ380" s="20"/>
      <c r="AR380" s="20"/>
    </row>
    <row r="381" customFormat="false" ht="15" hidden="false" customHeight="false" outlineLevel="0" collapsed="false">
      <c r="A381" s="18" t="n">
        <v>45442</v>
      </c>
      <c r="B381" s="19" t="n">
        <v>975848410.39</v>
      </c>
      <c r="C381" s="19" t="n">
        <v>0</v>
      </c>
      <c r="D381" s="20"/>
      <c r="E381" s="21" t="n">
        <f aca="false">B381+C381</f>
        <v>975848410.39</v>
      </c>
      <c r="F381" s="21" t="n">
        <f aca="false">E381+D381</f>
        <v>975848410.39</v>
      </c>
      <c r="G381" s="22" t="n">
        <f aca="false">IFERROR(C381/E381,0)</f>
        <v>0</v>
      </c>
      <c r="H381" s="20"/>
      <c r="I381" s="20"/>
      <c r="J381" s="20"/>
      <c r="K381" s="21" t="n">
        <f aca="false">H381+I381</f>
        <v>0</v>
      </c>
      <c r="L381" s="20"/>
      <c r="M381" s="21" t="n">
        <f aca="false">H381-L381</f>
        <v>0</v>
      </c>
      <c r="N381" s="23" t="n">
        <f aca="false">IFERROR(M381/B381*10000,0)</f>
        <v>0</v>
      </c>
      <c r="O381" s="20"/>
      <c r="P381" s="20"/>
      <c r="Q381" s="21" t="n">
        <f aca="false">O381+P381</f>
        <v>0</v>
      </c>
      <c r="R381" s="22" t="n">
        <f aca="false">IF(A381&lt;HlpChangeDate,HlpSharePre,HlpSharePost)</f>
        <v>0.03</v>
      </c>
      <c r="S381" s="21" t="n">
        <f aca="false">Q381*R381/(1-R381)</f>
        <v>0</v>
      </c>
      <c r="T381" s="20"/>
      <c r="U381" s="21" t="n">
        <f aca="false">S381-T381</f>
        <v>0</v>
      </c>
      <c r="V381" s="21" t="n">
        <f aca="false">Y381-O381*R381/(1-R381)</f>
        <v>0</v>
      </c>
      <c r="W381" s="21" t="n">
        <f aca="false">Z381-P381*R381/(1-R381)</f>
        <v>0</v>
      </c>
      <c r="X381" s="21" t="n">
        <f aca="false">S381+V381+W381</f>
        <v>0</v>
      </c>
      <c r="Y381" s="20"/>
      <c r="Z381" s="20"/>
      <c r="AA381" s="19" t="n">
        <v>0</v>
      </c>
      <c r="AB381" s="20"/>
      <c r="AC381" s="20"/>
      <c r="AD381" s="24" t="n">
        <f aca="false">IFERROR(AA381/AC381,0)</f>
        <v>0</v>
      </c>
      <c r="AE381" s="25" t="n">
        <f aca="false">K381-Q381-X381</f>
        <v>0</v>
      </c>
      <c r="AF381" s="25" t="n">
        <f aca="false">Q381-AA381</f>
        <v>0</v>
      </c>
      <c r="AG381" s="20"/>
      <c r="AH381" s="26" t="n">
        <f aca="false">IFERROR(AG381/Q381,0)</f>
        <v>0</v>
      </c>
      <c r="AI381" s="27" t="n">
        <v>0</v>
      </c>
      <c r="AJ381" s="26" t="n">
        <f aca="false">IF(AI381&gt;0,AprCoef/SQRT(AI381),0)</f>
        <v>0</v>
      </c>
      <c r="AK381" s="24" t="n">
        <f aca="false">AI381*AJ381/365</f>
        <v>0</v>
      </c>
      <c r="AL381" s="24" t="n">
        <f aca="false">AD381</f>
        <v>0</v>
      </c>
      <c r="AM381" s="24" t="n">
        <f aca="false">AK381-AL381</f>
        <v>0</v>
      </c>
      <c r="AN381" s="28" t="str">
        <f aca="false">IF(A381&gt;=Hip3LaunchDate,"YES","")</f>
        <v/>
      </c>
      <c r="AO381" s="28" t="str">
        <f aca="false">IF(A381&lt;Hip4LaunchDate,"pre-launch","live (zero-fee)")</f>
        <v>pre-launch</v>
      </c>
      <c r="AP381" s="20"/>
      <c r="AQ381" s="20"/>
      <c r="AR381" s="20"/>
    </row>
    <row r="382" customFormat="false" ht="15" hidden="false" customHeight="false" outlineLevel="0" collapsed="false">
      <c r="A382" s="18" t="n">
        <v>45443</v>
      </c>
      <c r="B382" s="19" t="n">
        <v>917555214.46</v>
      </c>
      <c r="C382" s="19" t="n">
        <v>0</v>
      </c>
      <c r="D382" s="20"/>
      <c r="E382" s="21" t="n">
        <f aca="false">B382+C382</f>
        <v>917555214.46</v>
      </c>
      <c r="F382" s="21" t="n">
        <f aca="false">E382+D382</f>
        <v>917555214.46</v>
      </c>
      <c r="G382" s="22" t="n">
        <f aca="false">IFERROR(C382/E382,0)</f>
        <v>0</v>
      </c>
      <c r="H382" s="20"/>
      <c r="I382" s="20"/>
      <c r="J382" s="20"/>
      <c r="K382" s="21" t="n">
        <f aca="false">H382+I382</f>
        <v>0</v>
      </c>
      <c r="L382" s="20"/>
      <c r="M382" s="21" t="n">
        <f aca="false">H382-L382</f>
        <v>0</v>
      </c>
      <c r="N382" s="23" t="n">
        <f aca="false">IFERROR(M382/B382*10000,0)</f>
        <v>0</v>
      </c>
      <c r="O382" s="20"/>
      <c r="P382" s="20"/>
      <c r="Q382" s="21" t="n">
        <f aca="false">O382+P382</f>
        <v>0</v>
      </c>
      <c r="R382" s="22" t="n">
        <f aca="false">IF(A382&lt;HlpChangeDate,HlpSharePre,HlpSharePost)</f>
        <v>0.03</v>
      </c>
      <c r="S382" s="21" t="n">
        <f aca="false">Q382*R382/(1-R382)</f>
        <v>0</v>
      </c>
      <c r="T382" s="20"/>
      <c r="U382" s="21" t="n">
        <f aca="false">S382-T382</f>
        <v>0</v>
      </c>
      <c r="V382" s="21" t="n">
        <f aca="false">Y382-O382*R382/(1-R382)</f>
        <v>0</v>
      </c>
      <c r="W382" s="21" t="n">
        <f aca="false">Z382-P382*R382/(1-R382)</f>
        <v>0</v>
      </c>
      <c r="X382" s="21" t="n">
        <f aca="false">S382+V382+W382</f>
        <v>0</v>
      </c>
      <c r="Y382" s="20"/>
      <c r="Z382" s="20"/>
      <c r="AA382" s="19" t="n">
        <v>0</v>
      </c>
      <c r="AB382" s="20"/>
      <c r="AC382" s="20"/>
      <c r="AD382" s="24" t="n">
        <f aca="false">IFERROR(AA382/AC382,0)</f>
        <v>0</v>
      </c>
      <c r="AE382" s="25" t="n">
        <f aca="false">K382-Q382-X382</f>
        <v>0</v>
      </c>
      <c r="AF382" s="25" t="n">
        <f aca="false">Q382-AA382</f>
        <v>0</v>
      </c>
      <c r="AG382" s="20"/>
      <c r="AH382" s="26" t="n">
        <f aca="false">IFERROR(AG382/Q382,0)</f>
        <v>0</v>
      </c>
      <c r="AI382" s="27" t="n">
        <v>0</v>
      </c>
      <c r="AJ382" s="26" t="n">
        <f aca="false">IF(AI382&gt;0,AprCoef/SQRT(AI382),0)</f>
        <v>0</v>
      </c>
      <c r="AK382" s="24" t="n">
        <f aca="false">AI382*AJ382/365</f>
        <v>0</v>
      </c>
      <c r="AL382" s="24" t="n">
        <f aca="false">AD382</f>
        <v>0</v>
      </c>
      <c r="AM382" s="24" t="n">
        <f aca="false">AK382-AL382</f>
        <v>0</v>
      </c>
      <c r="AN382" s="28" t="str">
        <f aca="false">IF(A382&gt;=Hip3LaunchDate,"YES","")</f>
        <v/>
      </c>
      <c r="AO382" s="28" t="str">
        <f aca="false">IF(A382&lt;Hip4LaunchDate,"pre-launch","live (zero-fee)")</f>
        <v>pre-launch</v>
      </c>
      <c r="AP382" s="20"/>
      <c r="AQ382" s="20"/>
      <c r="AR382" s="20"/>
    </row>
    <row r="383" customFormat="false" ht="15" hidden="false" customHeight="false" outlineLevel="0" collapsed="false">
      <c r="A383" s="18" t="n">
        <v>45444</v>
      </c>
      <c r="B383" s="19" t="n">
        <v>379114903.13</v>
      </c>
      <c r="C383" s="19" t="n">
        <v>0</v>
      </c>
      <c r="D383" s="20"/>
      <c r="E383" s="21" t="n">
        <f aca="false">B383+C383</f>
        <v>379114903.13</v>
      </c>
      <c r="F383" s="21" t="n">
        <f aca="false">E383+D383</f>
        <v>379114903.13</v>
      </c>
      <c r="G383" s="22" t="n">
        <f aca="false">IFERROR(C383/E383,0)</f>
        <v>0</v>
      </c>
      <c r="H383" s="20"/>
      <c r="I383" s="20"/>
      <c r="J383" s="20"/>
      <c r="K383" s="21" t="n">
        <f aca="false">H383+I383</f>
        <v>0</v>
      </c>
      <c r="L383" s="20"/>
      <c r="M383" s="21" t="n">
        <f aca="false">H383-L383</f>
        <v>0</v>
      </c>
      <c r="N383" s="23" t="n">
        <f aca="false">IFERROR(M383/B383*10000,0)</f>
        <v>0</v>
      </c>
      <c r="O383" s="20"/>
      <c r="P383" s="20"/>
      <c r="Q383" s="21" t="n">
        <f aca="false">O383+P383</f>
        <v>0</v>
      </c>
      <c r="R383" s="22" t="n">
        <f aca="false">IF(A383&lt;HlpChangeDate,HlpSharePre,HlpSharePost)</f>
        <v>0.03</v>
      </c>
      <c r="S383" s="21" t="n">
        <f aca="false">Q383*R383/(1-R383)</f>
        <v>0</v>
      </c>
      <c r="T383" s="20"/>
      <c r="U383" s="21" t="n">
        <f aca="false">S383-T383</f>
        <v>0</v>
      </c>
      <c r="V383" s="21" t="n">
        <f aca="false">Y383-O383*R383/(1-R383)</f>
        <v>0</v>
      </c>
      <c r="W383" s="21" t="n">
        <f aca="false">Z383-P383*R383/(1-R383)</f>
        <v>0</v>
      </c>
      <c r="X383" s="21" t="n">
        <f aca="false">S383+V383+W383</f>
        <v>0</v>
      </c>
      <c r="Y383" s="20"/>
      <c r="Z383" s="20"/>
      <c r="AA383" s="19" t="n">
        <v>0</v>
      </c>
      <c r="AB383" s="20"/>
      <c r="AC383" s="20"/>
      <c r="AD383" s="24" t="n">
        <f aca="false">IFERROR(AA383/AC383,0)</f>
        <v>0</v>
      </c>
      <c r="AE383" s="25" t="n">
        <f aca="false">K383-Q383-X383</f>
        <v>0</v>
      </c>
      <c r="AF383" s="25" t="n">
        <f aca="false">Q383-AA383</f>
        <v>0</v>
      </c>
      <c r="AG383" s="20"/>
      <c r="AH383" s="26" t="n">
        <f aca="false">IFERROR(AG383/Q383,0)</f>
        <v>0</v>
      </c>
      <c r="AI383" s="27" t="n">
        <v>0</v>
      </c>
      <c r="AJ383" s="26" t="n">
        <f aca="false">IF(AI383&gt;0,AprCoef/SQRT(AI383),0)</f>
        <v>0</v>
      </c>
      <c r="AK383" s="24" t="n">
        <f aca="false">AI383*AJ383/365</f>
        <v>0</v>
      </c>
      <c r="AL383" s="24" t="n">
        <f aca="false">AD383</f>
        <v>0</v>
      </c>
      <c r="AM383" s="24" t="n">
        <f aca="false">AK383-AL383</f>
        <v>0</v>
      </c>
      <c r="AN383" s="28" t="str">
        <f aca="false">IF(A383&gt;=Hip3LaunchDate,"YES","")</f>
        <v/>
      </c>
      <c r="AO383" s="28" t="str">
        <f aca="false">IF(A383&lt;Hip4LaunchDate,"pre-launch","live (zero-fee)")</f>
        <v>pre-launch</v>
      </c>
      <c r="AP383" s="20"/>
      <c r="AQ383" s="20"/>
      <c r="AR383" s="20"/>
    </row>
    <row r="384" customFormat="false" ht="15" hidden="false" customHeight="false" outlineLevel="0" collapsed="false">
      <c r="A384" s="18" t="n">
        <v>45445</v>
      </c>
      <c r="B384" s="19" t="n">
        <v>529730344.96</v>
      </c>
      <c r="C384" s="19" t="n">
        <v>0</v>
      </c>
      <c r="D384" s="20"/>
      <c r="E384" s="21" t="n">
        <f aca="false">B384+C384</f>
        <v>529730344.96</v>
      </c>
      <c r="F384" s="21" t="n">
        <f aca="false">E384+D384</f>
        <v>529730344.96</v>
      </c>
      <c r="G384" s="22" t="n">
        <f aca="false">IFERROR(C384/E384,0)</f>
        <v>0</v>
      </c>
      <c r="H384" s="20"/>
      <c r="I384" s="20"/>
      <c r="J384" s="20"/>
      <c r="K384" s="21" t="n">
        <f aca="false">H384+I384</f>
        <v>0</v>
      </c>
      <c r="L384" s="20"/>
      <c r="M384" s="21" t="n">
        <f aca="false">H384-L384</f>
        <v>0</v>
      </c>
      <c r="N384" s="23" t="n">
        <f aca="false">IFERROR(M384/B384*10000,0)</f>
        <v>0</v>
      </c>
      <c r="O384" s="20"/>
      <c r="P384" s="20"/>
      <c r="Q384" s="21" t="n">
        <f aca="false">O384+P384</f>
        <v>0</v>
      </c>
      <c r="R384" s="22" t="n">
        <f aca="false">IF(A384&lt;HlpChangeDate,HlpSharePre,HlpSharePost)</f>
        <v>0.03</v>
      </c>
      <c r="S384" s="21" t="n">
        <f aca="false">Q384*R384/(1-R384)</f>
        <v>0</v>
      </c>
      <c r="T384" s="20"/>
      <c r="U384" s="21" t="n">
        <f aca="false">S384-T384</f>
        <v>0</v>
      </c>
      <c r="V384" s="21" t="n">
        <f aca="false">Y384-O384*R384/(1-R384)</f>
        <v>0</v>
      </c>
      <c r="W384" s="21" t="n">
        <f aca="false">Z384-P384*R384/(1-R384)</f>
        <v>0</v>
      </c>
      <c r="X384" s="21" t="n">
        <f aca="false">S384+V384+W384</f>
        <v>0</v>
      </c>
      <c r="Y384" s="20"/>
      <c r="Z384" s="20"/>
      <c r="AA384" s="19" t="n">
        <v>0</v>
      </c>
      <c r="AB384" s="20"/>
      <c r="AC384" s="20"/>
      <c r="AD384" s="24" t="n">
        <f aca="false">IFERROR(AA384/AC384,0)</f>
        <v>0</v>
      </c>
      <c r="AE384" s="25" t="n">
        <f aca="false">K384-Q384-X384</f>
        <v>0</v>
      </c>
      <c r="AF384" s="25" t="n">
        <f aca="false">Q384-AA384</f>
        <v>0</v>
      </c>
      <c r="AG384" s="20"/>
      <c r="AH384" s="26" t="n">
        <f aca="false">IFERROR(AG384/Q384,0)</f>
        <v>0</v>
      </c>
      <c r="AI384" s="27" t="n">
        <v>0</v>
      </c>
      <c r="AJ384" s="26" t="n">
        <f aca="false">IF(AI384&gt;0,AprCoef/SQRT(AI384),0)</f>
        <v>0</v>
      </c>
      <c r="AK384" s="24" t="n">
        <f aca="false">AI384*AJ384/365</f>
        <v>0</v>
      </c>
      <c r="AL384" s="24" t="n">
        <f aca="false">AD384</f>
        <v>0</v>
      </c>
      <c r="AM384" s="24" t="n">
        <f aca="false">AK384-AL384</f>
        <v>0</v>
      </c>
      <c r="AN384" s="28" t="str">
        <f aca="false">IF(A384&gt;=Hip3LaunchDate,"YES","")</f>
        <v/>
      </c>
      <c r="AO384" s="28" t="str">
        <f aca="false">IF(A384&lt;Hip4LaunchDate,"pre-launch","live (zero-fee)")</f>
        <v>pre-launch</v>
      </c>
      <c r="AP384" s="20"/>
      <c r="AQ384" s="20"/>
      <c r="AR384" s="20"/>
    </row>
    <row r="385" customFormat="false" ht="15" hidden="false" customHeight="false" outlineLevel="0" collapsed="false">
      <c r="A385" s="18" t="n">
        <v>45446</v>
      </c>
      <c r="B385" s="19" t="n">
        <v>966511223.5</v>
      </c>
      <c r="C385" s="19" t="n">
        <v>0</v>
      </c>
      <c r="D385" s="20"/>
      <c r="E385" s="21" t="n">
        <f aca="false">B385+C385</f>
        <v>966511223.5</v>
      </c>
      <c r="F385" s="21" t="n">
        <f aca="false">E385+D385</f>
        <v>966511223.5</v>
      </c>
      <c r="G385" s="22" t="n">
        <f aca="false">IFERROR(C385/E385,0)</f>
        <v>0</v>
      </c>
      <c r="H385" s="20"/>
      <c r="I385" s="20"/>
      <c r="J385" s="20"/>
      <c r="K385" s="21" t="n">
        <f aca="false">H385+I385</f>
        <v>0</v>
      </c>
      <c r="L385" s="20"/>
      <c r="M385" s="21" t="n">
        <f aca="false">H385-L385</f>
        <v>0</v>
      </c>
      <c r="N385" s="23" t="n">
        <f aca="false">IFERROR(M385/B385*10000,0)</f>
        <v>0</v>
      </c>
      <c r="O385" s="20"/>
      <c r="P385" s="20"/>
      <c r="Q385" s="21" t="n">
        <f aca="false">O385+P385</f>
        <v>0</v>
      </c>
      <c r="R385" s="22" t="n">
        <f aca="false">IF(A385&lt;HlpChangeDate,HlpSharePre,HlpSharePost)</f>
        <v>0.03</v>
      </c>
      <c r="S385" s="21" t="n">
        <f aca="false">Q385*R385/(1-R385)</f>
        <v>0</v>
      </c>
      <c r="T385" s="20"/>
      <c r="U385" s="21" t="n">
        <f aca="false">S385-T385</f>
        <v>0</v>
      </c>
      <c r="V385" s="21" t="n">
        <f aca="false">Y385-O385*R385/(1-R385)</f>
        <v>0</v>
      </c>
      <c r="W385" s="21" t="n">
        <f aca="false">Z385-P385*R385/(1-R385)</f>
        <v>0</v>
      </c>
      <c r="X385" s="21" t="n">
        <f aca="false">S385+V385+W385</f>
        <v>0</v>
      </c>
      <c r="Y385" s="20"/>
      <c r="Z385" s="20"/>
      <c r="AA385" s="19" t="n">
        <v>0</v>
      </c>
      <c r="AB385" s="20"/>
      <c r="AC385" s="20"/>
      <c r="AD385" s="24" t="n">
        <f aca="false">IFERROR(AA385/AC385,0)</f>
        <v>0</v>
      </c>
      <c r="AE385" s="25" t="n">
        <f aca="false">K385-Q385-X385</f>
        <v>0</v>
      </c>
      <c r="AF385" s="25" t="n">
        <f aca="false">Q385-AA385</f>
        <v>0</v>
      </c>
      <c r="AG385" s="20"/>
      <c r="AH385" s="26" t="n">
        <f aca="false">IFERROR(AG385/Q385,0)</f>
        <v>0</v>
      </c>
      <c r="AI385" s="27" t="n">
        <v>0</v>
      </c>
      <c r="AJ385" s="26" t="n">
        <f aca="false">IF(AI385&gt;0,AprCoef/SQRT(AI385),0)</f>
        <v>0</v>
      </c>
      <c r="AK385" s="24" t="n">
        <f aca="false">AI385*AJ385/365</f>
        <v>0</v>
      </c>
      <c r="AL385" s="24" t="n">
        <f aca="false">AD385</f>
        <v>0</v>
      </c>
      <c r="AM385" s="24" t="n">
        <f aca="false">AK385-AL385</f>
        <v>0</v>
      </c>
      <c r="AN385" s="28" t="str">
        <f aca="false">IF(A385&gt;=Hip3LaunchDate,"YES","")</f>
        <v/>
      </c>
      <c r="AO385" s="28" t="str">
        <f aca="false">IF(A385&lt;Hip4LaunchDate,"pre-launch","live (zero-fee)")</f>
        <v>pre-launch</v>
      </c>
      <c r="AP385" s="20"/>
      <c r="AQ385" s="20"/>
      <c r="AR385" s="20"/>
    </row>
    <row r="386" customFormat="false" ht="15" hidden="false" customHeight="false" outlineLevel="0" collapsed="false">
      <c r="A386" s="18" t="n">
        <v>45447</v>
      </c>
      <c r="B386" s="19" t="n">
        <v>865570111.24</v>
      </c>
      <c r="C386" s="19" t="n">
        <v>0</v>
      </c>
      <c r="D386" s="20"/>
      <c r="E386" s="21" t="n">
        <f aca="false">B386+C386</f>
        <v>865570111.24</v>
      </c>
      <c r="F386" s="21" t="n">
        <f aca="false">E386+D386</f>
        <v>865570111.24</v>
      </c>
      <c r="G386" s="22" t="n">
        <f aca="false">IFERROR(C386/E386,0)</f>
        <v>0</v>
      </c>
      <c r="H386" s="20"/>
      <c r="I386" s="20"/>
      <c r="J386" s="20"/>
      <c r="K386" s="21" t="n">
        <f aca="false">H386+I386</f>
        <v>0</v>
      </c>
      <c r="L386" s="20"/>
      <c r="M386" s="21" t="n">
        <f aca="false">H386-L386</f>
        <v>0</v>
      </c>
      <c r="N386" s="23" t="n">
        <f aca="false">IFERROR(M386/B386*10000,0)</f>
        <v>0</v>
      </c>
      <c r="O386" s="20"/>
      <c r="P386" s="20"/>
      <c r="Q386" s="21" t="n">
        <f aca="false">O386+P386</f>
        <v>0</v>
      </c>
      <c r="R386" s="22" t="n">
        <f aca="false">IF(A386&lt;HlpChangeDate,HlpSharePre,HlpSharePost)</f>
        <v>0.03</v>
      </c>
      <c r="S386" s="21" t="n">
        <f aca="false">Q386*R386/(1-R386)</f>
        <v>0</v>
      </c>
      <c r="T386" s="20"/>
      <c r="U386" s="21" t="n">
        <f aca="false">S386-T386</f>
        <v>0</v>
      </c>
      <c r="V386" s="21" t="n">
        <f aca="false">Y386-O386*R386/(1-R386)</f>
        <v>0</v>
      </c>
      <c r="W386" s="21" t="n">
        <f aca="false">Z386-P386*R386/(1-R386)</f>
        <v>0</v>
      </c>
      <c r="X386" s="21" t="n">
        <f aca="false">S386+V386+W386</f>
        <v>0</v>
      </c>
      <c r="Y386" s="20"/>
      <c r="Z386" s="20"/>
      <c r="AA386" s="19" t="n">
        <v>0</v>
      </c>
      <c r="AB386" s="20"/>
      <c r="AC386" s="20"/>
      <c r="AD386" s="24" t="n">
        <f aca="false">IFERROR(AA386/AC386,0)</f>
        <v>0</v>
      </c>
      <c r="AE386" s="25" t="n">
        <f aca="false">K386-Q386-X386</f>
        <v>0</v>
      </c>
      <c r="AF386" s="25" t="n">
        <f aca="false">Q386-AA386</f>
        <v>0</v>
      </c>
      <c r="AG386" s="20"/>
      <c r="AH386" s="26" t="n">
        <f aca="false">IFERROR(AG386/Q386,0)</f>
        <v>0</v>
      </c>
      <c r="AI386" s="27" t="n">
        <v>0</v>
      </c>
      <c r="AJ386" s="26" t="n">
        <f aca="false">IF(AI386&gt;0,AprCoef/SQRT(AI386),0)</f>
        <v>0</v>
      </c>
      <c r="AK386" s="24" t="n">
        <f aca="false">AI386*AJ386/365</f>
        <v>0</v>
      </c>
      <c r="AL386" s="24" t="n">
        <f aca="false">AD386</f>
        <v>0</v>
      </c>
      <c r="AM386" s="24" t="n">
        <f aca="false">AK386-AL386</f>
        <v>0</v>
      </c>
      <c r="AN386" s="28" t="str">
        <f aca="false">IF(A386&gt;=Hip3LaunchDate,"YES","")</f>
        <v/>
      </c>
      <c r="AO386" s="28" t="str">
        <f aca="false">IF(A386&lt;Hip4LaunchDate,"pre-launch","live (zero-fee)")</f>
        <v>pre-launch</v>
      </c>
      <c r="AP386" s="20"/>
      <c r="AQ386" s="20"/>
      <c r="AR386" s="20"/>
    </row>
    <row r="387" customFormat="false" ht="15" hidden="false" customHeight="false" outlineLevel="0" collapsed="false">
      <c r="A387" s="18" t="n">
        <v>45448</v>
      </c>
      <c r="B387" s="19" t="n">
        <v>971251191.95</v>
      </c>
      <c r="C387" s="19" t="n">
        <v>0</v>
      </c>
      <c r="D387" s="20"/>
      <c r="E387" s="21" t="n">
        <f aca="false">B387+C387</f>
        <v>971251191.95</v>
      </c>
      <c r="F387" s="21" t="n">
        <f aca="false">E387+D387</f>
        <v>971251191.95</v>
      </c>
      <c r="G387" s="22" t="n">
        <f aca="false">IFERROR(C387/E387,0)</f>
        <v>0</v>
      </c>
      <c r="H387" s="20"/>
      <c r="I387" s="20"/>
      <c r="J387" s="20"/>
      <c r="K387" s="21" t="n">
        <f aca="false">H387+I387</f>
        <v>0</v>
      </c>
      <c r="L387" s="20"/>
      <c r="M387" s="21" t="n">
        <f aca="false">H387-L387</f>
        <v>0</v>
      </c>
      <c r="N387" s="23" t="n">
        <f aca="false">IFERROR(M387/B387*10000,0)</f>
        <v>0</v>
      </c>
      <c r="O387" s="20"/>
      <c r="P387" s="20"/>
      <c r="Q387" s="21" t="n">
        <f aca="false">O387+P387</f>
        <v>0</v>
      </c>
      <c r="R387" s="22" t="n">
        <f aca="false">IF(A387&lt;HlpChangeDate,HlpSharePre,HlpSharePost)</f>
        <v>0.03</v>
      </c>
      <c r="S387" s="21" t="n">
        <f aca="false">Q387*R387/(1-R387)</f>
        <v>0</v>
      </c>
      <c r="T387" s="20"/>
      <c r="U387" s="21" t="n">
        <f aca="false">S387-T387</f>
        <v>0</v>
      </c>
      <c r="V387" s="21" t="n">
        <f aca="false">Y387-O387*R387/(1-R387)</f>
        <v>0</v>
      </c>
      <c r="W387" s="21" t="n">
        <f aca="false">Z387-P387*R387/(1-R387)</f>
        <v>0</v>
      </c>
      <c r="X387" s="21" t="n">
        <f aca="false">S387+V387+W387</f>
        <v>0</v>
      </c>
      <c r="Y387" s="20"/>
      <c r="Z387" s="20"/>
      <c r="AA387" s="19" t="n">
        <v>0</v>
      </c>
      <c r="AB387" s="20"/>
      <c r="AC387" s="20"/>
      <c r="AD387" s="24" t="n">
        <f aca="false">IFERROR(AA387/AC387,0)</f>
        <v>0</v>
      </c>
      <c r="AE387" s="25" t="n">
        <f aca="false">K387-Q387-X387</f>
        <v>0</v>
      </c>
      <c r="AF387" s="25" t="n">
        <f aca="false">Q387-AA387</f>
        <v>0</v>
      </c>
      <c r="AG387" s="20"/>
      <c r="AH387" s="26" t="n">
        <f aca="false">IFERROR(AG387/Q387,0)</f>
        <v>0</v>
      </c>
      <c r="AI387" s="27" t="n">
        <v>0</v>
      </c>
      <c r="AJ387" s="26" t="n">
        <f aca="false">IF(AI387&gt;0,AprCoef/SQRT(AI387),0)</f>
        <v>0</v>
      </c>
      <c r="AK387" s="24" t="n">
        <f aca="false">AI387*AJ387/365</f>
        <v>0</v>
      </c>
      <c r="AL387" s="24" t="n">
        <f aca="false">AD387</f>
        <v>0</v>
      </c>
      <c r="AM387" s="24" t="n">
        <f aca="false">AK387-AL387</f>
        <v>0</v>
      </c>
      <c r="AN387" s="28" t="str">
        <f aca="false">IF(A387&gt;=Hip3LaunchDate,"YES","")</f>
        <v/>
      </c>
      <c r="AO387" s="28" t="str">
        <f aca="false">IF(A387&lt;Hip4LaunchDate,"pre-launch","live (zero-fee)")</f>
        <v>pre-launch</v>
      </c>
      <c r="AP387" s="20"/>
      <c r="AQ387" s="20"/>
      <c r="AR387" s="20"/>
    </row>
    <row r="388" customFormat="false" ht="15" hidden="false" customHeight="false" outlineLevel="0" collapsed="false">
      <c r="A388" s="18" t="n">
        <v>45449</v>
      </c>
      <c r="B388" s="19" t="n">
        <v>709608664.87</v>
      </c>
      <c r="C388" s="19" t="n">
        <v>0</v>
      </c>
      <c r="D388" s="20"/>
      <c r="E388" s="21" t="n">
        <f aca="false">B388+C388</f>
        <v>709608664.87</v>
      </c>
      <c r="F388" s="21" t="n">
        <f aca="false">E388+D388</f>
        <v>709608664.87</v>
      </c>
      <c r="G388" s="22" t="n">
        <f aca="false">IFERROR(C388/E388,0)</f>
        <v>0</v>
      </c>
      <c r="H388" s="20"/>
      <c r="I388" s="20"/>
      <c r="J388" s="20"/>
      <c r="K388" s="21" t="n">
        <f aca="false">H388+I388</f>
        <v>0</v>
      </c>
      <c r="L388" s="20"/>
      <c r="M388" s="21" t="n">
        <f aca="false">H388-L388</f>
        <v>0</v>
      </c>
      <c r="N388" s="23" t="n">
        <f aca="false">IFERROR(M388/B388*10000,0)</f>
        <v>0</v>
      </c>
      <c r="O388" s="20"/>
      <c r="P388" s="20"/>
      <c r="Q388" s="21" t="n">
        <f aca="false">O388+P388</f>
        <v>0</v>
      </c>
      <c r="R388" s="22" t="n">
        <f aca="false">IF(A388&lt;HlpChangeDate,HlpSharePre,HlpSharePost)</f>
        <v>0.03</v>
      </c>
      <c r="S388" s="21" t="n">
        <f aca="false">Q388*R388/(1-R388)</f>
        <v>0</v>
      </c>
      <c r="T388" s="20"/>
      <c r="U388" s="21" t="n">
        <f aca="false">S388-T388</f>
        <v>0</v>
      </c>
      <c r="V388" s="21" t="n">
        <f aca="false">Y388-O388*R388/(1-R388)</f>
        <v>0</v>
      </c>
      <c r="W388" s="21" t="n">
        <f aca="false">Z388-P388*R388/(1-R388)</f>
        <v>0</v>
      </c>
      <c r="X388" s="21" t="n">
        <f aca="false">S388+V388+W388</f>
        <v>0</v>
      </c>
      <c r="Y388" s="20"/>
      <c r="Z388" s="20"/>
      <c r="AA388" s="19" t="n">
        <v>0</v>
      </c>
      <c r="AB388" s="20"/>
      <c r="AC388" s="20"/>
      <c r="AD388" s="24" t="n">
        <f aca="false">IFERROR(AA388/AC388,0)</f>
        <v>0</v>
      </c>
      <c r="AE388" s="25" t="n">
        <f aca="false">K388-Q388-X388</f>
        <v>0</v>
      </c>
      <c r="AF388" s="25" t="n">
        <f aca="false">Q388-AA388</f>
        <v>0</v>
      </c>
      <c r="AG388" s="20"/>
      <c r="AH388" s="26" t="n">
        <f aca="false">IFERROR(AG388/Q388,0)</f>
        <v>0</v>
      </c>
      <c r="AI388" s="27" t="n">
        <v>0</v>
      </c>
      <c r="AJ388" s="26" t="n">
        <f aca="false">IF(AI388&gt;0,AprCoef/SQRT(AI388),0)</f>
        <v>0</v>
      </c>
      <c r="AK388" s="24" t="n">
        <f aca="false">AI388*AJ388/365</f>
        <v>0</v>
      </c>
      <c r="AL388" s="24" t="n">
        <f aca="false">AD388</f>
        <v>0</v>
      </c>
      <c r="AM388" s="24" t="n">
        <f aca="false">AK388-AL388</f>
        <v>0</v>
      </c>
      <c r="AN388" s="28" t="str">
        <f aca="false">IF(A388&gt;=Hip3LaunchDate,"YES","")</f>
        <v/>
      </c>
      <c r="AO388" s="28" t="str">
        <f aca="false">IF(A388&lt;Hip4LaunchDate,"pre-launch","live (zero-fee)")</f>
        <v>pre-launch</v>
      </c>
      <c r="AP388" s="20"/>
      <c r="AQ388" s="20"/>
      <c r="AR388" s="20"/>
    </row>
    <row r="389" customFormat="false" ht="15" hidden="false" customHeight="false" outlineLevel="0" collapsed="false">
      <c r="A389" s="18" t="n">
        <v>45450</v>
      </c>
      <c r="B389" s="19" t="n">
        <v>1380410060.71</v>
      </c>
      <c r="C389" s="19" t="n">
        <v>0</v>
      </c>
      <c r="D389" s="20"/>
      <c r="E389" s="21" t="n">
        <f aca="false">B389+C389</f>
        <v>1380410060.71</v>
      </c>
      <c r="F389" s="21" t="n">
        <f aca="false">E389+D389</f>
        <v>1380410060.71</v>
      </c>
      <c r="G389" s="22" t="n">
        <f aca="false">IFERROR(C389/E389,0)</f>
        <v>0</v>
      </c>
      <c r="H389" s="20"/>
      <c r="I389" s="20"/>
      <c r="J389" s="20"/>
      <c r="K389" s="21" t="n">
        <f aca="false">H389+I389</f>
        <v>0</v>
      </c>
      <c r="L389" s="20"/>
      <c r="M389" s="21" t="n">
        <f aca="false">H389-L389</f>
        <v>0</v>
      </c>
      <c r="N389" s="23" t="n">
        <f aca="false">IFERROR(M389/B389*10000,0)</f>
        <v>0</v>
      </c>
      <c r="O389" s="20"/>
      <c r="P389" s="20"/>
      <c r="Q389" s="21" t="n">
        <f aca="false">O389+P389</f>
        <v>0</v>
      </c>
      <c r="R389" s="22" t="n">
        <f aca="false">IF(A389&lt;HlpChangeDate,HlpSharePre,HlpSharePost)</f>
        <v>0.03</v>
      </c>
      <c r="S389" s="21" t="n">
        <f aca="false">Q389*R389/(1-R389)</f>
        <v>0</v>
      </c>
      <c r="T389" s="20"/>
      <c r="U389" s="21" t="n">
        <f aca="false">S389-T389</f>
        <v>0</v>
      </c>
      <c r="V389" s="21" t="n">
        <f aca="false">Y389-O389*R389/(1-R389)</f>
        <v>0</v>
      </c>
      <c r="W389" s="21" t="n">
        <f aca="false">Z389-P389*R389/(1-R389)</f>
        <v>0</v>
      </c>
      <c r="X389" s="21" t="n">
        <f aca="false">S389+V389+W389</f>
        <v>0</v>
      </c>
      <c r="Y389" s="20"/>
      <c r="Z389" s="20"/>
      <c r="AA389" s="19" t="n">
        <v>0</v>
      </c>
      <c r="AB389" s="20"/>
      <c r="AC389" s="20"/>
      <c r="AD389" s="24" t="n">
        <f aca="false">IFERROR(AA389/AC389,0)</f>
        <v>0</v>
      </c>
      <c r="AE389" s="25" t="n">
        <f aca="false">K389-Q389-X389</f>
        <v>0</v>
      </c>
      <c r="AF389" s="25" t="n">
        <f aca="false">Q389-AA389</f>
        <v>0</v>
      </c>
      <c r="AG389" s="20"/>
      <c r="AH389" s="26" t="n">
        <f aca="false">IFERROR(AG389/Q389,0)</f>
        <v>0</v>
      </c>
      <c r="AI389" s="27" t="n">
        <v>0</v>
      </c>
      <c r="AJ389" s="26" t="n">
        <f aca="false">IF(AI389&gt;0,AprCoef/SQRT(AI389),0)</f>
        <v>0</v>
      </c>
      <c r="AK389" s="24" t="n">
        <f aca="false">AI389*AJ389/365</f>
        <v>0</v>
      </c>
      <c r="AL389" s="24" t="n">
        <f aca="false">AD389</f>
        <v>0</v>
      </c>
      <c r="AM389" s="24" t="n">
        <f aca="false">AK389-AL389</f>
        <v>0</v>
      </c>
      <c r="AN389" s="28" t="str">
        <f aca="false">IF(A389&gt;=Hip3LaunchDate,"YES","")</f>
        <v/>
      </c>
      <c r="AO389" s="28" t="str">
        <f aca="false">IF(A389&lt;Hip4LaunchDate,"pre-launch","live (zero-fee)")</f>
        <v>pre-launch</v>
      </c>
      <c r="AP389" s="20"/>
      <c r="AQ389" s="20"/>
      <c r="AR389" s="20"/>
    </row>
    <row r="390" customFormat="false" ht="15" hidden="false" customHeight="false" outlineLevel="0" collapsed="false">
      <c r="A390" s="18" t="n">
        <v>45451</v>
      </c>
      <c r="B390" s="19" t="n">
        <v>383364119.46</v>
      </c>
      <c r="C390" s="19" t="n">
        <v>0</v>
      </c>
      <c r="D390" s="20"/>
      <c r="E390" s="21" t="n">
        <f aca="false">B390+C390</f>
        <v>383364119.46</v>
      </c>
      <c r="F390" s="21" t="n">
        <f aca="false">E390+D390</f>
        <v>383364119.46</v>
      </c>
      <c r="G390" s="22" t="n">
        <f aca="false">IFERROR(C390/E390,0)</f>
        <v>0</v>
      </c>
      <c r="H390" s="20"/>
      <c r="I390" s="20"/>
      <c r="J390" s="20"/>
      <c r="K390" s="21" t="n">
        <f aca="false">H390+I390</f>
        <v>0</v>
      </c>
      <c r="L390" s="20"/>
      <c r="M390" s="21" t="n">
        <f aca="false">H390-L390</f>
        <v>0</v>
      </c>
      <c r="N390" s="23" t="n">
        <f aca="false">IFERROR(M390/B390*10000,0)</f>
        <v>0</v>
      </c>
      <c r="O390" s="20"/>
      <c r="P390" s="20"/>
      <c r="Q390" s="21" t="n">
        <f aca="false">O390+P390</f>
        <v>0</v>
      </c>
      <c r="R390" s="22" t="n">
        <f aca="false">IF(A390&lt;HlpChangeDate,HlpSharePre,HlpSharePost)</f>
        <v>0.03</v>
      </c>
      <c r="S390" s="21" t="n">
        <f aca="false">Q390*R390/(1-R390)</f>
        <v>0</v>
      </c>
      <c r="T390" s="20"/>
      <c r="U390" s="21" t="n">
        <f aca="false">S390-T390</f>
        <v>0</v>
      </c>
      <c r="V390" s="21" t="n">
        <f aca="false">Y390-O390*R390/(1-R390)</f>
        <v>0</v>
      </c>
      <c r="W390" s="21" t="n">
        <f aca="false">Z390-P390*R390/(1-R390)</f>
        <v>0</v>
      </c>
      <c r="X390" s="21" t="n">
        <f aca="false">S390+V390+W390</f>
        <v>0</v>
      </c>
      <c r="Y390" s="20"/>
      <c r="Z390" s="20"/>
      <c r="AA390" s="19" t="n">
        <v>0</v>
      </c>
      <c r="AB390" s="20"/>
      <c r="AC390" s="20"/>
      <c r="AD390" s="24" t="n">
        <f aca="false">IFERROR(AA390/AC390,0)</f>
        <v>0</v>
      </c>
      <c r="AE390" s="25" t="n">
        <f aca="false">K390-Q390-X390</f>
        <v>0</v>
      </c>
      <c r="AF390" s="25" t="n">
        <f aca="false">Q390-AA390</f>
        <v>0</v>
      </c>
      <c r="AG390" s="20"/>
      <c r="AH390" s="26" t="n">
        <f aca="false">IFERROR(AG390/Q390,0)</f>
        <v>0</v>
      </c>
      <c r="AI390" s="27" t="n">
        <v>0</v>
      </c>
      <c r="AJ390" s="26" t="n">
        <f aca="false">IF(AI390&gt;0,AprCoef/SQRT(AI390),0)</f>
        <v>0</v>
      </c>
      <c r="AK390" s="24" t="n">
        <f aca="false">AI390*AJ390/365</f>
        <v>0</v>
      </c>
      <c r="AL390" s="24" t="n">
        <f aca="false">AD390</f>
        <v>0</v>
      </c>
      <c r="AM390" s="24" t="n">
        <f aca="false">AK390-AL390</f>
        <v>0</v>
      </c>
      <c r="AN390" s="28" t="str">
        <f aca="false">IF(A390&gt;=Hip3LaunchDate,"YES","")</f>
        <v/>
      </c>
      <c r="AO390" s="28" t="str">
        <f aca="false">IF(A390&lt;Hip4LaunchDate,"pre-launch","live (zero-fee)")</f>
        <v>pre-launch</v>
      </c>
      <c r="AP390" s="20"/>
      <c r="AQ390" s="20"/>
      <c r="AR390" s="20"/>
    </row>
    <row r="391" customFormat="false" ht="15" hidden="false" customHeight="false" outlineLevel="0" collapsed="false">
      <c r="A391" s="18" t="n">
        <v>45452</v>
      </c>
      <c r="B391" s="19" t="n">
        <v>327671990.06</v>
      </c>
      <c r="C391" s="19" t="n">
        <v>0</v>
      </c>
      <c r="D391" s="20"/>
      <c r="E391" s="21" t="n">
        <f aca="false">B391+C391</f>
        <v>327671990.06</v>
      </c>
      <c r="F391" s="21" t="n">
        <f aca="false">E391+D391</f>
        <v>327671990.06</v>
      </c>
      <c r="G391" s="22" t="n">
        <f aca="false">IFERROR(C391/E391,0)</f>
        <v>0</v>
      </c>
      <c r="H391" s="20"/>
      <c r="I391" s="20"/>
      <c r="J391" s="20"/>
      <c r="K391" s="21" t="n">
        <f aca="false">H391+I391</f>
        <v>0</v>
      </c>
      <c r="L391" s="20"/>
      <c r="M391" s="21" t="n">
        <f aca="false">H391-L391</f>
        <v>0</v>
      </c>
      <c r="N391" s="23" t="n">
        <f aca="false">IFERROR(M391/B391*10000,0)</f>
        <v>0</v>
      </c>
      <c r="O391" s="20"/>
      <c r="P391" s="20"/>
      <c r="Q391" s="21" t="n">
        <f aca="false">O391+P391</f>
        <v>0</v>
      </c>
      <c r="R391" s="22" t="n">
        <f aca="false">IF(A391&lt;HlpChangeDate,HlpSharePre,HlpSharePost)</f>
        <v>0.03</v>
      </c>
      <c r="S391" s="21" t="n">
        <f aca="false">Q391*R391/(1-R391)</f>
        <v>0</v>
      </c>
      <c r="T391" s="20"/>
      <c r="U391" s="21" t="n">
        <f aca="false">S391-T391</f>
        <v>0</v>
      </c>
      <c r="V391" s="21" t="n">
        <f aca="false">Y391-O391*R391/(1-R391)</f>
        <v>0</v>
      </c>
      <c r="W391" s="21" t="n">
        <f aca="false">Z391-P391*R391/(1-R391)</f>
        <v>0</v>
      </c>
      <c r="X391" s="21" t="n">
        <f aca="false">S391+V391+W391</f>
        <v>0</v>
      </c>
      <c r="Y391" s="20"/>
      <c r="Z391" s="20"/>
      <c r="AA391" s="19" t="n">
        <v>0</v>
      </c>
      <c r="AB391" s="20"/>
      <c r="AC391" s="20"/>
      <c r="AD391" s="24" t="n">
        <f aca="false">IFERROR(AA391/AC391,0)</f>
        <v>0</v>
      </c>
      <c r="AE391" s="25" t="n">
        <f aca="false">K391-Q391-X391</f>
        <v>0</v>
      </c>
      <c r="AF391" s="25" t="n">
        <f aca="false">Q391-AA391</f>
        <v>0</v>
      </c>
      <c r="AG391" s="20"/>
      <c r="AH391" s="26" t="n">
        <f aca="false">IFERROR(AG391/Q391,0)</f>
        <v>0</v>
      </c>
      <c r="AI391" s="27" t="n">
        <v>0</v>
      </c>
      <c r="AJ391" s="26" t="n">
        <f aca="false">IF(AI391&gt;0,AprCoef/SQRT(AI391),0)</f>
        <v>0</v>
      </c>
      <c r="AK391" s="24" t="n">
        <f aca="false">AI391*AJ391/365</f>
        <v>0</v>
      </c>
      <c r="AL391" s="24" t="n">
        <f aca="false">AD391</f>
        <v>0</v>
      </c>
      <c r="AM391" s="24" t="n">
        <f aca="false">AK391-AL391</f>
        <v>0</v>
      </c>
      <c r="AN391" s="28" t="str">
        <f aca="false">IF(A391&gt;=Hip3LaunchDate,"YES","")</f>
        <v/>
      </c>
      <c r="AO391" s="28" t="str">
        <f aca="false">IF(A391&lt;Hip4LaunchDate,"pre-launch","live (zero-fee)")</f>
        <v>pre-launch</v>
      </c>
      <c r="AP391" s="20"/>
      <c r="AQ391" s="20"/>
      <c r="AR391" s="20"/>
    </row>
    <row r="392" customFormat="false" ht="15" hidden="false" customHeight="false" outlineLevel="0" collapsed="false">
      <c r="A392" s="18" t="n">
        <v>45453</v>
      </c>
      <c r="B392" s="19" t="n">
        <v>592210238.12</v>
      </c>
      <c r="C392" s="19" t="n">
        <v>0</v>
      </c>
      <c r="D392" s="20"/>
      <c r="E392" s="21" t="n">
        <f aca="false">B392+C392</f>
        <v>592210238.12</v>
      </c>
      <c r="F392" s="21" t="n">
        <f aca="false">E392+D392</f>
        <v>592210238.12</v>
      </c>
      <c r="G392" s="22" t="n">
        <f aca="false">IFERROR(C392/E392,0)</f>
        <v>0</v>
      </c>
      <c r="H392" s="20"/>
      <c r="I392" s="20"/>
      <c r="J392" s="20"/>
      <c r="K392" s="21" t="n">
        <f aca="false">H392+I392</f>
        <v>0</v>
      </c>
      <c r="L392" s="20"/>
      <c r="M392" s="21" t="n">
        <f aca="false">H392-L392</f>
        <v>0</v>
      </c>
      <c r="N392" s="23" t="n">
        <f aca="false">IFERROR(M392/B392*10000,0)</f>
        <v>0</v>
      </c>
      <c r="O392" s="20"/>
      <c r="P392" s="20"/>
      <c r="Q392" s="21" t="n">
        <f aca="false">O392+P392</f>
        <v>0</v>
      </c>
      <c r="R392" s="22" t="n">
        <f aca="false">IF(A392&lt;HlpChangeDate,HlpSharePre,HlpSharePost)</f>
        <v>0.03</v>
      </c>
      <c r="S392" s="21" t="n">
        <f aca="false">Q392*R392/(1-R392)</f>
        <v>0</v>
      </c>
      <c r="T392" s="20"/>
      <c r="U392" s="21" t="n">
        <f aca="false">S392-T392</f>
        <v>0</v>
      </c>
      <c r="V392" s="21" t="n">
        <f aca="false">Y392-O392*R392/(1-R392)</f>
        <v>0</v>
      </c>
      <c r="W392" s="21" t="n">
        <f aca="false">Z392-P392*R392/(1-R392)</f>
        <v>0</v>
      </c>
      <c r="X392" s="21" t="n">
        <f aca="false">S392+V392+W392</f>
        <v>0</v>
      </c>
      <c r="Y392" s="20"/>
      <c r="Z392" s="20"/>
      <c r="AA392" s="19" t="n">
        <v>0</v>
      </c>
      <c r="AB392" s="20"/>
      <c r="AC392" s="20"/>
      <c r="AD392" s="24" t="n">
        <f aca="false">IFERROR(AA392/AC392,0)</f>
        <v>0</v>
      </c>
      <c r="AE392" s="25" t="n">
        <f aca="false">K392-Q392-X392</f>
        <v>0</v>
      </c>
      <c r="AF392" s="25" t="n">
        <f aca="false">Q392-AA392</f>
        <v>0</v>
      </c>
      <c r="AG392" s="20"/>
      <c r="AH392" s="26" t="n">
        <f aca="false">IFERROR(AG392/Q392,0)</f>
        <v>0</v>
      </c>
      <c r="AI392" s="27" t="n">
        <v>0</v>
      </c>
      <c r="AJ392" s="26" t="n">
        <f aca="false">IF(AI392&gt;0,AprCoef/SQRT(AI392),0)</f>
        <v>0</v>
      </c>
      <c r="AK392" s="24" t="n">
        <f aca="false">AI392*AJ392/365</f>
        <v>0</v>
      </c>
      <c r="AL392" s="24" t="n">
        <f aca="false">AD392</f>
        <v>0</v>
      </c>
      <c r="AM392" s="24" t="n">
        <f aca="false">AK392-AL392</f>
        <v>0</v>
      </c>
      <c r="AN392" s="28" t="str">
        <f aca="false">IF(A392&gt;=Hip3LaunchDate,"YES","")</f>
        <v/>
      </c>
      <c r="AO392" s="28" t="str">
        <f aca="false">IF(A392&lt;Hip4LaunchDate,"pre-launch","live (zero-fee)")</f>
        <v>pre-launch</v>
      </c>
      <c r="AP392" s="20"/>
      <c r="AQ392" s="20"/>
      <c r="AR392" s="20"/>
    </row>
    <row r="393" customFormat="false" ht="15" hidden="false" customHeight="false" outlineLevel="0" collapsed="false">
      <c r="A393" s="18" t="n">
        <v>45454</v>
      </c>
      <c r="B393" s="19" t="n">
        <v>1281500287.66</v>
      </c>
      <c r="C393" s="19" t="n">
        <v>0</v>
      </c>
      <c r="D393" s="20"/>
      <c r="E393" s="21" t="n">
        <f aca="false">B393+C393</f>
        <v>1281500287.66</v>
      </c>
      <c r="F393" s="21" t="n">
        <f aca="false">E393+D393</f>
        <v>1281500287.66</v>
      </c>
      <c r="G393" s="22" t="n">
        <f aca="false">IFERROR(C393/E393,0)</f>
        <v>0</v>
      </c>
      <c r="H393" s="20"/>
      <c r="I393" s="20"/>
      <c r="J393" s="20"/>
      <c r="K393" s="21" t="n">
        <f aca="false">H393+I393</f>
        <v>0</v>
      </c>
      <c r="L393" s="20"/>
      <c r="M393" s="21" t="n">
        <f aca="false">H393-L393</f>
        <v>0</v>
      </c>
      <c r="N393" s="23" t="n">
        <f aca="false">IFERROR(M393/B393*10000,0)</f>
        <v>0</v>
      </c>
      <c r="O393" s="20"/>
      <c r="P393" s="20"/>
      <c r="Q393" s="21" t="n">
        <f aca="false">O393+P393</f>
        <v>0</v>
      </c>
      <c r="R393" s="22" t="n">
        <f aca="false">IF(A393&lt;HlpChangeDate,HlpSharePre,HlpSharePost)</f>
        <v>0.03</v>
      </c>
      <c r="S393" s="21" t="n">
        <f aca="false">Q393*R393/(1-R393)</f>
        <v>0</v>
      </c>
      <c r="T393" s="20"/>
      <c r="U393" s="21" t="n">
        <f aca="false">S393-T393</f>
        <v>0</v>
      </c>
      <c r="V393" s="21" t="n">
        <f aca="false">Y393-O393*R393/(1-R393)</f>
        <v>0</v>
      </c>
      <c r="W393" s="21" t="n">
        <f aca="false">Z393-P393*R393/(1-R393)</f>
        <v>0</v>
      </c>
      <c r="X393" s="21" t="n">
        <f aca="false">S393+V393+W393</f>
        <v>0</v>
      </c>
      <c r="Y393" s="20"/>
      <c r="Z393" s="20"/>
      <c r="AA393" s="19" t="n">
        <v>0</v>
      </c>
      <c r="AB393" s="20"/>
      <c r="AC393" s="20"/>
      <c r="AD393" s="24" t="n">
        <f aca="false">IFERROR(AA393/AC393,0)</f>
        <v>0</v>
      </c>
      <c r="AE393" s="25" t="n">
        <f aca="false">K393-Q393-X393</f>
        <v>0</v>
      </c>
      <c r="AF393" s="25" t="n">
        <f aca="false">Q393-AA393</f>
        <v>0</v>
      </c>
      <c r="AG393" s="20"/>
      <c r="AH393" s="26" t="n">
        <f aca="false">IFERROR(AG393/Q393,0)</f>
        <v>0</v>
      </c>
      <c r="AI393" s="27" t="n">
        <v>0</v>
      </c>
      <c r="AJ393" s="26" t="n">
        <f aca="false">IF(AI393&gt;0,AprCoef/SQRT(AI393),0)</f>
        <v>0</v>
      </c>
      <c r="AK393" s="24" t="n">
        <f aca="false">AI393*AJ393/365</f>
        <v>0</v>
      </c>
      <c r="AL393" s="24" t="n">
        <f aca="false">AD393</f>
        <v>0</v>
      </c>
      <c r="AM393" s="24" t="n">
        <f aca="false">AK393-AL393</f>
        <v>0</v>
      </c>
      <c r="AN393" s="28" t="str">
        <f aca="false">IF(A393&gt;=Hip3LaunchDate,"YES","")</f>
        <v/>
      </c>
      <c r="AO393" s="28" t="str">
        <f aca="false">IF(A393&lt;Hip4LaunchDate,"pre-launch","live (zero-fee)")</f>
        <v>pre-launch</v>
      </c>
      <c r="AP393" s="20"/>
      <c r="AQ393" s="20"/>
      <c r="AR393" s="20"/>
    </row>
    <row r="394" customFormat="false" ht="15" hidden="false" customHeight="false" outlineLevel="0" collapsed="false">
      <c r="A394" s="18" t="n">
        <v>45455</v>
      </c>
      <c r="B394" s="19" t="n">
        <v>1384737037.74</v>
      </c>
      <c r="C394" s="19" t="n">
        <v>0</v>
      </c>
      <c r="D394" s="20"/>
      <c r="E394" s="21" t="n">
        <f aca="false">B394+C394</f>
        <v>1384737037.74</v>
      </c>
      <c r="F394" s="21" t="n">
        <f aca="false">E394+D394</f>
        <v>1384737037.74</v>
      </c>
      <c r="G394" s="22" t="n">
        <f aca="false">IFERROR(C394/E394,0)</f>
        <v>0</v>
      </c>
      <c r="H394" s="20"/>
      <c r="I394" s="20"/>
      <c r="J394" s="20"/>
      <c r="K394" s="21" t="n">
        <f aca="false">H394+I394</f>
        <v>0</v>
      </c>
      <c r="L394" s="20"/>
      <c r="M394" s="21" t="n">
        <f aca="false">H394-L394</f>
        <v>0</v>
      </c>
      <c r="N394" s="23" t="n">
        <f aca="false">IFERROR(M394/B394*10000,0)</f>
        <v>0</v>
      </c>
      <c r="O394" s="20"/>
      <c r="P394" s="20"/>
      <c r="Q394" s="21" t="n">
        <f aca="false">O394+P394</f>
        <v>0</v>
      </c>
      <c r="R394" s="22" t="n">
        <f aca="false">IF(A394&lt;HlpChangeDate,HlpSharePre,HlpSharePost)</f>
        <v>0.03</v>
      </c>
      <c r="S394" s="21" t="n">
        <f aca="false">Q394*R394/(1-R394)</f>
        <v>0</v>
      </c>
      <c r="T394" s="20"/>
      <c r="U394" s="21" t="n">
        <f aca="false">S394-T394</f>
        <v>0</v>
      </c>
      <c r="V394" s="21" t="n">
        <f aca="false">Y394-O394*R394/(1-R394)</f>
        <v>0</v>
      </c>
      <c r="W394" s="21" t="n">
        <f aca="false">Z394-P394*R394/(1-R394)</f>
        <v>0</v>
      </c>
      <c r="X394" s="21" t="n">
        <f aca="false">S394+V394+W394</f>
        <v>0</v>
      </c>
      <c r="Y394" s="20"/>
      <c r="Z394" s="20"/>
      <c r="AA394" s="19" t="n">
        <v>0</v>
      </c>
      <c r="AB394" s="20"/>
      <c r="AC394" s="20"/>
      <c r="AD394" s="24" t="n">
        <f aca="false">IFERROR(AA394/AC394,0)</f>
        <v>0</v>
      </c>
      <c r="AE394" s="25" t="n">
        <f aca="false">K394-Q394-X394</f>
        <v>0</v>
      </c>
      <c r="AF394" s="25" t="n">
        <f aca="false">Q394-AA394</f>
        <v>0</v>
      </c>
      <c r="AG394" s="20"/>
      <c r="AH394" s="26" t="n">
        <f aca="false">IFERROR(AG394/Q394,0)</f>
        <v>0</v>
      </c>
      <c r="AI394" s="27" t="n">
        <v>0</v>
      </c>
      <c r="AJ394" s="26" t="n">
        <f aca="false">IF(AI394&gt;0,AprCoef/SQRT(AI394),0)</f>
        <v>0</v>
      </c>
      <c r="AK394" s="24" t="n">
        <f aca="false">AI394*AJ394/365</f>
        <v>0</v>
      </c>
      <c r="AL394" s="24" t="n">
        <f aca="false">AD394</f>
        <v>0</v>
      </c>
      <c r="AM394" s="24" t="n">
        <f aca="false">AK394-AL394</f>
        <v>0</v>
      </c>
      <c r="AN394" s="28" t="str">
        <f aca="false">IF(A394&gt;=Hip3LaunchDate,"YES","")</f>
        <v/>
      </c>
      <c r="AO394" s="28" t="str">
        <f aca="false">IF(A394&lt;Hip4LaunchDate,"pre-launch","live (zero-fee)")</f>
        <v>pre-launch</v>
      </c>
      <c r="AP394" s="20"/>
      <c r="AQ394" s="20"/>
      <c r="AR394" s="20"/>
    </row>
    <row r="395" customFormat="false" ht="15" hidden="false" customHeight="false" outlineLevel="0" collapsed="false">
      <c r="A395" s="18" t="n">
        <v>45456</v>
      </c>
      <c r="B395" s="19" t="n">
        <v>1045766312.35</v>
      </c>
      <c r="C395" s="19" t="n">
        <v>0</v>
      </c>
      <c r="D395" s="20"/>
      <c r="E395" s="21" t="n">
        <f aca="false">B395+C395</f>
        <v>1045766312.35</v>
      </c>
      <c r="F395" s="21" t="n">
        <f aca="false">E395+D395</f>
        <v>1045766312.35</v>
      </c>
      <c r="G395" s="22" t="n">
        <f aca="false">IFERROR(C395/E395,0)</f>
        <v>0</v>
      </c>
      <c r="H395" s="20"/>
      <c r="I395" s="20"/>
      <c r="J395" s="20"/>
      <c r="K395" s="21" t="n">
        <f aca="false">H395+I395</f>
        <v>0</v>
      </c>
      <c r="L395" s="20"/>
      <c r="M395" s="21" t="n">
        <f aca="false">H395-L395</f>
        <v>0</v>
      </c>
      <c r="N395" s="23" t="n">
        <f aca="false">IFERROR(M395/B395*10000,0)</f>
        <v>0</v>
      </c>
      <c r="O395" s="20"/>
      <c r="P395" s="20"/>
      <c r="Q395" s="21" t="n">
        <f aca="false">O395+P395</f>
        <v>0</v>
      </c>
      <c r="R395" s="22" t="n">
        <f aca="false">IF(A395&lt;HlpChangeDate,HlpSharePre,HlpSharePost)</f>
        <v>0.03</v>
      </c>
      <c r="S395" s="21" t="n">
        <f aca="false">Q395*R395/(1-R395)</f>
        <v>0</v>
      </c>
      <c r="T395" s="20"/>
      <c r="U395" s="21" t="n">
        <f aca="false">S395-T395</f>
        <v>0</v>
      </c>
      <c r="V395" s="21" t="n">
        <f aca="false">Y395-O395*R395/(1-R395)</f>
        <v>0</v>
      </c>
      <c r="W395" s="21" t="n">
        <f aca="false">Z395-P395*R395/(1-R395)</f>
        <v>0</v>
      </c>
      <c r="X395" s="21" t="n">
        <f aca="false">S395+V395+W395</f>
        <v>0</v>
      </c>
      <c r="Y395" s="20"/>
      <c r="Z395" s="20"/>
      <c r="AA395" s="19" t="n">
        <v>0</v>
      </c>
      <c r="AB395" s="20"/>
      <c r="AC395" s="20"/>
      <c r="AD395" s="24" t="n">
        <f aca="false">IFERROR(AA395/AC395,0)</f>
        <v>0</v>
      </c>
      <c r="AE395" s="25" t="n">
        <f aca="false">K395-Q395-X395</f>
        <v>0</v>
      </c>
      <c r="AF395" s="25" t="n">
        <f aca="false">Q395-AA395</f>
        <v>0</v>
      </c>
      <c r="AG395" s="20"/>
      <c r="AH395" s="26" t="n">
        <f aca="false">IFERROR(AG395/Q395,0)</f>
        <v>0</v>
      </c>
      <c r="AI395" s="27" t="n">
        <v>0</v>
      </c>
      <c r="AJ395" s="26" t="n">
        <f aca="false">IF(AI395&gt;0,AprCoef/SQRT(AI395),0)</f>
        <v>0</v>
      </c>
      <c r="AK395" s="24" t="n">
        <f aca="false">AI395*AJ395/365</f>
        <v>0</v>
      </c>
      <c r="AL395" s="24" t="n">
        <f aca="false">AD395</f>
        <v>0</v>
      </c>
      <c r="AM395" s="24" t="n">
        <f aca="false">AK395-AL395</f>
        <v>0</v>
      </c>
      <c r="AN395" s="28" t="str">
        <f aca="false">IF(A395&gt;=Hip3LaunchDate,"YES","")</f>
        <v/>
      </c>
      <c r="AO395" s="28" t="str">
        <f aca="false">IF(A395&lt;Hip4LaunchDate,"pre-launch","live (zero-fee)")</f>
        <v>pre-launch</v>
      </c>
      <c r="AP395" s="20"/>
      <c r="AQ395" s="20"/>
      <c r="AR395" s="20"/>
    </row>
    <row r="396" customFormat="false" ht="15" hidden="false" customHeight="false" outlineLevel="0" collapsed="false">
      <c r="A396" s="18" t="n">
        <v>45457</v>
      </c>
      <c r="B396" s="19" t="n">
        <v>1191566426.61</v>
      </c>
      <c r="C396" s="19" t="n">
        <v>0</v>
      </c>
      <c r="D396" s="20"/>
      <c r="E396" s="21" t="n">
        <f aca="false">B396+C396</f>
        <v>1191566426.61</v>
      </c>
      <c r="F396" s="21" t="n">
        <f aca="false">E396+D396</f>
        <v>1191566426.61</v>
      </c>
      <c r="G396" s="22" t="n">
        <f aca="false">IFERROR(C396/E396,0)</f>
        <v>0</v>
      </c>
      <c r="H396" s="20"/>
      <c r="I396" s="20"/>
      <c r="J396" s="20"/>
      <c r="K396" s="21" t="n">
        <f aca="false">H396+I396</f>
        <v>0</v>
      </c>
      <c r="L396" s="20"/>
      <c r="M396" s="21" t="n">
        <f aca="false">H396-L396</f>
        <v>0</v>
      </c>
      <c r="N396" s="23" t="n">
        <f aca="false">IFERROR(M396/B396*10000,0)</f>
        <v>0</v>
      </c>
      <c r="O396" s="20"/>
      <c r="P396" s="20"/>
      <c r="Q396" s="21" t="n">
        <f aca="false">O396+P396</f>
        <v>0</v>
      </c>
      <c r="R396" s="22" t="n">
        <f aca="false">IF(A396&lt;HlpChangeDate,HlpSharePre,HlpSharePost)</f>
        <v>0.03</v>
      </c>
      <c r="S396" s="21" t="n">
        <f aca="false">Q396*R396/(1-R396)</f>
        <v>0</v>
      </c>
      <c r="T396" s="20"/>
      <c r="U396" s="21" t="n">
        <f aca="false">S396-T396</f>
        <v>0</v>
      </c>
      <c r="V396" s="21" t="n">
        <f aca="false">Y396-O396*R396/(1-R396)</f>
        <v>0</v>
      </c>
      <c r="W396" s="21" t="n">
        <f aca="false">Z396-P396*R396/(1-R396)</f>
        <v>0</v>
      </c>
      <c r="X396" s="21" t="n">
        <f aca="false">S396+V396+W396</f>
        <v>0</v>
      </c>
      <c r="Y396" s="20"/>
      <c r="Z396" s="20"/>
      <c r="AA396" s="19" t="n">
        <v>0</v>
      </c>
      <c r="AB396" s="20"/>
      <c r="AC396" s="20"/>
      <c r="AD396" s="24" t="n">
        <f aca="false">IFERROR(AA396/AC396,0)</f>
        <v>0</v>
      </c>
      <c r="AE396" s="25" t="n">
        <f aca="false">K396-Q396-X396</f>
        <v>0</v>
      </c>
      <c r="AF396" s="25" t="n">
        <f aca="false">Q396-AA396</f>
        <v>0</v>
      </c>
      <c r="AG396" s="20"/>
      <c r="AH396" s="26" t="n">
        <f aca="false">IFERROR(AG396/Q396,0)</f>
        <v>0</v>
      </c>
      <c r="AI396" s="27" t="n">
        <v>0</v>
      </c>
      <c r="AJ396" s="26" t="n">
        <f aca="false">IF(AI396&gt;0,AprCoef/SQRT(AI396),0)</f>
        <v>0</v>
      </c>
      <c r="AK396" s="24" t="n">
        <f aca="false">AI396*AJ396/365</f>
        <v>0</v>
      </c>
      <c r="AL396" s="24" t="n">
        <f aca="false">AD396</f>
        <v>0</v>
      </c>
      <c r="AM396" s="24" t="n">
        <f aca="false">AK396-AL396</f>
        <v>0</v>
      </c>
      <c r="AN396" s="28" t="str">
        <f aca="false">IF(A396&gt;=Hip3LaunchDate,"YES","")</f>
        <v/>
      </c>
      <c r="AO396" s="28" t="str">
        <f aca="false">IF(A396&lt;Hip4LaunchDate,"pre-launch","live (zero-fee)")</f>
        <v>pre-launch</v>
      </c>
      <c r="AP396" s="20"/>
      <c r="AQ396" s="20"/>
      <c r="AR396" s="20"/>
    </row>
    <row r="397" customFormat="false" ht="15" hidden="false" customHeight="false" outlineLevel="0" collapsed="false">
      <c r="A397" s="18" t="n">
        <v>45458</v>
      </c>
      <c r="B397" s="19" t="n">
        <v>487358637.98</v>
      </c>
      <c r="C397" s="19" t="n">
        <v>0</v>
      </c>
      <c r="D397" s="20"/>
      <c r="E397" s="21" t="n">
        <f aca="false">B397+C397</f>
        <v>487358637.98</v>
      </c>
      <c r="F397" s="21" t="n">
        <f aca="false">E397+D397</f>
        <v>487358637.98</v>
      </c>
      <c r="G397" s="22" t="n">
        <f aca="false">IFERROR(C397/E397,0)</f>
        <v>0</v>
      </c>
      <c r="H397" s="20"/>
      <c r="I397" s="20"/>
      <c r="J397" s="20"/>
      <c r="K397" s="21" t="n">
        <f aca="false">H397+I397</f>
        <v>0</v>
      </c>
      <c r="L397" s="20"/>
      <c r="M397" s="21" t="n">
        <f aca="false">H397-L397</f>
        <v>0</v>
      </c>
      <c r="N397" s="23" t="n">
        <f aca="false">IFERROR(M397/B397*10000,0)</f>
        <v>0</v>
      </c>
      <c r="O397" s="20"/>
      <c r="P397" s="20"/>
      <c r="Q397" s="21" t="n">
        <f aca="false">O397+P397</f>
        <v>0</v>
      </c>
      <c r="R397" s="22" t="n">
        <f aca="false">IF(A397&lt;HlpChangeDate,HlpSharePre,HlpSharePost)</f>
        <v>0.03</v>
      </c>
      <c r="S397" s="21" t="n">
        <f aca="false">Q397*R397/(1-R397)</f>
        <v>0</v>
      </c>
      <c r="T397" s="20"/>
      <c r="U397" s="21" t="n">
        <f aca="false">S397-T397</f>
        <v>0</v>
      </c>
      <c r="V397" s="21" t="n">
        <f aca="false">Y397-O397*R397/(1-R397)</f>
        <v>0</v>
      </c>
      <c r="W397" s="21" t="n">
        <f aca="false">Z397-P397*R397/(1-R397)</f>
        <v>0</v>
      </c>
      <c r="X397" s="21" t="n">
        <f aca="false">S397+V397+W397</f>
        <v>0</v>
      </c>
      <c r="Y397" s="20"/>
      <c r="Z397" s="20"/>
      <c r="AA397" s="19" t="n">
        <v>0</v>
      </c>
      <c r="AB397" s="20"/>
      <c r="AC397" s="20"/>
      <c r="AD397" s="24" t="n">
        <f aca="false">IFERROR(AA397/AC397,0)</f>
        <v>0</v>
      </c>
      <c r="AE397" s="25" t="n">
        <f aca="false">K397-Q397-X397</f>
        <v>0</v>
      </c>
      <c r="AF397" s="25" t="n">
        <f aca="false">Q397-AA397</f>
        <v>0</v>
      </c>
      <c r="AG397" s="20"/>
      <c r="AH397" s="26" t="n">
        <f aca="false">IFERROR(AG397/Q397,0)</f>
        <v>0</v>
      </c>
      <c r="AI397" s="27" t="n">
        <v>0</v>
      </c>
      <c r="AJ397" s="26" t="n">
        <f aca="false">IF(AI397&gt;0,AprCoef/SQRT(AI397),0)</f>
        <v>0</v>
      </c>
      <c r="AK397" s="24" t="n">
        <f aca="false">AI397*AJ397/365</f>
        <v>0</v>
      </c>
      <c r="AL397" s="24" t="n">
        <f aca="false">AD397</f>
        <v>0</v>
      </c>
      <c r="AM397" s="24" t="n">
        <f aca="false">AK397-AL397</f>
        <v>0</v>
      </c>
      <c r="AN397" s="28" t="str">
        <f aca="false">IF(A397&gt;=Hip3LaunchDate,"YES","")</f>
        <v/>
      </c>
      <c r="AO397" s="28" t="str">
        <f aca="false">IF(A397&lt;Hip4LaunchDate,"pre-launch","live (zero-fee)")</f>
        <v>pre-launch</v>
      </c>
      <c r="AP397" s="20"/>
      <c r="AQ397" s="20"/>
      <c r="AR397" s="20"/>
    </row>
    <row r="398" customFormat="false" ht="15" hidden="false" customHeight="false" outlineLevel="0" collapsed="false">
      <c r="A398" s="18" t="n">
        <v>45459</v>
      </c>
      <c r="B398" s="19" t="n">
        <v>530330142.18</v>
      </c>
      <c r="C398" s="19" t="n">
        <v>0</v>
      </c>
      <c r="D398" s="20"/>
      <c r="E398" s="21" t="n">
        <f aca="false">B398+C398</f>
        <v>530330142.18</v>
      </c>
      <c r="F398" s="21" t="n">
        <f aca="false">E398+D398</f>
        <v>530330142.18</v>
      </c>
      <c r="G398" s="22" t="n">
        <f aca="false">IFERROR(C398/E398,0)</f>
        <v>0</v>
      </c>
      <c r="H398" s="20"/>
      <c r="I398" s="20"/>
      <c r="J398" s="20"/>
      <c r="K398" s="21" t="n">
        <f aca="false">H398+I398</f>
        <v>0</v>
      </c>
      <c r="L398" s="20"/>
      <c r="M398" s="21" t="n">
        <f aca="false">H398-L398</f>
        <v>0</v>
      </c>
      <c r="N398" s="23" t="n">
        <f aca="false">IFERROR(M398/B398*10000,0)</f>
        <v>0</v>
      </c>
      <c r="O398" s="20"/>
      <c r="P398" s="20"/>
      <c r="Q398" s="21" t="n">
        <f aca="false">O398+P398</f>
        <v>0</v>
      </c>
      <c r="R398" s="22" t="n">
        <f aca="false">IF(A398&lt;HlpChangeDate,HlpSharePre,HlpSharePost)</f>
        <v>0.03</v>
      </c>
      <c r="S398" s="21" t="n">
        <f aca="false">Q398*R398/(1-R398)</f>
        <v>0</v>
      </c>
      <c r="T398" s="20"/>
      <c r="U398" s="21" t="n">
        <f aca="false">S398-T398</f>
        <v>0</v>
      </c>
      <c r="V398" s="21" t="n">
        <f aca="false">Y398-O398*R398/(1-R398)</f>
        <v>0</v>
      </c>
      <c r="W398" s="21" t="n">
        <f aca="false">Z398-P398*R398/(1-R398)</f>
        <v>0</v>
      </c>
      <c r="X398" s="21" t="n">
        <f aca="false">S398+V398+W398</f>
        <v>0</v>
      </c>
      <c r="Y398" s="20"/>
      <c r="Z398" s="20"/>
      <c r="AA398" s="19" t="n">
        <v>0</v>
      </c>
      <c r="AB398" s="20"/>
      <c r="AC398" s="20"/>
      <c r="AD398" s="24" t="n">
        <f aca="false">IFERROR(AA398/AC398,0)</f>
        <v>0</v>
      </c>
      <c r="AE398" s="25" t="n">
        <f aca="false">K398-Q398-X398</f>
        <v>0</v>
      </c>
      <c r="AF398" s="25" t="n">
        <f aca="false">Q398-AA398</f>
        <v>0</v>
      </c>
      <c r="AG398" s="20"/>
      <c r="AH398" s="26" t="n">
        <f aca="false">IFERROR(AG398/Q398,0)</f>
        <v>0</v>
      </c>
      <c r="AI398" s="27" t="n">
        <v>0</v>
      </c>
      <c r="AJ398" s="26" t="n">
        <f aca="false">IF(AI398&gt;0,AprCoef/SQRT(AI398),0)</f>
        <v>0</v>
      </c>
      <c r="AK398" s="24" t="n">
        <f aca="false">AI398*AJ398/365</f>
        <v>0</v>
      </c>
      <c r="AL398" s="24" t="n">
        <f aca="false">AD398</f>
        <v>0</v>
      </c>
      <c r="AM398" s="24" t="n">
        <f aca="false">AK398-AL398</f>
        <v>0</v>
      </c>
      <c r="AN398" s="28" t="str">
        <f aca="false">IF(A398&gt;=Hip3LaunchDate,"YES","")</f>
        <v/>
      </c>
      <c r="AO398" s="28" t="str">
        <f aca="false">IF(A398&lt;Hip4LaunchDate,"pre-launch","live (zero-fee)")</f>
        <v>pre-launch</v>
      </c>
      <c r="AP398" s="20"/>
      <c r="AQ398" s="20"/>
      <c r="AR398" s="20"/>
    </row>
    <row r="399" customFormat="false" ht="15" hidden="false" customHeight="false" outlineLevel="0" collapsed="false">
      <c r="A399" s="18" t="n">
        <v>45460</v>
      </c>
      <c r="B399" s="19" t="n">
        <v>1718045855.68</v>
      </c>
      <c r="C399" s="19" t="n">
        <v>0</v>
      </c>
      <c r="D399" s="20"/>
      <c r="E399" s="21" t="n">
        <f aca="false">B399+C399</f>
        <v>1718045855.68</v>
      </c>
      <c r="F399" s="21" t="n">
        <f aca="false">E399+D399</f>
        <v>1718045855.68</v>
      </c>
      <c r="G399" s="22" t="n">
        <f aca="false">IFERROR(C399/E399,0)</f>
        <v>0</v>
      </c>
      <c r="H399" s="20"/>
      <c r="I399" s="20"/>
      <c r="J399" s="20"/>
      <c r="K399" s="21" t="n">
        <f aca="false">H399+I399</f>
        <v>0</v>
      </c>
      <c r="L399" s="20"/>
      <c r="M399" s="21" t="n">
        <f aca="false">H399-L399</f>
        <v>0</v>
      </c>
      <c r="N399" s="23" t="n">
        <f aca="false">IFERROR(M399/B399*10000,0)</f>
        <v>0</v>
      </c>
      <c r="O399" s="20"/>
      <c r="P399" s="20"/>
      <c r="Q399" s="21" t="n">
        <f aca="false">O399+P399</f>
        <v>0</v>
      </c>
      <c r="R399" s="22" t="n">
        <f aca="false">IF(A399&lt;HlpChangeDate,HlpSharePre,HlpSharePost)</f>
        <v>0.03</v>
      </c>
      <c r="S399" s="21" t="n">
        <f aca="false">Q399*R399/(1-R399)</f>
        <v>0</v>
      </c>
      <c r="T399" s="20"/>
      <c r="U399" s="21" t="n">
        <f aca="false">S399-T399</f>
        <v>0</v>
      </c>
      <c r="V399" s="21" t="n">
        <f aca="false">Y399-O399*R399/(1-R399)</f>
        <v>0</v>
      </c>
      <c r="W399" s="21" t="n">
        <f aca="false">Z399-P399*R399/(1-R399)</f>
        <v>0</v>
      </c>
      <c r="X399" s="21" t="n">
        <f aca="false">S399+V399+W399</f>
        <v>0</v>
      </c>
      <c r="Y399" s="20"/>
      <c r="Z399" s="20"/>
      <c r="AA399" s="19" t="n">
        <v>0</v>
      </c>
      <c r="AB399" s="20"/>
      <c r="AC399" s="20"/>
      <c r="AD399" s="24" t="n">
        <f aca="false">IFERROR(AA399/AC399,0)</f>
        <v>0</v>
      </c>
      <c r="AE399" s="25" t="n">
        <f aca="false">K399-Q399-X399</f>
        <v>0</v>
      </c>
      <c r="AF399" s="25" t="n">
        <f aca="false">Q399-AA399</f>
        <v>0</v>
      </c>
      <c r="AG399" s="20"/>
      <c r="AH399" s="26" t="n">
        <f aca="false">IFERROR(AG399/Q399,0)</f>
        <v>0</v>
      </c>
      <c r="AI399" s="27" t="n">
        <v>0</v>
      </c>
      <c r="AJ399" s="26" t="n">
        <f aca="false">IF(AI399&gt;0,AprCoef/SQRT(AI399),0)</f>
        <v>0</v>
      </c>
      <c r="AK399" s="24" t="n">
        <f aca="false">AI399*AJ399/365</f>
        <v>0</v>
      </c>
      <c r="AL399" s="24" t="n">
        <f aca="false">AD399</f>
        <v>0</v>
      </c>
      <c r="AM399" s="24" t="n">
        <f aca="false">AK399-AL399</f>
        <v>0</v>
      </c>
      <c r="AN399" s="28" t="str">
        <f aca="false">IF(A399&gt;=Hip3LaunchDate,"YES","")</f>
        <v/>
      </c>
      <c r="AO399" s="28" t="str">
        <f aca="false">IF(A399&lt;Hip4LaunchDate,"pre-launch","live (zero-fee)")</f>
        <v>pre-launch</v>
      </c>
      <c r="AP399" s="20"/>
      <c r="AQ399" s="20"/>
      <c r="AR399" s="20"/>
    </row>
    <row r="400" customFormat="false" ht="15" hidden="false" customHeight="false" outlineLevel="0" collapsed="false">
      <c r="A400" s="18" t="n">
        <v>45461</v>
      </c>
      <c r="B400" s="19" t="n">
        <v>1705954897.44</v>
      </c>
      <c r="C400" s="19" t="n">
        <v>0</v>
      </c>
      <c r="D400" s="20"/>
      <c r="E400" s="21" t="n">
        <f aca="false">B400+C400</f>
        <v>1705954897.44</v>
      </c>
      <c r="F400" s="21" t="n">
        <f aca="false">E400+D400</f>
        <v>1705954897.44</v>
      </c>
      <c r="G400" s="22" t="n">
        <f aca="false">IFERROR(C400/E400,0)</f>
        <v>0</v>
      </c>
      <c r="H400" s="20"/>
      <c r="I400" s="20"/>
      <c r="J400" s="20"/>
      <c r="K400" s="21" t="n">
        <f aca="false">H400+I400</f>
        <v>0</v>
      </c>
      <c r="L400" s="20"/>
      <c r="M400" s="21" t="n">
        <f aca="false">H400-L400</f>
        <v>0</v>
      </c>
      <c r="N400" s="23" t="n">
        <f aca="false">IFERROR(M400/B400*10000,0)</f>
        <v>0</v>
      </c>
      <c r="O400" s="20"/>
      <c r="P400" s="20"/>
      <c r="Q400" s="21" t="n">
        <f aca="false">O400+P400</f>
        <v>0</v>
      </c>
      <c r="R400" s="22" t="n">
        <f aca="false">IF(A400&lt;HlpChangeDate,HlpSharePre,HlpSharePost)</f>
        <v>0.03</v>
      </c>
      <c r="S400" s="21" t="n">
        <f aca="false">Q400*R400/(1-R400)</f>
        <v>0</v>
      </c>
      <c r="T400" s="20"/>
      <c r="U400" s="21" t="n">
        <f aca="false">S400-T400</f>
        <v>0</v>
      </c>
      <c r="V400" s="21" t="n">
        <f aca="false">Y400-O400*R400/(1-R400)</f>
        <v>0</v>
      </c>
      <c r="W400" s="21" t="n">
        <f aca="false">Z400-P400*R400/(1-R400)</f>
        <v>0</v>
      </c>
      <c r="X400" s="21" t="n">
        <f aca="false">S400+V400+W400</f>
        <v>0</v>
      </c>
      <c r="Y400" s="20"/>
      <c r="Z400" s="20"/>
      <c r="AA400" s="19" t="n">
        <v>0</v>
      </c>
      <c r="AB400" s="20"/>
      <c r="AC400" s="20"/>
      <c r="AD400" s="24" t="n">
        <f aca="false">IFERROR(AA400/AC400,0)</f>
        <v>0</v>
      </c>
      <c r="AE400" s="25" t="n">
        <f aca="false">K400-Q400-X400</f>
        <v>0</v>
      </c>
      <c r="AF400" s="25" t="n">
        <f aca="false">Q400-AA400</f>
        <v>0</v>
      </c>
      <c r="AG400" s="20"/>
      <c r="AH400" s="26" t="n">
        <f aca="false">IFERROR(AG400/Q400,0)</f>
        <v>0</v>
      </c>
      <c r="AI400" s="27" t="n">
        <v>0</v>
      </c>
      <c r="AJ400" s="26" t="n">
        <f aca="false">IF(AI400&gt;0,AprCoef/SQRT(AI400),0)</f>
        <v>0</v>
      </c>
      <c r="AK400" s="24" t="n">
        <f aca="false">AI400*AJ400/365</f>
        <v>0</v>
      </c>
      <c r="AL400" s="24" t="n">
        <f aca="false">AD400</f>
        <v>0</v>
      </c>
      <c r="AM400" s="24" t="n">
        <f aca="false">AK400-AL400</f>
        <v>0</v>
      </c>
      <c r="AN400" s="28" t="str">
        <f aca="false">IF(A400&gt;=Hip3LaunchDate,"YES","")</f>
        <v/>
      </c>
      <c r="AO400" s="28" t="str">
        <f aca="false">IF(A400&lt;Hip4LaunchDate,"pre-launch","live (zero-fee)")</f>
        <v>pre-launch</v>
      </c>
      <c r="AP400" s="20"/>
      <c r="AQ400" s="20"/>
      <c r="AR400" s="20"/>
    </row>
    <row r="401" customFormat="false" ht="15" hidden="false" customHeight="false" outlineLevel="0" collapsed="false">
      <c r="A401" s="18" t="n">
        <v>45462</v>
      </c>
      <c r="B401" s="19" t="n">
        <v>910678178.09</v>
      </c>
      <c r="C401" s="19" t="n">
        <v>0</v>
      </c>
      <c r="D401" s="20"/>
      <c r="E401" s="21" t="n">
        <f aca="false">B401+C401</f>
        <v>910678178.09</v>
      </c>
      <c r="F401" s="21" t="n">
        <f aca="false">E401+D401</f>
        <v>910678178.09</v>
      </c>
      <c r="G401" s="22" t="n">
        <f aca="false">IFERROR(C401/E401,0)</f>
        <v>0</v>
      </c>
      <c r="H401" s="20"/>
      <c r="I401" s="20"/>
      <c r="J401" s="20"/>
      <c r="K401" s="21" t="n">
        <f aca="false">H401+I401</f>
        <v>0</v>
      </c>
      <c r="L401" s="20"/>
      <c r="M401" s="21" t="n">
        <f aca="false">H401-L401</f>
        <v>0</v>
      </c>
      <c r="N401" s="23" t="n">
        <f aca="false">IFERROR(M401/B401*10000,0)</f>
        <v>0</v>
      </c>
      <c r="O401" s="20"/>
      <c r="P401" s="20"/>
      <c r="Q401" s="21" t="n">
        <f aca="false">O401+P401</f>
        <v>0</v>
      </c>
      <c r="R401" s="22" t="n">
        <f aca="false">IF(A401&lt;HlpChangeDate,HlpSharePre,HlpSharePost)</f>
        <v>0.03</v>
      </c>
      <c r="S401" s="21" t="n">
        <f aca="false">Q401*R401/(1-R401)</f>
        <v>0</v>
      </c>
      <c r="T401" s="20"/>
      <c r="U401" s="21" t="n">
        <f aca="false">S401-T401</f>
        <v>0</v>
      </c>
      <c r="V401" s="21" t="n">
        <f aca="false">Y401-O401*R401/(1-R401)</f>
        <v>0</v>
      </c>
      <c r="W401" s="21" t="n">
        <f aca="false">Z401-P401*R401/(1-R401)</f>
        <v>0</v>
      </c>
      <c r="X401" s="21" t="n">
        <f aca="false">S401+V401+W401</f>
        <v>0</v>
      </c>
      <c r="Y401" s="20"/>
      <c r="Z401" s="20"/>
      <c r="AA401" s="19" t="n">
        <v>0</v>
      </c>
      <c r="AB401" s="20"/>
      <c r="AC401" s="20"/>
      <c r="AD401" s="24" t="n">
        <f aca="false">IFERROR(AA401/AC401,0)</f>
        <v>0</v>
      </c>
      <c r="AE401" s="25" t="n">
        <f aca="false">K401-Q401-X401</f>
        <v>0</v>
      </c>
      <c r="AF401" s="25" t="n">
        <f aca="false">Q401-AA401</f>
        <v>0</v>
      </c>
      <c r="AG401" s="20"/>
      <c r="AH401" s="26" t="n">
        <f aca="false">IFERROR(AG401/Q401,0)</f>
        <v>0</v>
      </c>
      <c r="AI401" s="27" t="n">
        <v>0</v>
      </c>
      <c r="AJ401" s="26" t="n">
        <f aca="false">IF(AI401&gt;0,AprCoef/SQRT(AI401),0)</f>
        <v>0</v>
      </c>
      <c r="AK401" s="24" t="n">
        <f aca="false">AI401*AJ401/365</f>
        <v>0</v>
      </c>
      <c r="AL401" s="24" t="n">
        <f aca="false">AD401</f>
        <v>0</v>
      </c>
      <c r="AM401" s="24" t="n">
        <f aca="false">AK401-AL401</f>
        <v>0</v>
      </c>
      <c r="AN401" s="28" t="str">
        <f aca="false">IF(A401&gt;=Hip3LaunchDate,"YES","")</f>
        <v/>
      </c>
      <c r="AO401" s="28" t="str">
        <f aca="false">IF(A401&lt;Hip4LaunchDate,"pre-launch","live (zero-fee)")</f>
        <v>pre-launch</v>
      </c>
      <c r="AP401" s="20"/>
      <c r="AQ401" s="20"/>
      <c r="AR401" s="20"/>
    </row>
    <row r="402" customFormat="false" ht="15" hidden="false" customHeight="false" outlineLevel="0" collapsed="false">
      <c r="A402" s="18" t="n">
        <v>45463</v>
      </c>
      <c r="B402" s="19" t="n">
        <v>920310358.4</v>
      </c>
      <c r="C402" s="19" t="n">
        <v>0</v>
      </c>
      <c r="D402" s="20"/>
      <c r="E402" s="21" t="n">
        <f aca="false">B402+C402</f>
        <v>920310358.4</v>
      </c>
      <c r="F402" s="21" t="n">
        <f aca="false">E402+D402</f>
        <v>920310358.4</v>
      </c>
      <c r="G402" s="22" t="n">
        <f aca="false">IFERROR(C402/E402,0)</f>
        <v>0</v>
      </c>
      <c r="H402" s="20"/>
      <c r="I402" s="20"/>
      <c r="J402" s="20"/>
      <c r="K402" s="21" t="n">
        <f aca="false">H402+I402</f>
        <v>0</v>
      </c>
      <c r="L402" s="20"/>
      <c r="M402" s="21" t="n">
        <f aca="false">H402-L402</f>
        <v>0</v>
      </c>
      <c r="N402" s="23" t="n">
        <f aca="false">IFERROR(M402/B402*10000,0)</f>
        <v>0</v>
      </c>
      <c r="O402" s="20"/>
      <c r="P402" s="20"/>
      <c r="Q402" s="21" t="n">
        <f aca="false">O402+P402</f>
        <v>0</v>
      </c>
      <c r="R402" s="22" t="n">
        <f aca="false">IF(A402&lt;HlpChangeDate,HlpSharePre,HlpSharePost)</f>
        <v>0.03</v>
      </c>
      <c r="S402" s="21" t="n">
        <f aca="false">Q402*R402/(1-R402)</f>
        <v>0</v>
      </c>
      <c r="T402" s="20"/>
      <c r="U402" s="21" t="n">
        <f aca="false">S402-T402</f>
        <v>0</v>
      </c>
      <c r="V402" s="21" t="n">
        <f aca="false">Y402-O402*R402/(1-R402)</f>
        <v>0</v>
      </c>
      <c r="W402" s="21" t="n">
        <f aca="false">Z402-P402*R402/(1-R402)</f>
        <v>0</v>
      </c>
      <c r="X402" s="21" t="n">
        <f aca="false">S402+V402+W402</f>
        <v>0</v>
      </c>
      <c r="Y402" s="20"/>
      <c r="Z402" s="20"/>
      <c r="AA402" s="19" t="n">
        <v>0</v>
      </c>
      <c r="AB402" s="20"/>
      <c r="AC402" s="20"/>
      <c r="AD402" s="24" t="n">
        <f aca="false">IFERROR(AA402/AC402,0)</f>
        <v>0</v>
      </c>
      <c r="AE402" s="25" t="n">
        <f aca="false">K402-Q402-X402</f>
        <v>0</v>
      </c>
      <c r="AF402" s="25" t="n">
        <f aca="false">Q402-AA402</f>
        <v>0</v>
      </c>
      <c r="AG402" s="20"/>
      <c r="AH402" s="26" t="n">
        <f aca="false">IFERROR(AG402/Q402,0)</f>
        <v>0</v>
      </c>
      <c r="AI402" s="27" t="n">
        <v>0</v>
      </c>
      <c r="AJ402" s="26" t="n">
        <f aca="false">IF(AI402&gt;0,AprCoef/SQRT(AI402),0)</f>
        <v>0</v>
      </c>
      <c r="AK402" s="24" t="n">
        <f aca="false">AI402*AJ402/365</f>
        <v>0</v>
      </c>
      <c r="AL402" s="24" t="n">
        <f aca="false">AD402</f>
        <v>0</v>
      </c>
      <c r="AM402" s="24" t="n">
        <f aca="false">AK402-AL402</f>
        <v>0</v>
      </c>
      <c r="AN402" s="28" t="str">
        <f aca="false">IF(A402&gt;=Hip3LaunchDate,"YES","")</f>
        <v/>
      </c>
      <c r="AO402" s="28" t="str">
        <f aca="false">IF(A402&lt;Hip4LaunchDate,"pre-launch","live (zero-fee)")</f>
        <v>pre-launch</v>
      </c>
      <c r="AP402" s="20"/>
      <c r="AQ402" s="20"/>
      <c r="AR402" s="20"/>
    </row>
    <row r="403" customFormat="false" ht="15" hidden="false" customHeight="false" outlineLevel="0" collapsed="false">
      <c r="A403" s="18" t="n">
        <v>45464</v>
      </c>
      <c r="B403" s="19" t="n">
        <v>954663757.19</v>
      </c>
      <c r="C403" s="19" t="n">
        <v>0</v>
      </c>
      <c r="D403" s="20"/>
      <c r="E403" s="21" t="n">
        <f aca="false">B403+C403</f>
        <v>954663757.19</v>
      </c>
      <c r="F403" s="21" t="n">
        <f aca="false">E403+D403</f>
        <v>954663757.19</v>
      </c>
      <c r="G403" s="22" t="n">
        <f aca="false">IFERROR(C403/E403,0)</f>
        <v>0</v>
      </c>
      <c r="H403" s="20"/>
      <c r="I403" s="20"/>
      <c r="J403" s="20"/>
      <c r="K403" s="21" t="n">
        <f aca="false">H403+I403</f>
        <v>0</v>
      </c>
      <c r="L403" s="20"/>
      <c r="M403" s="21" t="n">
        <f aca="false">H403-L403</f>
        <v>0</v>
      </c>
      <c r="N403" s="23" t="n">
        <f aca="false">IFERROR(M403/B403*10000,0)</f>
        <v>0</v>
      </c>
      <c r="O403" s="20"/>
      <c r="P403" s="20"/>
      <c r="Q403" s="21" t="n">
        <f aca="false">O403+P403</f>
        <v>0</v>
      </c>
      <c r="R403" s="22" t="n">
        <f aca="false">IF(A403&lt;HlpChangeDate,HlpSharePre,HlpSharePost)</f>
        <v>0.03</v>
      </c>
      <c r="S403" s="21" t="n">
        <f aca="false">Q403*R403/(1-R403)</f>
        <v>0</v>
      </c>
      <c r="T403" s="20"/>
      <c r="U403" s="21" t="n">
        <f aca="false">S403-T403</f>
        <v>0</v>
      </c>
      <c r="V403" s="21" t="n">
        <f aca="false">Y403-O403*R403/(1-R403)</f>
        <v>0</v>
      </c>
      <c r="W403" s="21" t="n">
        <f aca="false">Z403-P403*R403/(1-R403)</f>
        <v>0</v>
      </c>
      <c r="X403" s="21" t="n">
        <f aca="false">S403+V403+W403</f>
        <v>0</v>
      </c>
      <c r="Y403" s="20"/>
      <c r="Z403" s="20"/>
      <c r="AA403" s="19" t="n">
        <v>0</v>
      </c>
      <c r="AB403" s="20"/>
      <c r="AC403" s="20"/>
      <c r="AD403" s="24" t="n">
        <f aca="false">IFERROR(AA403/AC403,0)</f>
        <v>0</v>
      </c>
      <c r="AE403" s="25" t="n">
        <f aca="false">K403-Q403-X403</f>
        <v>0</v>
      </c>
      <c r="AF403" s="25" t="n">
        <f aca="false">Q403-AA403</f>
        <v>0</v>
      </c>
      <c r="AG403" s="20"/>
      <c r="AH403" s="26" t="n">
        <f aca="false">IFERROR(AG403/Q403,0)</f>
        <v>0</v>
      </c>
      <c r="AI403" s="27" t="n">
        <v>0</v>
      </c>
      <c r="AJ403" s="26" t="n">
        <f aca="false">IF(AI403&gt;0,AprCoef/SQRT(AI403),0)</f>
        <v>0</v>
      </c>
      <c r="AK403" s="24" t="n">
        <f aca="false">AI403*AJ403/365</f>
        <v>0</v>
      </c>
      <c r="AL403" s="24" t="n">
        <f aca="false">AD403</f>
        <v>0</v>
      </c>
      <c r="AM403" s="24" t="n">
        <f aca="false">AK403-AL403</f>
        <v>0</v>
      </c>
      <c r="AN403" s="28" t="str">
        <f aca="false">IF(A403&gt;=Hip3LaunchDate,"YES","")</f>
        <v/>
      </c>
      <c r="AO403" s="28" t="str">
        <f aca="false">IF(A403&lt;Hip4LaunchDate,"pre-launch","live (zero-fee)")</f>
        <v>pre-launch</v>
      </c>
      <c r="AP403" s="20"/>
      <c r="AQ403" s="20"/>
      <c r="AR403" s="20"/>
    </row>
    <row r="404" customFormat="false" ht="15" hidden="false" customHeight="false" outlineLevel="0" collapsed="false">
      <c r="A404" s="18" t="n">
        <v>45465</v>
      </c>
      <c r="B404" s="19" t="n">
        <v>299441841.16</v>
      </c>
      <c r="C404" s="19" t="n">
        <v>0</v>
      </c>
      <c r="D404" s="20"/>
      <c r="E404" s="21" t="n">
        <f aca="false">B404+C404</f>
        <v>299441841.16</v>
      </c>
      <c r="F404" s="21" t="n">
        <f aca="false">E404+D404</f>
        <v>299441841.16</v>
      </c>
      <c r="G404" s="22" t="n">
        <f aca="false">IFERROR(C404/E404,0)</f>
        <v>0</v>
      </c>
      <c r="H404" s="20"/>
      <c r="I404" s="20"/>
      <c r="J404" s="20"/>
      <c r="K404" s="21" t="n">
        <f aca="false">H404+I404</f>
        <v>0</v>
      </c>
      <c r="L404" s="20"/>
      <c r="M404" s="21" t="n">
        <f aca="false">H404-L404</f>
        <v>0</v>
      </c>
      <c r="N404" s="23" t="n">
        <f aca="false">IFERROR(M404/B404*10000,0)</f>
        <v>0</v>
      </c>
      <c r="O404" s="20"/>
      <c r="P404" s="20"/>
      <c r="Q404" s="21" t="n">
        <f aca="false">O404+P404</f>
        <v>0</v>
      </c>
      <c r="R404" s="22" t="n">
        <f aca="false">IF(A404&lt;HlpChangeDate,HlpSharePre,HlpSharePost)</f>
        <v>0.03</v>
      </c>
      <c r="S404" s="21" t="n">
        <f aca="false">Q404*R404/(1-R404)</f>
        <v>0</v>
      </c>
      <c r="T404" s="20"/>
      <c r="U404" s="21" t="n">
        <f aca="false">S404-T404</f>
        <v>0</v>
      </c>
      <c r="V404" s="21" t="n">
        <f aca="false">Y404-O404*R404/(1-R404)</f>
        <v>0</v>
      </c>
      <c r="W404" s="21" t="n">
        <f aca="false">Z404-P404*R404/(1-R404)</f>
        <v>0</v>
      </c>
      <c r="X404" s="21" t="n">
        <f aca="false">S404+V404+W404</f>
        <v>0</v>
      </c>
      <c r="Y404" s="20"/>
      <c r="Z404" s="20"/>
      <c r="AA404" s="19" t="n">
        <v>0</v>
      </c>
      <c r="AB404" s="20"/>
      <c r="AC404" s="20"/>
      <c r="AD404" s="24" t="n">
        <f aca="false">IFERROR(AA404/AC404,0)</f>
        <v>0</v>
      </c>
      <c r="AE404" s="25" t="n">
        <f aca="false">K404-Q404-X404</f>
        <v>0</v>
      </c>
      <c r="AF404" s="25" t="n">
        <f aca="false">Q404-AA404</f>
        <v>0</v>
      </c>
      <c r="AG404" s="20"/>
      <c r="AH404" s="26" t="n">
        <f aca="false">IFERROR(AG404/Q404,0)</f>
        <v>0</v>
      </c>
      <c r="AI404" s="27" t="n">
        <v>0</v>
      </c>
      <c r="AJ404" s="26" t="n">
        <f aca="false">IF(AI404&gt;0,AprCoef/SQRT(AI404),0)</f>
        <v>0</v>
      </c>
      <c r="AK404" s="24" t="n">
        <f aca="false">AI404*AJ404/365</f>
        <v>0</v>
      </c>
      <c r="AL404" s="24" t="n">
        <f aca="false">AD404</f>
        <v>0</v>
      </c>
      <c r="AM404" s="24" t="n">
        <f aca="false">AK404-AL404</f>
        <v>0</v>
      </c>
      <c r="AN404" s="28" t="str">
        <f aca="false">IF(A404&gt;=Hip3LaunchDate,"YES","")</f>
        <v/>
      </c>
      <c r="AO404" s="28" t="str">
        <f aca="false">IF(A404&lt;Hip4LaunchDate,"pre-launch","live (zero-fee)")</f>
        <v>pre-launch</v>
      </c>
      <c r="AP404" s="20"/>
      <c r="AQ404" s="20"/>
      <c r="AR404" s="20"/>
    </row>
    <row r="405" customFormat="false" ht="15" hidden="false" customHeight="false" outlineLevel="0" collapsed="false">
      <c r="A405" s="18" t="n">
        <v>45466</v>
      </c>
      <c r="B405" s="19" t="n">
        <v>537438673.54</v>
      </c>
      <c r="C405" s="19" t="n">
        <v>0</v>
      </c>
      <c r="D405" s="20"/>
      <c r="E405" s="21" t="n">
        <f aca="false">B405+C405</f>
        <v>537438673.54</v>
      </c>
      <c r="F405" s="21" t="n">
        <f aca="false">E405+D405</f>
        <v>537438673.54</v>
      </c>
      <c r="G405" s="22" t="n">
        <f aca="false">IFERROR(C405/E405,0)</f>
        <v>0</v>
      </c>
      <c r="H405" s="20"/>
      <c r="I405" s="20"/>
      <c r="J405" s="20"/>
      <c r="K405" s="21" t="n">
        <f aca="false">H405+I405</f>
        <v>0</v>
      </c>
      <c r="L405" s="20"/>
      <c r="M405" s="21" t="n">
        <f aca="false">H405-L405</f>
        <v>0</v>
      </c>
      <c r="N405" s="23" t="n">
        <f aca="false">IFERROR(M405/B405*10000,0)</f>
        <v>0</v>
      </c>
      <c r="O405" s="20"/>
      <c r="P405" s="20"/>
      <c r="Q405" s="21" t="n">
        <f aca="false">O405+P405</f>
        <v>0</v>
      </c>
      <c r="R405" s="22" t="n">
        <f aca="false">IF(A405&lt;HlpChangeDate,HlpSharePre,HlpSharePost)</f>
        <v>0.03</v>
      </c>
      <c r="S405" s="21" t="n">
        <f aca="false">Q405*R405/(1-R405)</f>
        <v>0</v>
      </c>
      <c r="T405" s="20"/>
      <c r="U405" s="21" t="n">
        <f aca="false">S405-T405</f>
        <v>0</v>
      </c>
      <c r="V405" s="21" t="n">
        <f aca="false">Y405-O405*R405/(1-R405)</f>
        <v>0</v>
      </c>
      <c r="W405" s="21" t="n">
        <f aca="false">Z405-P405*R405/(1-R405)</f>
        <v>0</v>
      </c>
      <c r="X405" s="21" t="n">
        <f aca="false">S405+V405+W405</f>
        <v>0</v>
      </c>
      <c r="Y405" s="20"/>
      <c r="Z405" s="20"/>
      <c r="AA405" s="19" t="n">
        <v>0</v>
      </c>
      <c r="AB405" s="20"/>
      <c r="AC405" s="20"/>
      <c r="AD405" s="24" t="n">
        <f aca="false">IFERROR(AA405/AC405,0)</f>
        <v>0</v>
      </c>
      <c r="AE405" s="25" t="n">
        <f aca="false">K405-Q405-X405</f>
        <v>0</v>
      </c>
      <c r="AF405" s="25" t="n">
        <f aca="false">Q405-AA405</f>
        <v>0</v>
      </c>
      <c r="AG405" s="20"/>
      <c r="AH405" s="26" t="n">
        <f aca="false">IFERROR(AG405/Q405,0)</f>
        <v>0</v>
      </c>
      <c r="AI405" s="27" t="n">
        <v>0</v>
      </c>
      <c r="AJ405" s="26" t="n">
        <f aca="false">IF(AI405&gt;0,AprCoef/SQRT(AI405),0)</f>
        <v>0</v>
      </c>
      <c r="AK405" s="24" t="n">
        <f aca="false">AI405*AJ405/365</f>
        <v>0</v>
      </c>
      <c r="AL405" s="24" t="n">
        <f aca="false">AD405</f>
        <v>0</v>
      </c>
      <c r="AM405" s="24" t="n">
        <f aca="false">AK405-AL405</f>
        <v>0</v>
      </c>
      <c r="AN405" s="28" t="str">
        <f aca="false">IF(A405&gt;=Hip3LaunchDate,"YES","")</f>
        <v/>
      </c>
      <c r="AO405" s="28" t="str">
        <f aca="false">IF(A405&lt;Hip4LaunchDate,"pre-launch","live (zero-fee)")</f>
        <v>pre-launch</v>
      </c>
      <c r="AP405" s="20"/>
      <c r="AQ405" s="20"/>
      <c r="AR405" s="20"/>
    </row>
    <row r="406" customFormat="false" ht="15" hidden="false" customHeight="false" outlineLevel="0" collapsed="false">
      <c r="A406" s="18" t="n">
        <v>45467</v>
      </c>
      <c r="B406" s="19" t="n">
        <v>1701335639.68</v>
      </c>
      <c r="C406" s="19" t="n">
        <v>0</v>
      </c>
      <c r="D406" s="20"/>
      <c r="E406" s="21" t="n">
        <f aca="false">B406+C406</f>
        <v>1701335639.68</v>
      </c>
      <c r="F406" s="21" t="n">
        <f aca="false">E406+D406</f>
        <v>1701335639.68</v>
      </c>
      <c r="G406" s="22" t="n">
        <f aca="false">IFERROR(C406/E406,0)</f>
        <v>0</v>
      </c>
      <c r="H406" s="20"/>
      <c r="I406" s="20"/>
      <c r="J406" s="20"/>
      <c r="K406" s="21" t="n">
        <f aca="false">H406+I406</f>
        <v>0</v>
      </c>
      <c r="L406" s="20"/>
      <c r="M406" s="21" t="n">
        <f aca="false">H406-L406</f>
        <v>0</v>
      </c>
      <c r="N406" s="23" t="n">
        <f aca="false">IFERROR(M406/B406*10000,0)</f>
        <v>0</v>
      </c>
      <c r="O406" s="20"/>
      <c r="P406" s="20"/>
      <c r="Q406" s="21" t="n">
        <f aca="false">O406+P406</f>
        <v>0</v>
      </c>
      <c r="R406" s="22" t="n">
        <f aca="false">IF(A406&lt;HlpChangeDate,HlpSharePre,HlpSharePost)</f>
        <v>0.03</v>
      </c>
      <c r="S406" s="21" t="n">
        <f aca="false">Q406*R406/(1-R406)</f>
        <v>0</v>
      </c>
      <c r="T406" s="20"/>
      <c r="U406" s="21" t="n">
        <f aca="false">S406-T406</f>
        <v>0</v>
      </c>
      <c r="V406" s="21" t="n">
        <f aca="false">Y406-O406*R406/(1-R406)</f>
        <v>0</v>
      </c>
      <c r="W406" s="21" t="n">
        <f aca="false">Z406-P406*R406/(1-R406)</f>
        <v>0</v>
      </c>
      <c r="X406" s="21" t="n">
        <f aca="false">S406+V406+W406</f>
        <v>0</v>
      </c>
      <c r="Y406" s="20"/>
      <c r="Z406" s="20"/>
      <c r="AA406" s="19" t="n">
        <v>0</v>
      </c>
      <c r="AB406" s="20"/>
      <c r="AC406" s="20"/>
      <c r="AD406" s="24" t="n">
        <f aca="false">IFERROR(AA406/AC406,0)</f>
        <v>0</v>
      </c>
      <c r="AE406" s="25" t="n">
        <f aca="false">K406-Q406-X406</f>
        <v>0</v>
      </c>
      <c r="AF406" s="25" t="n">
        <f aca="false">Q406-AA406</f>
        <v>0</v>
      </c>
      <c r="AG406" s="20"/>
      <c r="AH406" s="26" t="n">
        <f aca="false">IFERROR(AG406/Q406,0)</f>
        <v>0</v>
      </c>
      <c r="AI406" s="27" t="n">
        <v>0</v>
      </c>
      <c r="AJ406" s="26" t="n">
        <f aca="false">IF(AI406&gt;0,AprCoef/SQRT(AI406),0)</f>
        <v>0</v>
      </c>
      <c r="AK406" s="24" t="n">
        <f aca="false">AI406*AJ406/365</f>
        <v>0</v>
      </c>
      <c r="AL406" s="24" t="n">
        <f aca="false">AD406</f>
        <v>0</v>
      </c>
      <c r="AM406" s="24" t="n">
        <f aca="false">AK406-AL406</f>
        <v>0</v>
      </c>
      <c r="AN406" s="28" t="str">
        <f aca="false">IF(A406&gt;=Hip3LaunchDate,"YES","")</f>
        <v/>
      </c>
      <c r="AO406" s="28" t="str">
        <f aca="false">IF(A406&lt;Hip4LaunchDate,"pre-launch","live (zero-fee)")</f>
        <v>pre-launch</v>
      </c>
      <c r="AP406" s="20"/>
      <c r="AQ406" s="20"/>
      <c r="AR406" s="20"/>
    </row>
    <row r="407" customFormat="false" ht="15" hidden="false" customHeight="false" outlineLevel="0" collapsed="false">
      <c r="A407" s="18" t="n">
        <v>45468</v>
      </c>
      <c r="B407" s="19" t="n">
        <v>746565538.58</v>
      </c>
      <c r="C407" s="19" t="n">
        <v>0</v>
      </c>
      <c r="D407" s="20"/>
      <c r="E407" s="21" t="n">
        <f aca="false">B407+C407</f>
        <v>746565538.58</v>
      </c>
      <c r="F407" s="21" t="n">
        <f aca="false">E407+D407</f>
        <v>746565538.58</v>
      </c>
      <c r="G407" s="22" t="n">
        <f aca="false">IFERROR(C407/E407,0)</f>
        <v>0</v>
      </c>
      <c r="H407" s="20"/>
      <c r="I407" s="20"/>
      <c r="J407" s="20"/>
      <c r="K407" s="21" t="n">
        <f aca="false">H407+I407</f>
        <v>0</v>
      </c>
      <c r="L407" s="20"/>
      <c r="M407" s="21" t="n">
        <f aca="false">H407-L407</f>
        <v>0</v>
      </c>
      <c r="N407" s="23" t="n">
        <f aca="false">IFERROR(M407/B407*10000,0)</f>
        <v>0</v>
      </c>
      <c r="O407" s="20"/>
      <c r="P407" s="20"/>
      <c r="Q407" s="21" t="n">
        <f aca="false">O407+P407</f>
        <v>0</v>
      </c>
      <c r="R407" s="22" t="n">
        <f aca="false">IF(A407&lt;HlpChangeDate,HlpSharePre,HlpSharePost)</f>
        <v>0.03</v>
      </c>
      <c r="S407" s="21" t="n">
        <f aca="false">Q407*R407/(1-R407)</f>
        <v>0</v>
      </c>
      <c r="T407" s="20"/>
      <c r="U407" s="21" t="n">
        <f aca="false">S407-T407</f>
        <v>0</v>
      </c>
      <c r="V407" s="21" t="n">
        <f aca="false">Y407-O407*R407/(1-R407)</f>
        <v>0</v>
      </c>
      <c r="W407" s="21" t="n">
        <f aca="false">Z407-P407*R407/(1-R407)</f>
        <v>0</v>
      </c>
      <c r="X407" s="21" t="n">
        <f aca="false">S407+V407+W407</f>
        <v>0</v>
      </c>
      <c r="Y407" s="20"/>
      <c r="Z407" s="20"/>
      <c r="AA407" s="19" t="n">
        <v>0</v>
      </c>
      <c r="AB407" s="20"/>
      <c r="AC407" s="20"/>
      <c r="AD407" s="24" t="n">
        <f aca="false">IFERROR(AA407/AC407,0)</f>
        <v>0</v>
      </c>
      <c r="AE407" s="25" t="n">
        <f aca="false">K407-Q407-X407</f>
        <v>0</v>
      </c>
      <c r="AF407" s="25" t="n">
        <f aca="false">Q407-AA407</f>
        <v>0</v>
      </c>
      <c r="AG407" s="20"/>
      <c r="AH407" s="26" t="n">
        <f aca="false">IFERROR(AG407/Q407,0)</f>
        <v>0</v>
      </c>
      <c r="AI407" s="27" t="n">
        <v>0</v>
      </c>
      <c r="AJ407" s="26" t="n">
        <f aca="false">IF(AI407&gt;0,AprCoef/SQRT(AI407),0)</f>
        <v>0</v>
      </c>
      <c r="AK407" s="24" t="n">
        <f aca="false">AI407*AJ407/365</f>
        <v>0</v>
      </c>
      <c r="AL407" s="24" t="n">
        <f aca="false">AD407</f>
        <v>0</v>
      </c>
      <c r="AM407" s="24" t="n">
        <f aca="false">AK407-AL407</f>
        <v>0</v>
      </c>
      <c r="AN407" s="28" t="str">
        <f aca="false">IF(A407&gt;=Hip3LaunchDate,"YES","")</f>
        <v/>
      </c>
      <c r="AO407" s="28" t="str">
        <f aca="false">IF(A407&lt;Hip4LaunchDate,"pre-launch","live (zero-fee)")</f>
        <v>pre-launch</v>
      </c>
      <c r="AP407" s="20"/>
      <c r="AQ407" s="20"/>
      <c r="AR407" s="20"/>
    </row>
    <row r="408" customFormat="false" ht="15" hidden="false" customHeight="false" outlineLevel="0" collapsed="false">
      <c r="A408" s="18" t="n">
        <v>45469</v>
      </c>
      <c r="B408" s="19" t="n">
        <v>836208688.95</v>
      </c>
      <c r="C408" s="19" t="n">
        <v>0</v>
      </c>
      <c r="D408" s="20"/>
      <c r="E408" s="21" t="n">
        <f aca="false">B408+C408</f>
        <v>836208688.95</v>
      </c>
      <c r="F408" s="21" t="n">
        <f aca="false">E408+D408</f>
        <v>836208688.95</v>
      </c>
      <c r="G408" s="22" t="n">
        <f aca="false">IFERROR(C408/E408,0)</f>
        <v>0</v>
      </c>
      <c r="H408" s="20"/>
      <c r="I408" s="20"/>
      <c r="J408" s="20"/>
      <c r="K408" s="21" t="n">
        <f aca="false">H408+I408</f>
        <v>0</v>
      </c>
      <c r="L408" s="20"/>
      <c r="M408" s="21" t="n">
        <f aca="false">H408-L408</f>
        <v>0</v>
      </c>
      <c r="N408" s="23" t="n">
        <f aca="false">IFERROR(M408/B408*10000,0)</f>
        <v>0</v>
      </c>
      <c r="O408" s="20"/>
      <c r="P408" s="20"/>
      <c r="Q408" s="21" t="n">
        <f aca="false">O408+P408</f>
        <v>0</v>
      </c>
      <c r="R408" s="22" t="n">
        <f aca="false">IF(A408&lt;HlpChangeDate,HlpSharePre,HlpSharePost)</f>
        <v>0.03</v>
      </c>
      <c r="S408" s="21" t="n">
        <f aca="false">Q408*R408/(1-R408)</f>
        <v>0</v>
      </c>
      <c r="T408" s="20"/>
      <c r="U408" s="21" t="n">
        <f aca="false">S408-T408</f>
        <v>0</v>
      </c>
      <c r="V408" s="21" t="n">
        <f aca="false">Y408-O408*R408/(1-R408)</f>
        <v>0</v>
      </c>
      <c r="W408" s="21" t="n">
        <f aca="false">Z408-P408*R408/(1-R408)</f>
        <v>0</v>
      </c>
      <c r="X408" s="21" t="n">
        <f aca="false">S408+V408+W408</f>
        <v>0</v>
      </c>
      <c r="Y408" s="20"/>
      <c r="Z408" s="20"/>
      <c r="AA408" s="19" t="n">
        <v>0</v>
      </c>
      <c r="AB408" s="20"/>
      <c r="AC408" s="20"/>
      <c r="AD408" s="24" t="n">
        <f aca="false">IFERROR(AA408/AC408,0)</f>
        <v>0</v>
      </c>
      <c r="AE408" s="25" t="n">
        <f aca="false">K408-Q408-X408</f>
        <v>0</v>
      </c>
      <c r="AF408" s="25" t="n">
        <f aca="false">Q408-AA408</f>
        <v>0</v>
      </c>
      <c r="AG408" s="20"/>
      <c r="AH408" s="26" t="n">
        <f aca="false">IFERROR(AG408/Q408,0)</f>
        <v>0</v>
      </c>
      <c r="AI408" s="27" t="n">
        <v>0</v>
      </c>
      <c r="AJ408" s="26" t="n">
        <f aca="false">IF(AI408&gt;0,AprCoef/SQRT(AI408),0)</f>
        <v>0</v>
      </c>
      <c r="AK408" s="24" t="n">
        <f aca="false">AI408*AJ408/365</f>
        <v>0</v>
      </c>
      <c r="AL408" s="24" t="n">
        <f aca="false">AD408</f>
        <v>0</v>
      </c>
      <c r="AM408" s="24" t="n">
        <f aca="false">AK408-AL408</f>
        <v>0</v>
      </c>
      <c r="AN408" s="28" t="str">
        <f aca="false">IF(A408&gt;=Hip3LaunchDate,"YES","")</f>
        <v/>
      </c>
      <c r="AO408" s="28" t="str">
        <f aca="false">IF(A408&lt;Hip4LaunchDate,"pre-launch","live (zero-fee)")</f>
        <v>pre-launch</v>
      </c>
      <c r="AP408" s="20"/>
      <c r="AQ408" s="20"/>
      <c r="AR408" s="20"/>
    </row>
    <row r="409" customFormat="false" ht="15" hidden="false" customHeight="false" outlineLevel="0" collapsed="false">
      <c r="A409" s="18" t="n">
        <v>45470</v>
      </c>
      <c r="B409" s="19" t="n">
        <v>728149743.74</v>
      </c>
      <c r="C409" s="19" t="n">
        <v>0</v>
      </c>
      <c r="D409" s="20"/>
      <c r="E409" s="21" t="n">
        <f aca="false">B409+C409</f>
        <v>728149743.74</v>
      </c>
      <c r="F409" s="21" t="n">
        <f aca="false">E409+D409</f>
        <v>728149743.74</v>
      </c>
      <c r="G409" s="22" t="n">
        <f aca="false">IFERROR(C409/E409,0)</f>
        <v>0</v>
      </c>
      <c r="H409" s="20"/>
      <c r="I409" s="20"/>
      <c r="J409" s="20"/>
      <c r="K409" s="21" t="n">
        <f aca="false">H409+I409</f>
        <v>0</v>
      </c>
      <c r="L409" s="20"/>
      <c r="M409" s="21" t="n">
        <f aca="false">H409-L409</f>
        <v>0</v>
      </c>
      <c r="N409" s="23" t="n">
        <f aca="false">IFERROR(M409/B409*10000,0)</f>
        <v>0</v>
      </c>
      <c r="O409" s="20"/>
      <c r="P409" s="20"/>
      <c r="Q409" s="21" t="n">
        <f aca="false">O409+P409</f>
        <v>0</v>
      </c>
      <c r="R409" s="22" t="n">
        <f aca="false">IF(A409&lt;HlpChangeDate,HlpSharePre,HlpSharePost)</f>
        <v>0.03</v>
      </c>
      <c r="S409" s="21" t="n">
        <f aca="false">Q409*R409/(1-R409)</f>
        <v>0</v>
      </c>
      <c r="T409" s="20"/>
      <c r="U409" s="21" t="n">
        <f aca="false">S409-T409</f>
        <v>0</v>
      </c>
      <c r="V409" s="21" t="n">
        <f aca="false">Y409-O409*R409/(1-R409)</f>
        <v>0</v>
      </c>
      <c r="W409" s="21" t="n">
        <f aca="false">Z409-P409*R409/(1-R409)</f>
        <v>0</v>
      </c>
      <c r="X409" s="21" t="n">
        <f aca="false">S409+V409+W409</f>
        <v>0</v>
      </c>
      <c r="Y409" s="20"/>
      <c r="Z409" s="20"/>
      <c r="AA409" s="19" t="n">
        <v>0</v>
      </c>
      <c r="AB409" s="20"/>
      <c r="AC409" s="20"/>
      <c r="AD409" s="24" t="n">
        <f aca="false">IFERROR(AA409/AC409,0)</f>
        <v>0</v>
      </c>
      <c r="AE409" s="25" t="n">
        <f aca="false">K409-Q409-X409</f>
        <v>0</v>
      </c>
      <c r="AF409" s="25" t="n">
        <f aca="false">Q409-AA409</f>
        <v>0</v>
      </c>
      <c r="AG409" s="20"/>
      <c r="AH409" s="26" t="n">
        <f aca="false">IFERROR(AG409/Q409,0)</f>
        <v>0</v>
      </c>
      <c r="AI409" s="27" t="n">
        <v>0</v>
      </c>
      <c r="AJ409" s="26" t="n">
        <f aca="false">IF(AI409&gt;0,AprCoef/SQRT(AI409),0)</f>
        <v>0</v>
      </c>
      <c r="AK409" s="24" t="n">
        <f aca="false">AI409*AJ409/365</f>
        <v>0</v>
      </c>
      <c r="AL409" s="24" t="n">
        <f aca="false">AD409</f>
        <v>0</v>
      </c>
      <c r="AM409" s="24" t="n">
        <f aca="false">AK409-AL409</f>
        <v>0</v>
      </c>
      <c r="AN409" s="28" t="str">
        <f aca="false">IF(A409&gt;=Hip3LaunchDate,"YES","")</f>
        <v/>
      </c>
      <c r="AO409" s="28" t="str">
        <f aca="false">IF(A409&lt;Hip4LaunchDate,"pre-launch","live (zero-fee)")</f>
        <v>pre-launch</v>
      </c>
      <c r="AP409" s="20"/>
      <c r="AQ409" s="20"/>
      <c r="AR409" s="20"/>
    </row>
    <row r="410" customFormat="false" ht="15" hidden="false" customHeight="false" outlineLevel="0" collapsed="false">
      <c r="A410" s="18" t="n">
        <v>45471</v>
      </c>
      <c r="B410" s="19" t="n">
        <v>904164900.94</v>
      </c>
      <c r="C410" s="19" t="n">
        <v>0</v>
      </c>
      <c r="D410" s="20"/>
      <c r="E410" s="21" t="n">
        <f aca="false">B410+C410</f>
        <v>904164900.94</v>
      </c>
      <c r="F410" s="21" t="n">
        <f aca="false">E410+D410</f>
        <v>904164900.94</v>
      </c>
      <c r="G410" s="22" t="n">
        <f aca="false">IFERROR(C410/E410,0)</f>
        <v>0</v>
      </c>
      <c r="H410" s="20"/>
      <c r="I410" s="20"/>
      <c r="J410" s="20"/>
      <c r="K410" s="21" t="n">
        <f aca="false">H410+I410</f>
        <v>0</v>
      </c>
      <c r="L410" s="20"/>
      <c r="M410" s="21" t="n">
        <f aca="false">H410-L410</f>
        <v>0</v>
      </c>
      <c r="N410" s="23" t="n">
        <f aca="false">IFERROR(M410/B410*10000,0)</f>
        <v>0</v>
      </c>
      <c r="O410" s="20"/>
      <c r="P410" s="20"/>
      <c r="Q410" s="21" t="n">
        <f aca="false">O410+P410</f>
        <v>0</v>
      </c>
      <c r="R410" s="22" t="n">
        <f aca="false">IF(A410&lt;HlpChangeDate,HlpSharePre,HlpSharePost)</f>
        <v>0.03</v>
      </c>
      <c r="S410" s="21" t="n">
        <f aca="false">Q410*R410/(1-R410)</f>
        <v>0</v>
      </c>
      <c r="T410" s="20"/>
      <c r="U410" s="21" t="n">
        <f aca="false">S410-T410</f>
        <v>0</v>
      </c>
      <c r="V410" s="21" t="n">
        <f aca="false">Y410-O410*R410/(1-R410)</f>
        <v>0</v>
      </c>
      <c r="W410" s="21" t="n">
        <f aca="false">Z410-P410*R410/(1-R410)</f>
        <v>0</v>
      </c>
      <c r="X410" s="21" t="n">
        <f aca="false">S410+V410+W410</f>
        <v>0</v>
      </c>
      <c r="Y410" s="20"/>
      <c r="Z410" s="20"/>
      <c r="AA410" s="19" t="n">
        <v>0</v>
      </c>
      <c r="AB410" s="20"/>
      <c r="AC410" s="20"/>
      <c r="AD410" s="24" t="n">
        <f aca="false">IFERROR(AA410/AC410,0)</f>
        <v>0</v>
      </c>
      <c r="AE410" s="25" t="n">
        <f aca="false">K410-Q410-X410</f>
        <v>0</v>
      </c>
      <c r="AF410" s="25" t="n">
        <f aca="false">Q410-AA410</f>
        <v>0</v>
      </c>
      <c r="AG410" s="20"/>
      <c r="AH410" s="26" t="n">
        <f aca="false">IFERROR(AG410/Q410,0)</f>
        <v>0</v>
      </c>
      <c r="AI410" s="27" t="n">
        <v>0</v>
      </c>
      <c r="AJ410" s="26" t="n">
        <f aca="false">IF(AI410&gt;0,AprCoef/SQRT(AI410),0)</f>
        <v>0</v>
      </c>
      <c r="AK410" s="24" t="n">
        <f aca="false">AI410*AJ410/365</f>
        <v>0</v>
      </c>
      <c r="AL410" s="24" t="n">
        <f aca="false">AD410</f>
        <v>0</v>
      </c>
      <c r="AM410" s="24" t="n">
        <f aca="false">AK410-AL410</f>
        <v>0</v>
      </c>
      <c r="AN410" s="28" t="str">
        <f aca="false">IF(A410&gt;=Hip3LaunchDate,"YES","")</f>
        <v/>
      </c>
      <c r="AO410" s="28" t="str">
        <f aca="false">IF(A410&lt;Hip4LaunchDate,"pre-launch","live (zero-fee)")</f>
        <v>pre-launch</v>
      </c>
      <c r="AP410" s="20"/>
      <c r="AQ410" s="20"/>
      <c r="AR410" s="20"/>
    </row>
    <row r="411" customFormat="false" ht="15" hidden="false" customHeight="false" outlineLevel="0" collapsed="false">
      <c r="A411" s="18" t="n">
        <v>45472</v>
      </c>
      <c r="B411" s="19" t="n">
        <v>288085033.56</v>
      </c>
      <c r="C411" s="19" t="n">
        <v>0</v>
      </c>
      <c r="D411" s="20"/>
      <c r="E411" s="21" t="n">
        <f aca="false">B411+C411</f>
        <v>288085033.56</v>
      </c>
      <c r="F411" s="21" t="n">
        <f aca="false">E411+D411</f>
        <v>288085033.56</v>
      </c>
      <c r="G411" s="22" t="n">
        <f aca="false">IFERROR(C411/E411,0)</f>
        <v>0</v>
      </c>
      <c r="H411" s="20"/>
      <c r="I411" s="20"/>
      <c r="J411" s="20"/>
      <c r="K411" s="21" t="n">
        <f aca="false">H411+I411</f>
        <v>0</v>
      </c>
      <c r="L411" s="20"/>
      <c r="M411" s="21" t="n">
        <f aca="false">H411-L411</f>
        <v>0</v>
      </c>
      <c r="N411" s="23" t="n">
        <f aca="false">IFERROR(M411/B411*10000,0)</f>
        <v>0</v>
      </c>
      <c r="O411" s="20"/>
      <c r="P411" s="20"/>
      <c r="Q411" s="21" t="n">
        <f aca="false">O411+P411</f>
        <v>0</v>
      </c>
      <c r="R411" s="22" t="n">
        <f aca="false">IF(A411&lt;HlpChangeDate,HlpSharePre,HlpSharePost)</f>
        <v>0.03</v>
      </c>
      <c r="S411" s="21" t="n">
        <f aca="false">Q411*R411/(1-R411)</f>
        <v>0</v>
      </c>
      <c r="T411" s="20"/>
      <c r="U411" s="21" t="n">
        <f aca="false">S411-T411</f>
        <v>0</v>
      </c>
      <c r="V411" s="21" t="n">
        <f aca="false">Y411-O411*R411/(1-R411)</f>
        <v>0</v>
      </c>
      <c r="W411" s="21" t="n">
        <f aca="false">Z411-P411*R411/(1-R411)</f>
        <v>0</v>
      </c>
      <c r="X411" s="21" t="n">
        <f aca="false">S411+V411+W411</f>
        <v>0</v>
      </c>
      <c r="Y411" s="20"/>
      <c r="Z411" s="20"/>
      <c r="AA411" s="19" t="n">
        <v>0</v>
      </c>
      <c r="AB411" s="20"/>
      <c r="AC411" s="20"/>
      <c r="AD411" s="24" t="n">
        <f aca="false">IFERROR(AA411/AC411,0)</f>
        <v>0</v>
      </c>
      <c r="AE411" s="25" t="n">
        <f aca="false">K411-Q411-X411</f>
        <v>0</v>
      </c>
      <c r="AF411" s="25" t="n">
        <f aca="false">Q411-AA411</f>
        <v>0</v>
      </c>
      <c r="AG411" s="20"/>
      <c r="AH411" s="26" t="n">
        <f aca="false">IFERROR(AG411/Q411,0)</f>
        <v>0</v>
      </c>
      <c r="AI411" s="27" t="n">
        <v>0</v>
      </c>
      <c r="AJ411" s="26" t="n">
        <f aca="false">IF(AI411&gt;0,AprCoef/SQRT(AI411),0)</f>
        <v>0</v>
      </c>
      <c r="AK411" s="24" t="n">
        <f aca="false">AI411*AJ411/365</f>
        <v>0</v>
      </c>
      <c r="AL411" s="24" t="n">
        <f aca="false">AD411</f>
        <v>0</v>
      </c>
      <c r="AM411" s="24" t="n">
        <f aca="false">AK411-AL411</f>
        <v>0</v>
      </c>
      <c r="AN411" s="28" t="str">
        <f aca="false">IF(A411&gt;=Hip3LaunchDate,"YES","")</f>
        <v/>
      </c>
      <c r="AO411" s="28" t="str">
        <f aca="false">IF(A411&lt;Hip4LaunchDate,"pre-launch","live (zero-fee)")</f>
        <v>pre-launch</v>
      </c>
      <c r="AP411" s="20"/>
      <c r="AQ411" s="20"/>
      <c r="AR411" s="20"/>
    </row>
    <row r="412" customFormat="false" ht="15" hidden="false" customHeight="false" outlineLevel="0" collapsed="false">
      <c r="A412" s="18" t="n">
        <v>45473</v>
      </c>
      <c r="B412" s="19" t="n">
        <v>662010110.56</v>
      </c>
      <c r="C412" s="19" t="n">
        <v>0</v>
      </c>
      <c r="D412" s="20"/>
      <c r="E412" s="21" t="n">
        <f aca="false">B412+C412</f>
        <v>662010110.56</v>
      </c>
      <c r="F412" s="21" t="n">
        <f aca="false">E412+D412</f>
        <v>662010110.56</v>
      </c>
      <c r="G412" s="22" t="n">
        <f aca="false">IFERROR(C412/E412,0)</f>
        <v>0</v>
      </c>
      <c r="H412" s="20"/>
      <c r="I412" s="20"/>
      <c r="J412" s="20"/>
      <c r="K412" s="21" t="n">
        <f aca="false">H412+I412</f>
        <v>0</v>
      </c>
      <c r="L412" s="20"/>
      <c r="M412" s="21" t="n">
        <f aca="false">H412-L412</f>
        <v>0</v>
      </c>
      <c r="N412" s="23" t="n">
        <f aca="false">IFERROR(M412/B412*10000,0)</f>
        <v>0</v>
      </c>
      <c r="O412" s="20"/>
      <c r="P412" s="20"/>
      <c r="Q412" s="21" t="n">
        <f aca="false">O412+P412</f>
        <v>0</v>
      </c>
      <c r="R412" s="22" t="n">
        <f aca="false">IF(A412&lt;HlpChangeDate,HlpSharePre,HlpSharePost)</f>
        <v>0.03</v>
      </c>
      <c r="S412" s="21" t="n">
        <f aca="false">Q412*R412/(1-R412)</f>
        <v>0</v>
      </c>
      <c r="T412" s="20"/>
      <c r="U412" s="21" t="n">
        <f aca="false">S412-T412</f>
        <v>0</v>
      </c>
      <c r="V412" s="21" t="n">
        <f aca="false">Y412-O412*R412/(1-R412)</f>
        <v>0</v>
      </c>
      <c r="W412" s="21" t="n">
        <f aca="false">Z412-P412*R412/(1-R412)</f>
        <v>0</v>
      </c>
      <c r="X412" s="21" t="n">
        <f aca="false">S412+V412+W412</f>
        <v>0</v>
      </c>
      <c r="Y412" s="20"/>
      <c r="Z412" s="20"/>
      <c r="AA412" s="19" t="n">
        <v>0</v>
      </c>
      <c r="AB412" s="20"/>
      <c r="AC412" s="20"/>
      <c r="AD412" s="24" t="n">
        <f aca="false">IFERROR(AA412/AC412,0)</f>
        <v>0</v>
      </c>
      <c r="AE412" s="25" t="n">
        <f aca="false">K412-Q412-X412</f>
        <v>0</v>
      </c>
      <c r="AF412" s="25" t="n">
        <f aca="false">Q412-AA412</f>
        <v>0</v>
      </c>
      <c r="AG412" s="20"/>
      <c r="AH412" s="26" t="n">
        <f aca="false">IFERROR(AG412/Q412,0)</f>
        <v>0</v>
      </c>
      <c r="AI412" s="27" t="n">
        <v>0</v>
      </c>
      <c r="AJ412" s="26" t="n">
        <f aca="false">IF(AI412&gt;0,AprCoef/SQRT(AI412),0)</f>
        <v>0</v>
      </c>
      <c r="AK412" s="24" t="n">
        <f aca="false">AI412*AJ412/365</f>
        <v>0</v>
      </c>
      <c r="AL412" s="24" t="n">
        <f aca="false">AD412</f>
        <v>0</v>
      </c>
      <c r="AM412" s="24" t="n">
        <f aca="false">AK412-AL412</f>
        <v>0</v>
      </c>
      <c r="AN412" s="28" t="str">
        <f aca="false">IF(A412&gt;=Hip3LaunchDate,"YES","")</f>
        <v/>
      </c>
      <c r="AO412" s="28" t="str">
        <f aca="false">IF(A412&lt;Hip4LaunchDate,"pre-launch","live (zero-fee)")</f>
        <v>pre-launch</v>
      </c>
      <c r="AP412" s="20"/>
      <c r="AQ412" s="20"/>
      <c r="AR412" s="20"/>
    </row>
    <row r="413" customFormat="false" ht="15" hidden="false" customHeight="false" outlineLevel="0" collapsed="false">
      <c r="A413" s="18" t="n">
        <v>45474</v>
      </c>
      <c r="B413" s="19" t="n">
        <v>803079365.96</v>
      </c>
      <c r="C413" s="19" t="n">
        <v>0</v>
      </c>
      <c r="D413" s="20"/>
      <c r="E413" s="21" t="n">
        <f aca="false">B413+C413</f>
        <v>803079365.96</v>
      </c>
      <c r="F413" s="21" t="n">
        <f aca="false">E413+D413</f>
        <v>803079365.96</v>
      </c>
      <c r="G413" s="22" t="n">
        <f aca="false">IFERROR(C413/E413,0)</f>
        <v>0</v>
      </c>
      <c r="H413" s="20"/>
      <c r="I413" s="20"/>
      <c r="J413" s="20"/>
      <c r="K413" s="21" t="n">
        <f aca="false">H413+I413</f>
        <v>0</v>
      </c>
      <c r="L413" s="20"/>
      <c r="M413" s="21" t="n">
        <f aca="false">H413-L413</f>
        <v>0</v>
      </c>
      <c r="N413" s="23" t="n">
        <f aca="false">IFERROR(M413/B413*10000,0)</f>
        <v>0</v>
      </c>
      <c r="O413" s="20"/>
      <c r="P413" s="20"/>
      <c r="Q413" s="21" t="n">
        <f aca="false">O413+P413</f>
        <v>0</v>
      </c>
      <c r="R413" s="22" t="n">
        <f aca="false">IF(A413&lt;HlpChangeDate,HlpSharePre,HlpSharePost)</f>
        <v>0.03</v>
      </c>
      <c r="S413" s="21" t="n">
        <f aca="false">Q413*R413/(1-R413)</f>
        <v>0</v>
      </c>
      <c r="T413" s="20"/>
      <c r="U413" s="21" t="n">
        <f aca="false">S413-T413</f>
        <v>0</v>
      </c>
      <c r="V413" s="21" t="n">
        <f aca="false">Y413-O413*R413/(1-R413)</f>
        <v>0</v>
      </c>
      <c r="W413" s="21" t="n">
        <f aca="false">Z413-P413*R413/(1-R413)</f>
        <v>0</v>
      </c>
      <c r="X413" s="21" t="n">
        <f aca="false">S413+V413+W413</f>
        <v>0</v>
      </c>
      <c r="Y413" s="20"/>
      <c r="Z413" s="20"/>
      <c r="AA413" s="19" t="n">
        <v>0</v>
      </c>
      <c r="AB413" s="20"/>
      <c r="AC413" s="20"/>
      <c r="AD413" s="24" t="n">
        <f aca="false">IFERROR(AA413/AC413,0)</f>
        <v>0</v>
      </c>
      <c r="AE413" s="25" t="n">
        <f aca="false">K413-Q413-X413</f>
        <v>0</v>
      </c>
      <c r="AF413" s="25" t="n">
        <f aca="false">Q413-AA413</f>
        <v>0</v>
      </c>
      <c r="AG413" s="20"/>
      <c r="AH413" s="26" t="n">
        <f aca="false">IFERROR(AG413/Q413,0)</f>
        <v>0</v>
      </c>
      <c r="AI413" s="27" t="n">
        <v>0</v>
      </c>
      <c r="AJ413" s="26" t="n">
        <f aca="false">IF(AI413&gt;0,AprCoef/SQRT(AI413),0)</f>
        <v>0</v>
      </c>
      <c r="AK413" s="24" t="n">
        <f aca="false">AI413*AJ413/365</f>
        <v>0</v>
      </c>
      <c r="AL413" s="24" t="n">
        <f aca="false">AD413</f>
        <v>0</v>
      </c>
      <c r="AM413" s="24" t="n">
        <f aca="false">AK413-AL413</f>
        <v>0</v>
      </c>
      <c r="AN413" s="28" t="str">
        <f aca="false">IF(A413&gt;=Hip3LaunchDate,"YES","")</f>
        <v/>
      </c>
      <c r="AO413" s="28" t="str">
        <f aca="false">IF(A413&lt;Hip4LaunchDate,"pre-launch","live (zero-fee)")</f>
        <v>pre-launch</v>
      </c>
      <c r="AP413" s="20"/>
      <c r="AQ413" s="20"/>
      <c r="AR413" s="20"/>
    </row>
    <row r="414" customFormat="false" ht="15" hidden="false" customHeight="false" outlineLevel="0" collapsed="false">
      <c r="A414" s="18" t="n">
        <v>45475</v>
      </c>
      <c r="B414" s="19" t="n">
        <v>712106630.42</v>
      </c>
      <c r="C414" s="19" t="n">
        <v>0</v>
      </c>
      <c r="D414" s="20"/>
      <c r="E414" s="21" t="n">
        <f aca="false">B414+C414</f>
        <v>712106630.42</v>
      </c>
      <c r="F414" s="21" t="n">
        <f aca="false">E414+D414</f>
        <v>712106630.42</v>
      </c>
      <c r="G414" s="22" t="n">
        <f aca="false">IFERROR(C414/E414,0)</f>
        <v>0</v>
      </c>
      <c r="H414" s="20"/>
      <c r="I414" s="20"/>
      <c r="J414" s="20"/>
      <c r="K414" s="21" t="n">
        <f aca="false">H414+I414</f>
        <v>0</v>
      </c>
      <c r="L414" s="20"/>
      <c r="M414" s="21" t="n">
        <f aca="false">H414-L414</f>
        <v>0</v>
      </c>
      <c r="N414" s="23" t="n">
        <f aca="false">IFERROR(M414/B414*10000,0)</f>
        <v>0</v>
      </c>
      <c r="O414" s="20"/>
      <c r="P414" s="20"/>
      <c r="Q414" s="21" t="n">
        <f aca="false">O414+P414</f>
        <v>0</v>
      </c>
      <c r="R414" s="22" t="n">
        <f aca="false">IF(A414&lt;HlpChangeDate,HlpSharePre,HlpSharePost)</f>
        <v>0.03</v>
      </c>
      <c r="S414" s="21" t="n">
        <f aca="false">Q414*R414/(1-R414)</f>
        <v>0</v>
      </c>
      <c r="T414" s="20"/>
      <c r="U414" s="21" t="n">
        <f aca="false">S414-T414</f>
        <v>0</v>
      </c>
      <c r="V414" s="21" t="n">
        <f aca="false">Y414-O414*R414/(1-R414)</f>
        <v>0</v>
      </c>
      <c r="W414" s="21" t="n">
        <f aca="false">Z414-P414*R414/(1-R414)</f>
        <v>0</v>
      </c>
      <c r="X414" s="21" t="n">
        <f aca="false">S414+V414+W414</f>
        <v>0</v>
      </c>
      <c r="Y414" s="20"/>
      <c r="Z414" s="20"/>
      <c r="AA414" s="19" t="n">
        <v>0</v>
      </c>
      <c r="AB414" s="20"/>
      <c r="AC414" s="20"/>
      <c r="AD414" s="24" t="n">
        <f aca="false">IFERROR(AA414/AC414,0)</f>
        <v>0</v>
      </c>
      <c r="AE414" s="25" t="n">
        <f aca="false">K414-Q414-X414</f>
        <v>0</v>
      </c>
      <c r="AF414" s="25" t="n">
        <f aca="false">Q414-AA414</f>
        <v>0</v>
      </c>
      <c r="AG414" s="20"/>
      <c r="AH414" s="26" t="n">
        <f aca="false">IFERROR(AG414/Q414,0)</f>
        <v>0</v>
      </c>
      <c r="AI414" s="27" t="n">
        <v>0</v>
      </c>
      <c r="AJ414" s="26" t="n">
        <f aca="false">IF(AI414&gt;0,AprCoef/SQRT(AI414),0)</f>
        <v>0</v>
      </c>
      <c r="AK414" s="24" t="n">
        <f aca="false">AI414*AJ414/365</f>
        <v>0</v>
      </c>
      <c r="AL414" s="24" t="n">
        <f aca="false">AD414</f>
        <v>0</v>
      </c>
      <c r="AM414" s="24" t="n">
        <f aca="false">AK414-AL414</f>
        <v>0</v>
      </c>
      <c r="AN414" s="28" t="str">
        <f aca="false">IF(A414&gt;=Hip3LaunchDate,"YES","")</f>
        <v/>
      </c>
      <c r="AO414" s="28" t="str">
        <f aca="false">IF(A414&lt;Hip4LaunchDate,"pre-launch","live (zero-fee)")</f>
        <v>pre-launch</v>
      </c>
      <c r="AP414" s="20"/>
      <c r="AQ414" s="20"/>
      <c r="AR414" s="20"/>
    </row>
    <row r="415" customFormat="false" ht="15" hidden="false" customHeight="false" outlineLevel="0" collapsed="false">
      <c r="A415" s="18" t="n">
        <v>45476</v>
      </c>
      <c r="B415" s="19" t="n">
        <v>1186263459.47</v>
      </c>
      <c r="C415" s="19" t="n">
        <v>0</v>
      </c>
      <c r="D415" s="20"/>
      <c r="E415" s="21" t="n">
        <f aca="false">B415+C415</f>
        <v>1186263459.47</v>
      </c>
      <c r="F415" s="21" t="n">
        <f aca="false">E415+D415</f>
        <v>1186263459.47</v>
      </c>
      <c r="G415" s="22" t="n">
        <f aca="false">IFERROR(C415/E415,0)</f>
        <v>0</v>
      </c>
      <c r="H415" s="20"/>
      <c r="I415" s="20"/>
      <c r="J415" s="20"/>
      <c r="K415" s="21" t="n">
        <f aca="false">H415+I415</f>
        <v>0</v>
      </c>
      <c r="L415" s="20"/>
      <c r="M415" s="21" t="n">
        <f aca="false">H415-L415</f>
        <v>0</v>
      </c>
      <c r="N415" s="23" t="n">
        <f aca="false">IFERROR(M415/B415*10000,0)</f>
        <v>0</v>
      </c>
      <c r="O415" s="20"/>
      <c r="P415" s="20"/>
      <c r="Q415" s="21" t="n">
        <f aca="false">O415+P415</f>
        <v>0</v>
      </c>
      <c r="R415" s="22" t="n">
        <f aca="false">IF(A415&lt;HlpChangeDate,HlpSharePre,HlpSharePost)</f>
        <v>0.03</v>
      </c>
      <c r="S415" s="21" t="n">
        <f aca="false">Q415*R415/(1-R415)</f>
        <v>0</v>
      </c>
      <c r="T415" s="20"/>
      <c r="U415" s="21" t="n">
        <f aca="false">S415-T415</f>
        <v>0</v>
      </c>
      <c r="V415" s="21" t="n">
        <f aca="false">Y415-O415*R415/(1-R415)</f>
        <v>0</v>
      </c>
      <c r="W415" s="21" t="n">
        <f aca="false">Z415-P415*R415/(1-R415)</f>
        <v>0</v>
      </c>
      <c r="X415" s="21" t="n">
        <f aca="false">S415+V415+W415</f>
        <v>0</v>
      </c>
      <c r="Y415" s="20"/>
      <c r="Z415" s="20"/>
      <c r="AA415" s="19" t="n">
        <v>0</v>
      </c>
      <c r="AB415" s="20"/>
      <c r="AC415" s="20"/>
      <c r="AD415" s="24" t="n">
        <f aca="false">IFERROR(AA415/AC415,0)</f>
        <v>0</v>
      </c>
      <c r="AE415" s="25" t="n">
        <f aca="false">K415-Q415-X415</f>
        <v>0</v>
      </c>
      <c r="AF415" s="25" t="n">
        <f aca="false">Q415-AA415</f>
        <v>0</v>
      </c>
      <c r="AG415" s="20"/>
      <c r="AH415" s="26" t="n">
        <f aca="false">IFERROR(AG415/Q415,0)</f>
        <v>0</v>
      </c>
      <c r="AI415" s="27" t="n">
        <v>0</v>
      </c>
      <c r="AJ415" s="26" t="n">
        <f aca="false">IF(AI415&gt;0,AprCoef/SQRT(AI415),0)</f>
        <v>0</v>
      </c>
      <c r="AK415" s="24" t="n">
        <f aca="false">AI415*AJ415/365</f>
        <v>0</v>
      </c>
      <c r="AL415" s="24" t="n">
        <f aca="false">AD415</f>
        <v>0</v>
      </c>
      <c r="AM415" s="24" t="n">
        <f aca="false">AK415-AL415</f>
        <v>0</v>
      </c>
      <c r="AN415" s="28" t="str">
        <f aca="false">IF(A415&gt;=Hip3LaunchDate,"YES","")</f>
        <v/>
      </c>
      <c r="AO415" s="28" t="str">
        <f aca="false">IF(A415&lt;Hip4LaunchDate,"pre-launch","live (zero-fee)")</f>
        <v>pre-launch</v>
      </c>
      <c r="AP415" s="20"/>
      <c r="AQ415" s="20"/>
      <c r="AR415" s="20"/>
    </row>
    <row r="416" customFormat="false" ht="15" hidden="false" customHeight="false" outlineLevel="0" collapsed="false">
      <c r="A416" s="18" t="n">
        <v>45477</v>
      </c>
      <c r="B416" s="19" t="n">
        <v>1641415260.41</v>
      </c>
      <c r="C416" s="19" t="n">
        <v>0</v>
      </c>
      <c r="D416" s="20"/>
      <c r="E416" s="21" t="n">
        <f aca="false">B416+C416</f>
        <v>1641415260.41</v>
      </c>
      <c r="F416" s="21" t="n">
        <f aca="false">E416+D416</f>
        <v>1641415260.41</v>
      </c>
      <c r="G416" s="22" t="n">
        <f aca="false">IFERROR(C416/E416,0)</f>
        <v>0</v>
      </c>
      <c r="H416" s="20"/>
      <c r="I416" s="20"/>
      <c r="J416" s="20"/>
      <c r="K416" s="21" t="n">
        <f aca="false">H416+I416</f>
        <v>0</v>
      </c>
      <c r="L416" s="20"/>
      <c r="M416" s="21" t="n">
        <f aca="false">H416-L416</f>
        <v>0</v>
      </c>
      <c r="N416" s="23" t="n">
        <f aca="false">IFERROR(M416/B416*10000,0)</f>
        <v>0</v>
      </c>
      <c r="O416" s="20"/>
      <c r="P416" s="20"/>
      <c r="Q416" s="21" t="n">
        <f aca="false">O416+P416</f>
        <v>0</v>
      </c>
      <c r="R416" s="22" t="n">
        <f aca="false">IF(A416&lt;HlpChangeDate,HlpSharePre,HlpSharePost)</f>
        <v>0.03</v>
      </c>
      <c r="S416" s="21" t="n">
        <f aca="false">Q416*R416/(1-R416)</f>
        <v>0</v>
      </c>
      <c r="T416" s="20"/>
      <c r="U416" s="21" t="n">
        <f aca="false">S416-T416</f>
        <v>0</v>
      </c>
      <c r="V416" s="21" t="n">
        <f aca="false">Y416-O416*R416/(1-R416)</f>
        <v>0</v>
      </c>
      <c r="W416" s="21" t="n">
        <f aca="false">Z416-P416*R416/(1-R416)</f>
        <v>0</v>
      </c>
      <c r="X416" s="21" t="n">
        <f aca="false">S416+V416+W416</f>
        <v>0</v>
      </c>
      <c r="Y416" s="20"/>
      <c r="Z416" s="20"/>
      <c r="AA416" s="19" t="n">
        <v>0</v>
      </c>
      <c r="AB416" s="20"/>
      <c r="AC416" s="20"/>
      <c r="AD416" s="24" t="n">
        <f aca="false">IFERROR(AA416/AC416,0)</f>
        <v>0</v>
      </c>
      <c r="AE416" s="25" t="n">
        <f aca="false">K416-Q416-X416</f>
        <v>0</v>
      </c>
      <c r="AF416" s="25" t="n">
        <f aca="false">Q416-AA416</f>
        <v>0</v>
      </c>
      <c r="AG416" s="20"/>
      <c r="AH416" s="26" t="n">
        <f aca="false">IFERROR(AG416/Q416,0)</f>
        <v>0</v>
      </c>
      <c r="AI416" s="27" t="n">
        <v>0</v>
      </c>
      <c r="AJ416" s="26" t="n">
        <f aca="false">IF(AI416&gt;0,AprCoef/SQRT(AI416),0)</f>
        <v>0</v>
      </c>
      <c r="AK416" s="24" t="n">
        <f aca="false">AI416*AJ416/365</f>
        <v>0</v>
      </c>
      <c r="AL416" s="24" t="n">
        <f aca="false">AD416</f>
        <v>0</v>
      </c>
      <c r="AM416" s="24" t="n">
        <f aca="false">AK416-AL416</f>
        <v>0</v>
      </c>
      <c r="AN416" s="28" t="str">
        <f aca="false">IF(A416&gt;=Hip3LaunchDate,"YES","")</f>
        <v/>
      </c>
      <c r="AO416" s="28" t="str">
        <f aca="false">IF(A416&lt;Hip4LaunchDate,"pre-launch","live (zero-fee)")</f>
        <v>pre-launch</v>
      </c>
      <c r="AP416" s="20"/>
      <c r="AQ416" s="20"/>
      <c r="AR416" s="20"/>
    </row>
    <row r="417" customFormat="false" ht="15" hidden="false" customHeight="false" outlineLevel="0" collapsed="false">
      <c r="A417" s="18" t="n">
        <v>45478</v>
      </c>
      <c r="B417" s="19" t="n">
        <v>2150725815.55</v>
      </c>
      <c r="C417" s="19" t="n">
        <v>0</v>
      </c>
      <c r="D417" s="20"/>
      <c r="E417" s="21" t="n">
        <f aca="false">B417+C417</f>
        <v>2150725815.55</v>
      </c>
      <c r="F417" s="21" t="n">
        <f aca="false">E417+D417</f>
        <v>2150725815.55</v>
      </c>
      <c r="G417" s="22" t="n">
        <f aca="false">IFERROR(C417/E417,0)</f>
        <v>0</v>
      </c>
      <c r="H417" s="20"/>
      <c r="I417" s="20"/>
      <c r="J417" s="20"/>
      <c r="K417" s="21" t="n">
        <f aca="false">H417+I417</f>
        <v>0</v>
      </c>
      <c r="L417" s="20"/>
      <c r="M417" s="21" t="n">
        <f aca="false">H417-L417</f>
        <v>0</v>
      </c>
      <c r="N417" s="23" t="n">
        <f aca="false">IFERROR(M417/B417*10000,0)</f>
        <v>0</v>
      </c>
      <c r="O417" s="20"/>
      <c r="P417" s="20"/>
      <c r="Q417" s="21" t="n">
        <f aca="false">O417+P417</f>
        <v>0</v>
      </c>
      <c r="R417" s="22" t="n">
        <f aca="false">IF(A417&lt;HlpChangeDate,HlpSharePre,HlpSharePost)</f>
        <v>0.03</v>
      </c>
      <c r="S417" s="21" t="n">
        <f aca="false">Q417*R417/(1-R417)</f>
        <v>0</v>
      </c>
      <c r="T417" s="20"/>
      <c r="U417" s="21" t="n">
        <f aca="false">S417-T417</f>
        <v>0</v>
      </c>
      <c r="V417" s="21" t="n">
        <f aca="false">Y417-O417*R417/(1-R417)</f>
        <v>0</v>
      </c>
      <c r="W417" s="21" t="n">
        <f aca="false">Z417-P417*R417/(1-R417)</f>
        <v>0</v>
      </c>
      <c r="X417" s="21" t="n">
        <f aca="false">S417+V417+W417</f>
        <v>0</v>
      </c>
      <c r="Y417" s="20"/>
      <c r="Z417" s="20"/>
      <c r="AA417" s="19" t="n">
        <v>0</v>
      </c>
      <c r="AB417" s="20"/>
      <c r="AC417" s="20"/>
      <c r="AD417" s="24" t="n">
        <f aca="false">IFERROR(AA417/AC417,0)</f>
        <v>0</v>
      </c>
      <c r="AE417" s="25" t="n">
        <f aca="false">K417-Q417-X417</f>
        <v>0</v>
      </c>
      <c r="AF417" s="25" t="n">
        <f aca="false">Q417-AA417</f>
        <v>0</v>
      </c>
      <c r="AG417" s="20"/>
      <c r="AH417" s="26" t="n">
        <f aca="false">IFERROR(AG417/Q417,0)</f>
        <v>0</v>
      </c>
      <c r="AI417" s="27" t="n">
        <v>0</v>
      </c>
      <c r="AJ417" s="26" t="n">
        <f aca="false">IF(AI417&gt;0,AprCoef/SQRT(AI417),0)</f>
        <v>0</v>
      </c>
      <c r="AK417" s="24" t="n">
        <f aca="false">AI417*AJ417/365</f>
        <v>0</v>
      </c>
      <c r="AL417" s="24" t="n">
        <f aca="false">AD417</f>
        <v>0</v>
      </c>
      <c r="AM417" s="24" t="n">
        <f aca="false">AK417-AL417</f>
        <v>0</v>
      </c>
      <c r="AN417" s="28" t="str">
        <f aca="false">IF(A417&gt;=Hip3LaunchDate,"YES","")</f>
        <v/>
      </c>
      <c r="AO417" s="28" t="str">
        <f aca="false">IF(A417&lt;Hip4LaunchDate,"pre-launch","live (zero-fee)")</f>
        <v>pre-launch</v>
      </c>
      <c r="AP417" s="20"/>
      <c r="AQ417" s="20"/>
      <c r="AR417" s="20"/>
    </row>
    <row r="418" customFormat="false" ht="15" hidden="false" customHeight="false" outlineLevel="0" collapsed="false">
      <c r="A418" s="18" t="n">
        <v>45479</v>
      </c>
      <c r="B418" s="19" t="n">
        <v>659063930.35</v>
      </c>
      <c r="C418" s="19" t="n">
        <v>0</v>
      </c>
      <c r="D418" s="20"/>
      <c r="E418" s="21" t="n">
        <f aca="false">B418+C418</f>
        <v>659063930.35</v>
      </c>
      <c r="F418" s="21" t="n">
        <f aca="false">E418+D418</f>
        <v>659063930.35</v>
      </c>
      <c r="G418" s="22" t="n">
        <f aca="false">IFERROR(C418/E418,0)</f>
        <v>0</v>
      </c>
      <c r="H418" s="20"/>
      <c r="I418" s="20"/>
      <c r="J418" s="20"/>
      <c r="K418" s="21" t="n">
        <f aca="false">H418+I418</f>
        <v>0</v>
      </c>
      <c r="L418" s="20"/>
      <c r="M418" s="21" t="n">
        <f aca="false">H418-L418</f>
        <v>0</v>
      </c>
      <c r="N418" s="23" t="n">
        <f aca="false">IFERROR(M418/B418*10000,0)</f>
        <v>0</v>
      </c>
      <c r="O418" s="20"/>
      <c r="P418" s="20"/>
      <c r="Q418" s="21" t="n">
        <f aca="false">O418+P418</f>
        <v>0</v>
      </c>
      <c r="R418" s="22" t="n">
        <f aca="false">IF(A418&lt;HlpChangeDate,HlpSharePre,HlpSharePost)</f>
        <v>0.03</v>
      </c>
      <c r="S418" s="21" t="n">
        <f aca="false">Q418*R418/(1-R418)</f>
        <v>0</v>
      </c>
      <c r="T418" s="20"/>
      <c r="U418" s="21" t="n">
        <f aca="false">S418-T418</f>
        <v>0</v>
      </c>
      <c r="V418" s="21" t="n">
        <f aca="false">Y418-O418*R418/(1-R418)</f>
        <v>0</v>
      </c>
      <c r="W418" s="21" t="n">
        <f aca="false">Z418-P418*R418/(1-R418)</f>
        <v>0</v>
      </c>
      <c r="X418" s="21" t="n">
        <f aca="false">S418+V418+W418</f>
        <v>0</v>
      </c>
      <c r="Y418" s="20"/>
      <c r="Z418" s="20"/>
      <c r="AA418" s="19" t="n">
        <v>0</v>
      </c>
      <c r="AB418" s="20"/>
      <c r="AC418" s="20"/>
      <c r="AD418" s="24" t="n">
        <f aca="false">IFERROR(AA418/AC418,0)</f>
        <v>0</v>
      </c>
      <c r="AE418" s="25" t="n">
        <f aca="false">K418-Q418-X418</f>
        <v>0</v>
      </c>
      <c r="AF418" s="25" t="n">
        <f aca="false">Q418-AA418</f>
        <v>0</v>
      </c>
      <c r="AG418" s="20"/>
      <c r="AH418" s="26" t="n">
        <f aca="false">IFERROR(AG418/Q418,0)</f>
        <v>0</v>
      </c>
      <c r="AI418" s="27" t="n">
        <v>0</v>
      </c>
      <c r="AJ418" s="26" t="n">
        <f aca="false">IF(AI418&gt;0,AprCoef/SQRT(AI418),0)</f>
        <v>0</v>
      </c>
      <c r="AK418" s="24" t="n">
        <f aca="false">AI418*AJ418/365</f>
        <v>0</v>
      </c>
      <c r="AL418" s="24" t="n">
        <f aca="false">AD418</f>
        <v>0</v>
      </c>
      <c r="AM418" s="24" t="n">
        <f aca="false">AK418-AL418</f>
        <v>0</v>
      </c>
      <c r="AN418" s="28" t="str">
        <f aca="false">IF(A418&gt;=Hip3LaunchDate,"YES","")</f>
        <v/>
      </c>
      <c r="AO418" s="28" t="str">
        <f aca="false">IF(A418&lt;Hip4LaunchDate,"pre-launch","live (zero-fee)")</f>
        <v>pre-launch</v>
      </c>
      <c r="AP418" s="20"/>
      <c r="AQ418" s="20"/>
      <c r="AR418" s="20"/>
    </row>
    <row r="419" customFormat="false" ht="15" hidden="false" customHeight="false" outlineLevel="0" collapsed="false">
      <c r="A419" s="18" t="n">
        <v>45480</v>
      </c>
      <c r="B419" s="19" t="n">
        <v>629530384.44</v>
      </c>
      <c r="C419" s="19" t="n">
        <v>0</v>
      </c>
      <c r="D419" s="20"/>
      <c r="E419" s="21" t="n">
        <f aca="false">B419+C419</f>
        <v>629530384.44</v>
      </c>
      <c r="F419" s="21" t="n">
        <f aca="false">E419+D419</f>
        <v>629530384.44</v>
      </c>
      <c r="G419" s="22" t="n">
        <f aca="false">IFERROR(C419/E419,0)</f>
        <v>0</v>
      </c>
      <c r="H419" s="20"/>
      <c r="I419" s="20"/>
      <c r="J419" s="20"/>
      <c r="K419" s="21" t="n">
        <f aca="false">H419+I419</f>
        <v>0</v>
      </c>
      <c r="L419" s="20"/>
      <c r="M419" s="21" t="n">
        <f aca="false">H419-L419</f>
        <v>0</v>
      </c>
      <c r="N419" s="23" t="n">
        <f aca="false">IFERROR(M419/B419*10000,0)</f>
        <v>0</v>
      </c>
      <c r="O419" s="20"/>
      <c r="P419" s="20"/>
      <c r="Q419" s="21" t="n">
        <f aca="false">O419+P419</f>
        <v>0</v>
      </c>
      <c r="R419" s="22" t="n">
        <f aca="false">IF(A419&lt;HlpChangeDate,HlpSharePre,HlpSharePost)</f>
        <v>0.03</v>
      </c>
      <c r="S419" s="21" t="n">
        <f aca="false">Q419*R419/(1-R419)</f>
        <v>0</v>
      </c>
      <c r="T419" s="20"/>
      <c r="U419" s="21" t="n">
        <f aca="false">S419-T419</f>
        <v>0</v>
      </c>
      <c r="V419" s="21" t="n">
        <f aca="false">Y419-O419*R419/(1-R419)</f>
        <v>0</v>
      </c>
      <c r="W419" s="21" t="n">
        <f aca="false">Z419-P419*R419/(1-R419)</f>
        <v>0</v>
      </c>
      <c r="X419" s="21" t="n">
        <f aca="false">S419+V419+W419</f>
        <v>0</v>
      </c>
      <c r="Y419" s="20"/>
      <c r="Z419" s="20"/>
      <c r="AA419" s="19" t="n">
        <v>0</v>
      </c>
      <c r="AB419" s="20"/>
      <c r="AC419" s="20"/>
      <c r="AD419" s="24" t="n">
        <f aca="false">IFERROR(AA419/AC419,0)</f>
        <v>0</v>
      </c>
      <c r="AE419" s="25" t="n">
        <f aca="false">K419-Q419-X419</f>
        <v>0</v>
      </c>
      <c r="AF419" s="25" t="n">
        <f aca="false">Q419-AA419</f>
        <v>0</v>
      </c>
      <c r="AG419" s="20"/>
      <c r="AH419" s="26" t="n">
        <f aca="false">IFERROR(AG419/Q419,0)</f>
        <v>0</v>
      </c>
      <c r="AI419" s="27" t="n">
        <v>0</v>
      </c>
      <c r="AJ419" s="26" t="n">
        <f aca="false">IF(AI419&gt;0,AprCoef/SQRT(AI419),0)</f>
        <v>0</v>
      </c>
      <c r="AK419" s="24" t="n">
        <f aca="false">AI419*AJ419/365</f>
        <v>0</v>
      </c>
      <c r="AL419" s="24" t="n">
        <f aca="false">AD419</f>
        <v>0</v>
      </c>
      <c r="AM419" s="24" t="n">
        <f aca="false">AK419-AL419</f>
        <v>0</v>
      </c>
      <c r="AN419" s="28" t="str">
        <f aca="false">IF(A419&gt;=Hip3LaunchDate,"YES","")</f>
        <v/>
      </c>
      <c r="AO419" s="28" t="str">
        <f aca="false">IF(A419&lt;Hip4LaunchDate,"pre-launch","live (zero-fee)")</f>
        <v>pre-launch</v>
      </c>
      <c r="AP419" s="20"/>
      <c r="AQ419" s="20"/>
      <c r="AR419" s="20"/>
    </row>
    <row r="420" customFormat="false" ht="15" hidden="false" customHeight="false" outlineLevel="0" collapsed="false">
      <c r="A420" s="18" t="n">
        <v>45481</v>
      </c>
      <c r="B420" s="19" t="n">
        <v>1488194426.74</v>
      </c>
      <c r="C420" s="19" t="n">
        <v>0</v>
      </c>
      <c r="D420" s="20"/>
      <c r="E420" s="21" t="n">
        <f aca="false">B420+C420</f>
        <v>1488194426.74</v>
      </c>
      <c r="F420" s="21" t="n">
        <f aca="false">E420+D420</f>
        <v>1488194426.74</v>
      </c>
      <c r="G420" s="22" t="n">
        <f aca="false">IFERROR(C420/E420,0)</f>
        <v>0</v>
      </c>
      <c r="H420" s="20"/>
      <c r="I420" s="20"/>
      <c r="J420" s="20"/>
      <c r="K420" s="21" t="n">
        <f aca="false">H420+I420</f>
        <v>0</v>
      </c>
      <c r="L420" s="20"/>
      <c r="M420" s="21" t="n">
        <f aca="false">H420-L420</f>
        <v>0</v>
      </c>
      <c r="N420" s="23" t="n">
        <f aca="false">IFERROR(M420/B420*10000,0)</f>
        <v>0</v>
      </c>
      <c r="O420" s="20"/>
      <c r="P420" s="20"/>
      <c r="Q420" s="21" t="n">
        <f aca="false">O420+P420</f>
        <v>0</v>
      </c>
      <c r="R420" s="22" t="n">
        <f aca="false">IF(A420&lt;HlpChangeDate,HlpSharePre,HlpSharePost)</f>
        <v>0.03</v>
      </c>
      <c r="S420" s="21" t="n">
        <f aca="false">Q420*R420/(1-R420)</f>
        <v>0</v>
      </c>
      <c r="T420" s="20"/>
      <c r="U420" s="21" t="n">
        <f aca="false">S420-T420</f>
        <v>0</v>
      </c>
      <c r="V420" s="21" t="n">
        <f aca="false">Y420-O420*R420/(1-R420)</f>
        <v>0</v>
      </c>
      <c r="W420" s="21" t="n">
        <f aca="false">Z420-P420*R420/(1-R420)</f>
        <v>0</v>
      </c>
      <c r="X420" s="21" t="n">
        <f aca="false">S420+V420+W420</f>
        <v>0</v>
      </c>
      <c r="Y420" s="20"/>
      <c r="Z420" s="20"/>
      <c r="AA420" s="19" t="n">
        <v>0</v>
      </c>
      <c r="AB420" s="20"/>
      <c r="AC420" s="20"/>
      <c r="AD420" s="24" t="n">
        <f aca="false">IFERROR(AA420/AC420,0)</f>
        <v>0</v>
      </c>
      <c r="AE420" s="25" t="n">
        <f aca="false">K420-Q420-X420</f>
        <v>0</v>
      </c>
      <c r="AF420" s="25" t="n">
        <f aca="false">Q420-AA420</f>
        <v>0</v>
      </c>
      <c r="AG420" s="20"/>
      <c r="AH420" s="26" t="n">
        <f aca="false">IFERROR(AG420/Q420,0)</f>
        <v>0</v>
      </c>
      <c r="AI420" s="27" t="n">
        <v>0</v>
      </c>
      <c r="AJ420" s="26" t="n">
        <f aca="false">IF(AI420&gt;0,AprCoef/SQRT(AI420),0)</f>
        <v>0</v>
      </c>
      <c r="AK420" s="24" t="n">
        <f aca="false">AI420*AJ420/365</f>
        <v>0</v>
      </c>
      <c r="AL420" s="24" t="n">
        <f aca="false">AD420</f>
        <v>0</v>
      </c>
      <c r="AM420" s="24" t="n">
        <f aca="false">AK420-AL420</f>
        <v>0</v>
      </c>
      <c r="AN420" s="28" t="str">
        <f aca="false">IF(A420&gt;=Hip3LaunchDate,"YES","")</f>
        <v/>
      </c>
      <c r="AO420" s="28" t="str">
        <f aca="false">IF(A420&lt;Hip4LaunchDate,"pre-launch","live (zero-fee)")</f>
        <v>pre-launch</v>
      </c>
      <c r="AP420" s="20"/>
      <c r="AQ420" s="20"/>
      <c r="AR420" s="20"/>
    </row>
    <row r="421" customFormat="false" ht="15" hidden="false" customHeight="false" outlineLevel="0" collapsed="false">
      <c r="A421" s="18" t="n">
        <v>45482</v>
      </c>
      <c r="B421" s="19" t="n">
        <v>1079099382.67</v>
      </c>
      <c r="C421" s="19" t="n">
        <v>0</v>
      </c>
      <c r="D421" s="20"/>
      <c r="E421" s="21" t="n">
        <f aca="false">B421+C421</f>
        <v>1079099382.67</v>
      </c>
      <c r="F421" s="21" t="n">
        <f aca="false">E421+D421</f>
        <v>1079099382.67</v>
      </c>
      <c r="G421" s="22" t="n">
        <f aca="false">IFERROR(C421/E421,0)</f>
        <v>0</v>
      </c>
      <c r="H421" s="20"/>
      <c r="I421" s="20"/>
      <c r="J421" s="20"/>
      <c r="K421" s="21" t="n">
        <f aca="false">H421+I421</f>
        <v>0</v>
      </c>
      <c r="L421" s="20"/>
      <c r="M421" s="21" t="n">
        <f aca="false">H421-L421</f>
        <v>0</v>
      </c>
      <c r="N421" s="23" t="n">
        <f aca="false">IFERROR(M421/B421*10000,0)</f>
        <v>0</v>
      </c>
      <c r="O421" s="20"/>
      <c r="P421" s="20"/>
      <c r="Q421" s="21" t="n">
        <f aca="false">O421+P421</f>
        <v>0</v>
      </c>
      <c r="R421" s="22" t="n">
        <f aca="false">IF(A421&lt;HlpChangeDate,HlpSharePre,HlpSharePost)</f>
        <v>0.03</v>
      </c>
      <c r="S421" s="21" t="n">
        <f aca="false">Q421*R421/(1-R421)</f>
        <v>0</v>
      </c>
      <c r="T421" s="20"/>
      <c r="U421" s="21" t="n">
        <f aca="false">S421-T421</f>
        <v>0</v>
      </c>
      <c r="V421" s="21" t="n">
        <f aca="false">Y421-O421*R421/(1-R421)</f>
        <v>0</v>
      </c>
      <c r="W421" s="21" t="n">
        <f aca="false">Z421-P421*R421/(1-R421)</f>
        <v>0</v>
      </c>
      <c r="X421" s="21" t="n">
        <f aca="false">S421+V421+W421</f>
        <v>0</v>
      </c>
      <c r="Y421" s="20"/>
      <c r="Z421" s="20"/>
      <c r="AA421" s="19" t="n">
        <v>0</v>
      </c>
      <c r="AB421" s="20"/>
      <c r="AC421" s="20"/>
      <c r="AD421" s="24" t="n">
        <f aca="false">IFERROR(AA421/AC421,0)</f>
        <v>0</v>
      </c>
      <c r="AE421" s="25" t="n">
        <f aca="false">K421-Q421-X421</f>
        <v>0</v>
      </c>
      <c r="AF421" s="25" t="n">
        <f aca="false">Q421-AA421</f>
        <v>0</v>
      </c>
      <c r="AG421" s="20"/>
      <c r="AH421" s="26" t="n">
        <f aca="false">IFERROR(AG421/Q421,0)</f>
        <v>0</v>
      </c>
      <c r="AI421" s="27" t="n">
        <v>0</v>
      </c>
      <c r="AJ421" s="26" t="n">
        <f aca="false">IF(AI421&gt;0,AprCoef/SQRT(AI421),0)</f>
        <v>0</v>
      </c>
      <c r="AK421" s="24" t="n">
        <f aca="false">AI421*AJ421/365</f>
        <v>0</v>
      </c>
      <c r="AL421" s="24" t="n">
        <f aca="false">AD421</f>
        <v>0</v>
      </c>
      <c r="AM421" s="24" t="n">
        <f aca="false">AK421-AL421</f>
        <v>0</v>
      </c>
      <c r="AN421" s="28" t="str">
        <f aca="false">IF(A421&gt;=Hip3LaunchDate,"YES","")</f>
        <v/>
      </c>
      <c r="AO421" s="28" t="str">
        <f aca="false">IF(A421&lt;Hip4LaunchDate,"pre-launch","live (zero-fee)")</f>
        <v>pre-launch</v>
      </c>
      <c r="AP421" s="20"/>
      <c r="AQ421" s="20"/>
      <c r="AR421" s="20"/>
    </row>
    <row r="422" customFormat="false" ht="15" hidden="false" customHeight="false" outlineLevel="0" collapsed="false">
      <c r="A422" s="18" t="n">
        <v>45483</v>
      </c>
      <c r="B422" s="19" t="n">
        <v>1189588847.25</v>
      </c>
      <c r="C422" s="19" t="n">
        <v>0</v>
      </c>
      <c r="D422" s="20"/>
      <c r="E422" s="21" t="n">
        <f aca="false">B422+C422</f>
        <v>1189588847.25</v>
      </c>
      <c r="F422" s="21" t="n">
        <f aca="false">E422+D422</f>
        <v>1189588847.25</v>
      </c>
      <c r="G422" s="22" t="n">
        <f aca="false">IFERROR(C422/E422,0)</f>
        <v>0</v>
      </c>
      <c r="H422" s="20"/>
      <c r="I422" s="20"/>
      <c r="J422" s="20"/>
      <c r="K422" s="21" t="n">
        <f aca="false">H422+I422</f>
        <v>0</v>
      </c>
      <c r="L422" s="20"/>
      <c r="M422" s="21" t="n">
        <f aca="false">H422-L422</f>
        <v>0</v>
      </c>
      <c r="N422" s="23" t="n">
        <f aca="false">IFERROR(M422/B422*10000,0)</f>
        <v>0</v>
      </c>
      <c r="O422" s="20"/>
      <c r="P422" s="20"/>
      <c r="Q422" s="21" t="n">
        <f aca="false">O422+P422</f>
        <v>0</v>
      </c>
      <c r="R422" s="22" t="n">
        <f aca="false">IF(A422&lt;HlpChangeDate,HlpSharePre,HlpSharePost)</f>
        <v>0.03</v>
      </c>
      <c r="S422" s="21" t="n">
        <f aca="false">Q422*R422/(1-R422)</f>
        <v>0</v>
      </c>
      <c r="T422" s="20"/>
      <c r="U422" s="21" t="n">
        <f aca="false">S422-T422</f>
        <v>0</v>
      </c>
      <c r="V422" s="21" t="n">
        <f aca="false">Y422-O422*R422/(1-R422)</f>
        <v>0</v>
      </c>
      <c r="W422" s="21" t="n">
        <f aca="false">Z422-P422*R422/(1-R422)</f>
        <v>0</v>
      </c>
      <c r="X422" s="21" t="n">
        <f aca="false">S422+V422+W422</f>
        <v>0</v>
      </c>
      <c r="Y422" s="20"/>
      <c r="Z422" s="20"/>
      <c r="AA422" s="19" t="n">
        <v>0</v>
      </c>
      <c r="AB422" s="20"/>
      <c r="AC422" s="20"/>
      <c r="AD422" s="24" t="n">
        <f aca="false">IFERROR(AA422/AC422,0)</f>
        <v>0</v>
      </c>
      <c r="AE422" s="25" t="n">
        <f aca="false">K422-Q422-X422</f>
        <v>0</v>
      </c>
      <c r="AF422" s="25" t="n">
        <f aca="false">Q422-AA422</f>
        <v>0</v>
      </c>
      <c r="AG422" s="20"/>
      <c r="AH422" s="26" t="n">
        <f aca="false">IFERROR(AG422/Q422,0)</f>
        <v>0</v>
      </c>
      <c r="AI422" s="27" t="n">
        <v>0</v>
      </c>
      <c r="AJ422" s="26" t="n">
        <f aca="false">IF(AI422&gt;0,AprCoef/SQRT(AI422),0)</f>
        <v>0</v>
      </c>
      <c r="AK422" s="24" t="n">
        <f aca="false">AI422*AJ422/365</f>
        <v>0</v>
      </c>
      <c r="AL422" s="24" t="n">
        <f aca="false">AD422</f>
        <v>0</v>
      </c>
      <c r="AM422" s="24" t="n">
        <f aca="false">AK422-AL422</f>
        <v>0</v>
      </c>
      <c r="AN422" s="28" t="str">
        <f aca="false">IF(A422&gt;=Hip3LaunchDate,"YES","")</f>
        <v/>
      </c>
      <c r="AO422" s="28" t="str">
        <f aca="false">IF(A422&lt;Hip4LaunchDate,"pre-launch","live (zero-fee)")</f>
        <v>pre-launch</v>
      </c>
      <c r="AP422" s="20"/>
      <c r="AQ422" s="20"/>
      <c r="AR422" s="20"/>
    </row>
    <row r="423" customFormat="false" ht="15" hidden="false" customHeight="false" outlineLevel="0" collapsed="false">
      <c r="A423" s="18" t="n">
        <v>45484</v>
      </c>
      <c r="B423" s="19" t="n">
        <v>1022241208.7</v>
      </c>
      <c r="C423" s="19" t="n">
        <v>0</v>
      </c>
      <c r="D423" s="20"/>
      <c r="E423" s="21" t="n">
        <f aca="false">B423+C423</f>
        <v>1022241208.7</v>
      </c>
      <c r="F423" s="21" t="n">
        <f aca="false">E423+D423</f>
        <v>1022241208.7</v>
      </c>
      <c r="G423" s="22" t="n">
        <f aca="false">IFERROR(C423/E423,0)</f>
        <v>0</v>
      </c>
      <c r="H423" s="20"/>
      <c r="I423" s="20"/>
      <c r="J423" s="20"/>
      <c r="K423" s="21" t="n">
        <f aca="false">H423+I423</f>
        <v>0</v>
      </c>
      <c r="L423" s="20"/>
      <c r="M423" s="21" t="n">
        <f aca="false">H423-L423</f>
        <v>0</v>
      </c>
      <c r="N423" s="23" t="n">
        <f aca="false">IFERROR(M423/B423*10000,0)</f>
        <v>0</v>
      </c>
      <c r="O423" s="20"/>
      <c r="P423" s="20"/>
      <c r="Q423" s="21" t="n">
        <f aca="false">O423+P423</f>
        <v>0</v>
      </c>
      <c r="R423" s="22" t="n">
        <f aca="false">IF(A423&lt;HlpChangeDate,HlpSharePre,HlpSharePost)</f>
        <v>0.03</v>
      </c>
      <c r="S423" s="21" t="n">
        <f aca="false">Q423*R423/(1-R423)</f>
        <v>0</v>
      </c>
      <c r="T423" s="20"/>
      <c r="U423" s="21" t="n">
        <f aca="false">S423-T423</f>
        <v>0</v>
      </c>
      <c r="V423" s="21" t="n">
        <f aca="false">Y423-O423*R423/(1-R423)</f>
        <v>0</v>
      </c>
      <c r="W423" s="21" t="n">
        <f aca="false">Z423-P423*R423/(1-R423)</f>
        <v>0</v>
      </c>
      <c r="X423" s="21" t="n">
        <f aca="false">S423+V423+W423</f>
        <v>0</v>
      </c>
      <c r="Y423" s="20"/>
      <c r="Z423" s="20"/>
      <c r="AA423" s="19" t="n">
        <v>0</v>
      </c>
      <c r="AB423" s="20"/>
      <c r="AC423" s="20"/>
      <c r="AD423" s="24" t="n">
        <f aca="false">IFERROR(AA423/AC423,0)</f>
        <v>0</v>
      </c>
      <c r="AE423" s="25" t="n">
        <f aca="false">K423-Q423-X423</f>
        <v>0</v>
      </c>
      <c r="AF423" s="25" t="n">
        <f aca="false">Q423-AA423</f>
        <v>0</v>
      </c>
      <c r="AG423" s="20"/>
      <c r="AH423" s="26" t="n">
        <f aca="false">IFERROR(AG423/Q423,0)</f>
        <v>0</v>
      </c>
      <c r="AI423" s="27" t="n">
        <v>0</v>
      </c>
      <c r="AJ423" s="26" t="n">
        <f aca="false">IF(AI423&gt;0,AprCoef/SQRT(AI423),0)</f>
        <v>0</v>
      </c>
      <c r="AK423" s="24" t="n">
        <f aca="false">AI423*AJ423/365</f>
        <v>0</v>
      </c>
      <c r="AL423" s="24" t="n">
        <f aca="false">AD423</f>
        <v>0</v>
      </c>
      <c r="AM423" s="24" t="n">
        <f aca="false">AK423-AL423</f>
        <v>0</v>
      </c>
      <c r="AN423" s="28" t="str">
        <f aca="false">IF(A423&gt;=Hip3LaunchDate,"YES","")</f>
        <v/>
      </c>
      <c r="AO423" s="28" t="str">
        <f aca="false">IF(A423&lt;Hip4LaunchDate,"pre-launch","live (zero-fee)")</f>
        <v>pre-launch</v>
      </c>
      <c r="AP423" s="20"/>
      <c r="AQ423" s="20"/>
      <c r="AR423" s="20"/>
    </row>
    <row r="424" customFormat="false" ht="15" hidden="false" customHeight="false" outlineLevel="0" collapsed="false">
      <c r="A424" s="18" t="n">
        <v>45485</v>
      </c>
      <c r="B424" s="19" t="n">
        <v>879286211.75</v>
      </c>
      <c r="C424" s="19" t="n">
        <v>0</v>
      </c>
      <c r="D424" s="20"/>
      <c r="E424" s="21" t="n">
        <f aca="false">B424+C424</f>
        <v>879286211.75</v>
      </c>
      <c r="F424" s="21" t="n">
        <f aca="false">E424+D424</f>
        <v>879286211.75</v>
      </c>
      <c r="G424" s="22" t="n">
        <f aca="false">IFERROR(C424/E424,0)</f>
        <v>0</v>
      </c>
      <c r="H424" s="20"/>
      <c r="I424" s="20"/>
      <c r="J424" s="20"/>
      <c r="K424" s="21" t="n">
        <f aca="false">H424+I424</f>
        <v>0</v>
      </c>
      <c r="L424" s="20"/>
      <c r="M424" s="21" t="n">
        <f aca="false">H424-L424</f>
        <v>0</v>
      </c>
      <c r="N424" s="23" t="n">
        <f aca="false">IFERROR(M424/B424*10000,0)</f>
        <v>0</v>
      </c>
      <c r="O424" s="20"/>
      <c r="P424" s="20"/>
      <c r="Q424" s="21" t="n">
        <f aca="false">O424+P424</f>
        <v>0</v>
      </c>
      <c r="R424" s="22" t="n">
        <f aca="false">IF(A424&lt;HlpChangeDate,HlpSharePre,HlpSharePost)</f>
        <v>0.03</v>
      </c>
      <c r="S424" s="21" t="n">
        <f aca="false">Q424*R424/(1-R424)</f>
        <v>0</v>
      </c>
      <c r="T424" s="20"/>
      <c r="U424" s="21" t="n">
        <f aca="false">S424-T424</f>
        <v>0</v>
      </c>
      <c r="V424" s="21" t="n">
        <f aca="false">Y424-O424*R424/(1-R424)</f>
        <v>0</v>
      </c>
      <c r="W424" s="21" t="n">
        <f aca="false">Z424-P424*R424/(1-R424)</f>
        <v>0</v>
      </c>
      <c r="X424" s="21" t="n">
        <f aca="false">S424+V424+W424</f>
        <v>0</v>
      </c>
      <c r="Y424" s="20"/>
      <c r="Z424" s="20"/>
      <c r="AA424" s="19" t="n">
        <v>0</v>
      </c>
      <c r="AB424" s="20"/>
      <c r="AC424" s="20"/>
      <c r="AD424" s="24" t="n">
        <f aca="false">IFERROR(AA424/AC424,0)</f>
        <v>0</v>
      </c>
      <c r="AE424" s="25" t="n">
        <f aca="false">K424-Q424-X424</f>
        <v>0</v>
      </c>
      <c r="AF424" s="25" t="n">
        <f aca="false">Q424-AA424</f>
        <v>0</v>
      </c>
      <c r="AG424" s="20"/>
      <c r="AH424" s="26" t="n">
        <f aca="false">IFERROR(AG424/Q424,0)</f>
        <v>0</v>
      </c>
      <c r="AI424" s="27" t="n">
        <v>0</v>
      </c>
      <c r="AJ424" s="26" t="n">
        <f aca="false">IF(AI424&gt;0,AprCoef/SQRT(AI424),0)</f>
        <v>0</v>
      </c>
      <c r="AK424" s="24" t="n">
        <f aca="false">AI424*AJ424/365</f>
        <v>0</v>
      </c>
      <c r="AL424" s="24" t="n">
        <f aca="false">AD424</f>
        <v>0</v>
      </c>
      <c r="AM424" s="24" t="n">
        <f aca="false">AK424-AL424</f>
        <v>0</v>
      </c>
      <c r="AN424" s="28" t="str">
        <f aca="false">IF(A424&gt;=Hip3LaunchDate,"YES","")</f>
        <v/>
      </c>
      <c r="AO424" s="28" t="str">
        <f aca="false">IF(A424&lt;Hip4LaunchDate,"pre-launch","live (zero-fee)")</f>
        <v>pre-launch</v>
      </c>
      <c r="AP424" s="20"/>
      <c r="AQ424" s="20"/>
      <c r="AR424" s="20"/>
    </row>
    <row r="425" customFormat="false" ht="15" hidden="false" customHeight="false" outlineLevel="0" collapsed="false">
      <c r="A425" s="18" t="n">
        <v>45486</v>
      </c>
      <c r="B425" s="19" t="n">
        <v>509055115.38</v>
      </c>
      <c r="C425" s="19" t="n">
        <v>0</v>
      </c>
      <c r="D425" s="20"/>
      <c r="E425" s="21" t="n">
        <f aca="false">B425+C425</f>
        <v>509055115.38</v>
      </c>
      <c r="F425" s="21" t="n">
        <f aca="false">E425+D425</f>
        <v>509055115.38</v>
      </c>
      <c r="G425" s="22" t="n">
        <f aca="false">IFERROR(C425/E425,0)</f>
        <v>0</v>
      </c>
      <c r="H425" s="20"/>
      <c r="I425" s="20"/>
      <c r="J425" s="20"/>
      <c r="K425" s="21" t="n">
        <f aca="false">H425+I425</f>
        <v>0</v>
      </c>
      <c r="L425" s="20"/>
      <c r="M425" s="21" t="n">
        <f aca="false">H425-L425</f>
        <v>0</v>
      </c>
      <c r="N425" s="23" t="n">
        <f aca="false">IFERROR(M425/B425*10000,0)</f>
        <v>0</v>
      </c>
      <c r="O425" s="20"/>
      <c r="P425" s="20"/>
      <c r="Q425" s="21" t="n">
        <f aca="false">O425+P425</f>
        <v>0</v>
      </c>
      <c r="R425" s="22" t="n">
        <f aca="false">IF(A425&lt;HlpChangeDate,HlpSharePre,HlpSharePost)</f>
        <v>0.03</v>
      </c>
      <c r="S425" s="21" t="n">
        <f aca="false">Q425*R425/(1-R425)</f>
        <v>0</v>
      </c>
      <c r="T425" s="20"/>
      <c r="U425" s="21" t="n">
        <f aca="false">S425-T425</f>
        <v>0</v>
      </c>
      <c r="V425" s="21" t="n">
        <f aca="false">Y425-O425*R425/(1-R425)</f>
        <v>0</v>
      </c>
      <c r="W425" s="21" t="n">
        <f aca="false">Z425-P425*R425/(1-R425)</f>
        <v>0</v>
      </c>
      <c r="X425" s="21" t="n">
        <f aca="false">S425+V425+W425</f>
        <v>0</v>
      </c>
      <c r="Y425" s="20"/>
      <c r="Z425" s="20"/>
      <c r="AA425" s="19" t="n">
        <v>0</v>
      </c>
      <c r="AB425" s="20"/>
      <c r="AC425" s="20"/>
      <c r="AD425" s="24" t="n">
        <f aca="false">IFERROR(AA425/AC425,0)</f>
        <v>0</v>
      </c>
      <c r="AE425" s="25" t="n">
        <f aca="false">K425-Q425-X425</f>
        <v>0</v>
      </c>
      <c r="AF425" s="25" t="n">
        <f aca="false">Q425-AA425</f>
        <v>0</v>
      </c>
      <c r="AG425" s="20"/>
      <c r="AH425" s="26" t="n">
        <f aca="false">IFERROR(AG425/Q425,0)</f>
        <v>0</v>
      </c>
      <c r="AI425" s="27" t="n">
        <v>0</v>
      </c>
      <c r="AJ425" s="26" t="n">
        <f aca="false">IF(AI425&gt;0,AprCoef/SQRT(AI425),0)</f>
        <v>0</v>
      </c>
      <c r="AK425" s="24" t="n">
        <f aca="false">AI425*AJ425/365</f>
        <v>0</v>
      </c>
      <c r="AL425" s="24" t="n">
        <f aca="false">AD425</f>
        <v>0</v>
      </c>
      <c r="AM425" s="24" t="n">
        <f aca="false">AK425-AL425</f>
        <v>0</v>
      </c>
      <c r="AN425" s="28" t="str">
        <f aca="false">IF(A425&gt;=Hip3LaunchDate,"YES","")</f>
        <v/>
      </c>
      <c r="AO425" s="28" t="str">
        <f aca="false">IF(A425&lt;Hip4LaunchDate,"pre-launch","live (zero-fee)")</f>
        <v>pre-launch</v>
      </c>
      <c r="AP425" s="20"/>
      <c r="AQ425" s="20"/>
      <c r="AR425" s="20"/>
    </row>
    <row r="426" customFormat="false" ht="15" hidden="false" customHeight="false" outlineLevel="0" collapsed="false">
      <c r="A426" s="18" t="n">
        <v>45487</v>
      </c>
      <c r="B426" s="19" t="n">
        <v>581928696.66</v>
      </c>
      <c r="C426" s="19" t="n">
        <v>0</v>
      </c>
      <c r="D426" s="20"/>
      <c r="E426" s="21" t="n">
        <f aca="false">B426+C426</f>
        <v>581928696.66</v>
      </c>
      <c r="F426" s="21" t="n">
        <f aca="false">E426+D426</f>
        <v>581928696.66</v>
      </c>
      <c r="G426" s="22" t="n">
        <f aca="false">IFERROR(C426/E426,0)</f>
        <v>0</v>
      </c>
      <c r="H426" s="20"/>
      <c r="I426" s="20"/>
      <c r="J426" s="20"/>
      <c r="K426" s="21" t="n">
        <f aca="false">H426+I426</f>
        <v>0</v>
      </c>
      <c r="L426" s="20"/>
      <c r="M426" s="21" t="n">
        <f aca="false">H426-L426</f>
        <v>0</v>
      </c>
      <c r="N426" s="23" t="n">
        <f aca="false">IFERROR(M426/B426*10000,0)</f>
        <v>0</v>
      </c>
      <c r="O426" s="20"/>
      <c r="P426" s="20"/>
      <c r="Q426" s="21" t="n">
        <f aca="false">O426+P426</f>
        <v>0</v>
      </c>
      <c r="R426" s="22" t="n">
        <f aca="false">IF(A426&lt;HlpChangeDate,HlpSharePre,HlpSharePost)</f>
        <v>0.03</v>
      </c>
      <c r="S426" s="21" t="n">
        <f aca="false">Q426*R426/(1-R426)</f>
        <v>0</v>
      </c>
      <c r="T426" s="20"/>
      <c r="U426" s="21" t="n">
        <f aca="false">S426-T426</f>
        <v>0</v>
      </c>
      <c r="V426" s="21" t="n">
        <f aca="false">Y426-O426*R426/(1-R426)</f>
        <v>0</v>
      </c>
      <c r="W426" s="21" t="n">
        <f aca="false">Z426-P426*R426/(1-R426)</f>
        <v>0</v>
      </c>
      <c r="X426" s="21" t="n">
        <f aca="false">S426+V426+W426</f>
        <v>0</v>
      </c>
      <c r="Y426" s="20"/>
      <c r="Z426" s="20"/>
      <c r="AA426" s="19" t="n">
        <v>0</v>
      </c>
      <c r="AB426" s="20"/>
      <c r="AC426" s="20"/>
      <c r="AD426" s="24" t="n">
        <f aca="false">IFERROR(AA426/AC426,0)</f>
        <v>0</v>
      </c>
      <c r="AE426" s="25" t="n">
        <f aca="false">K426-Q426-X426</f>
        <v>0</v>
      </c>
      <c r="AF426" s="25" t="n">
        <f aca="false">Q426-AA426</f>
        <v>0</v>
      </c>
      <c r="AG426" s="20"/>
      <c r="AH426" s="26" t="n">
        <f aca="false">IFERROR(AG426/Q426,0)</f>
        <v>0</v>
      </c>
      <c r="AI426" s="27" t="n">
        <v>0</v>
      </c>
      <c r="AJ426" s="26" t="n">
        <f aca="false">IF(AI426&gt;0,AprCoef/SQRT(AI426),0)</f>
        <v>0</v>
      </c>
      <c r="AK426" s="24" t="n">
        <f aca="false">AI426*AJ426/365</f>
        <v>0</v>
      </c>
      <c r="AL426" s="24" t="n">
        <f aca="false">AD426</f>
        <v>0</v>
      </c>
      <c r="AM426" s="24" t="n">
        <f aca="false">AK426-AL426</f>
        <v>0</v>
      </c>
      <c r="AN426" s="28" t="str">
        <f aca="false">IF(A426&gt;=Hip3LaunchDate,"YES","")</f>
        <v/>
      </c>
      <c r="AO426" s="28" t="str">
        <f aca="false">IF(A426&lt;Hip4LaunchDate,"pre-launch","live (zero-fee)")</f>
        <v>pre-launch</v>
      </c>
      <c r="AP426" s="20"/>
      <c r="AQ426" s="20"/>
      <c r="AR426" s="20"/>
    </row>
    <row r="427" customFormat="false" ht="15" hidden="false" customHeight="false" outlineLevel="0" collapsed="false">
      <c r="A427" s="18" t="n">
        <v>45488</v>
      </c>
      <c r="B427" s="19" t="n">
        <v>1182326185.92</v>
      </c>
      <c r="C427" s="19" t="n">
        <v>0</v>
      </c>
      <c r="D427" s="20"/>
      <c r="E427" s="21" t="n">
        <f aca="false">B427+C427</f>
        <v>1182326185.92</v>
      </c>
      <c r="F427" s="21" t="n">
        <f aca="false">E427+D427</f>
        <v>1182326185.92</v>
      </c>
      <c r="G427" s="22" t="n">
        <f aca="false">IFERROR(C427/E427,0)</f>
        <v>0</v>
      </c>
      <c r="H427" s="20"/>
      <c r="I427" s="20"/>
      <c r="J427" s="20"/>
      <c r="K427" s="21" t="n">
        <f aca="false">H427+I427</f>
        <v>0</v>
      </c>
      <c r="L427" s="20"/>
      <c r="M427" s="21" t="n">
        <f aca="false">H427-L427</f>
        <v>0</v>
      </c>
      <c r="N427" s="23" t="n">
        <f aca="false">IFERROR(M427/B427*10000,0)</f>
        <v>0</v>
      </c>
      <c r="O427" s="20"/>
      <c r="P427" s="20"/>
      <c r="Q427" s="21" t="n">
        <f aca="false">O427+P427</f>
        <v>0</v>
      </c>
      <c r="R427" s="22" t="n">
        <f aca="false">IF(A427&lt;HlpChangeDate,HlpSharePre,HlpSharePost)</f>
        <v>0.03</v>
      </c>
      <c r="S427" s="21" t="n">
        <f aca="false">Q427*R427/(1-R427)</f>
        <v>0</v>
      </c>
      <c r="T427" s="20"/>
      <c r="U427" s="21" t="n">
        <f aca="false">S427-T427</f>
        <v>0</v>
      </c>
      <c r="V427" s="21" t="n">
        <f aca="false">Y427-O427*R427/(1-R427)</f>
        <v>0</v>
      </c>
      <c r="W427" s="21" t="n">
        <f aca="false">Z427-P427*R427/(1-R427)</f>
        <v>0</v>
      </c>
      <c r="X427" s="21" t="n">
        <f aca="false">S427+V427+W427</f>
        <v>0</v>
      </c>
      <c r="Y427" s="20"/>
      <c r="Z427" s="20"/>
      <c r="AA427" s="19" t="n">
        <v>0</v>
      </c>
      <c r="AB427" s="20"/>
      <c r="AC427" s="20"/>
      <c r="AD427" s="24" t="n">
        <f aca="false">IFERROR(AA427/AC427,0)</f>
        <v>0</v>
      </c>
      <c r="AE427" s="25" t="n">
        <f aca="false">K427-Q427-X427</f>
        <v>0</v>
      </c>
      <c r="AF427" s="25" t="n">
        <f aca="false">Q427-AA427</f>
        <v>0</v>
      </c>
      <c r="AG427" s="20"/>
      <c r="AH427" s="26" t="n">
        <f aca="false">IFERROR(AG427/Q427,0)</f>
        <v>0</v>
      </c>
      <c r="AI427" s="27" t="n">
        <v>0</v>
      </c>
      <c r="AJ427" s="26" t="n">
        <f aca="false">IF(AI427&gt;0,AprCoef/SQRT(AI427),0)</f>
        <v>0</v>
      </c>
      <c r="AK427" s="24" t="n">
        <f aca="false">AI427*AJ427/365</f>
        <v>0</v>
      </c>
      <c r="AL427" s="24" t="n">
        <f aca="false">AD427</f>
        <v>0</v>
      </c>
      <c r="AM427" s="24" t="n">
        <f aca="false">AK427-AL427</f>
        <v>0</v>
      </c>
      <c r="AN427" s="28" t="str">
        <f aca="false">IF(A427&gt;=Hip3LaunchDate,"YES","")</f>
        <v/>
      </c>
      <c r="AO427" s="28" t="str">
        <f aca="false">IF(A427&lt;Hip4LaunchDate,"pre-launch","live (zero-fee)")</f>
        <v>pre-launch</v>
      </c>
      <c r="AP427" s="20"/>
      <c r="AQ427" s="20"/>
      <c r="AR427" s="20"/>
    </row>
    <row r="428" customFormat="false" ht="15" hidden="false" customHeight="false" outlineLevel="0" collapsed="false">
      <c r="A428" s="18" t="n">
        <v>45489</v>
      </c>
      <c r="B428" s="19" t="n">
        <v>1407279646.86</v>
      </c>
      <c r="C428" s="19" t="n">
        <v>0</v>
      </c>
      <c r="D428" s="20"/>
      <c r="E428" s="21" t="n">
        <f aca="false">B428+C428</f>
        <v>1407279646.86</v>
      </c>
      <c r="F428" s="21" t="n">
        <f aca="false">E428+D428</f>
        <v>1407279646.86</v>
      </c>
      <c r="G428" s="22" t="n">
        <f aca="false">IFERROR(C428/E428,0)</f>
        <v>0</v>
      </c>
      <c r="H428" s="20"/>
      <c r="I428" s="20"/>
      <c r="J428" s="20"/>
      <c r="K428" s="21" t="n">
        <f aca="false">H428+I428</f>
        <v>0</v>
      </c>
      <c r="L428" s="20"/>
      <c r="M428" s="21" t="n">
        <f aca="false">H428-L428</f>
        <v>0</v>
      </c>
      <c r="N428" s="23" t="n">
        <f aca="false">IFERROR(M428/B428*10000,0)</f>
        <v>0</v>
      </c>
      <c r="O428" s="20"/>
      <c r="P428" s="20"/>
      <c r="Q428" s="21" t="n">
        <f aca="false">O428+P428</f>
        <v>0</v>
      </c>
      <c r="R428" s="22" t="n">
        <f aca="false">IF(A428&lt;HlpChangeDate,HlpSharePre,HlpSharePost)</f>
        <v>0.03</v>
      </c>
      <c r="S428" s="21" t="n">
        <f aca="false">Q428*R428/(1-R428)</f>
        <v>0</v>
      </c>
      <c r="T428" s="20"/>
      <c r="U428" s="21" t="n">
        <f aca="false">S428-T428</f>
        <v>0</v>
      </c>
      <c r="V428" s="21" t="n">
        <f aca="false">Y428-O428*R428/(1-R428)</f>
        <v>0</v>
      </c>
      <c r="W428" s="21" t="n">
        <f aca="false">Z428-P428*R428/(1-R428)</f>
        <v>0</v>
      </c>
      <c r="X428" s="21" t="n">
        <f aca="false">S428+V428+W428</f>
        <v>0</v>
      </c>
      <c r="Y428" s="20"/>
      <c r="Z428" s="20"/>
      <c r="AA428" s="19" t="n">
        <v>0</v>
      </c>
      <c r="AB428" s="20"/>
      <c r="AC428" s="20"/>
      <c r="AD428" s="24" t="n">
        <f aca="false">IFERROR(AA428/AC428,0)</f>
        <v>0</v>
      </c>
      <c r="AE428" s="25" t="n">
        <f aca="false">K428-Q428-X428</f>
        <v>0</v>
      </c>
      <c r="AF428" s="25" t="n">
        <f aca="false">Q428-AA428</f>
        <v>0</v>
      </c>
      <c r="AG428" s="20"/>
      <c r="AH428" s="26" t="n">
        <f aca="false">IFERROR(AG428/Q428,0)</f>
        <v>0</v>
      </c>
      <c r="AI428" s="27" t="n">
        <v>0</v>
      </c>
      <c r="AJ428" s="26" t="n">
        <f aca="false">IF(AI428&gt;0,AprCoef/SQRT(AI428),0)</f>
        <v>0</v>
      </c>
      <c r="AK428" s="24" t="n">
        <f aca="false">AI428*AJ428/365</f>
        <v>0</v>
      </c>
      <c r="AL428" s="24" t="n">
        <f aca="false">AD428</f>
        <v>0</v>
      </c>
      <c r="AM428" s="24" t="n">
        <f aca="false">AK428-AL428</f>
        <v>0</v>
      </c>
      <c r="AN428" s="28" t="str">
        <f aca="false">IF(A428&gt;=Hip3LaunchDate,"YES","")</f>
        <v/>
      </c>
      <c r="AO428" s="28" t="str">
        <f aca="false">IF(A428&lt;Hip4LaunchDate,"pre-launch","live (zero-fee)")</f>
        <v>pre-launch</v>
      </c>
      <c r="AP428" s="20"/>
      <c r="AQ428" s="20"/>
      <c r="AR428" s="20"/>
    </row>
    <row r="429" customFormat="false" ht="15" hidden="false" customHeight="false" outlineLevel="0" collapsed="false">
      <c r="A429" s="18" t="n">
        <v>45490</v>
      </c>
      <c r="B429" s="19" t="n">
        <v>1313558641.55</v>
      </c>
      <c r="C429" s="19" t="n">
        <v>0</v>
      </c>
      <c r="D429" s="20"/>
      <c r="E429" s="21" t="n">
        <f aca="false">B429+C429</f>
        <v>1313558641.55</v>
      </c>
      <c r="F429" s="21" t="n">
        <f aca="false">E429+D429</f>
        <v>1313558641.55</v>
      </c>
      <c r="G429" s="22" t="n">
        <f aca="false">IFERROR(C429/E429,0)</f>
        <v>0</v>
      </c>
      <c r="H429" s="20"/>
      <c r="I429" s="20"/>
      <c r="J429" s="20"/>
      <c r="K429" s="21" t="n">
        <f aca="false">H429+I429</f>
        <v>0</v>
      </c>
      <c r="L429" s="20"/>
      <c r="M429" s="21" t="n">
        <f aca="false">H429-L429</f>
        <v>0</v>
      </c>
      <c r="N429" s="23" t="n">
        <f aca="false">IFERROR(M429/B429*10000,0)</f>
        <v>0</v>
      </c>
      <c r="O429" s="20"/>
      <c r="P429" s="20"/>
      <c r="Q429" s="21" t="n">
        <f aca="false">O429+P429</f>
        <v>0</v>
      </c>
      <c r="R429" s="22" t="n">
        <f aca="false">IF(A429&lt;HlpChangeDate,HlpSharePre,HlpSharePost)</f>
        <v>0.03</v>
      </c>
      <c r="S429" s="21" t="n">
        <f aca="false">Q429*R429/(1-R429)</f>
        <v>0</v>
      </c>
      <c r="T429" s="20"/>
      <c r="U429" s="21" t="n">
        <f aca="false">S429-T429</f>
        <v>0</v>
      </c>
      <c r="V429" s="21" t="n">
        <f aca="false">Y429-O429*R429/(1-R429)</f>
        <v>0</v>
      </c>
      <c r="W429" s="21" t="n">
        <f aca="false">Z429-P429*R429/(1-R429)</f>
        <v>0</v>
      </c>
      <c r="X429" s="21" t="n">
        <f aca="false">S429+V429+W429</f>
        <v>0</v>
      </c>
      <c r="Y429" s="20"/>
      <c r="Z429" s="20"/>
      <c r="AA429" s="19" t="n">
        <v>0</v>
      </c>
      <c r="AB429" s="20"/>
      <c r="AC429" s="20"/>
      <c r="AD429" s="24" t="n">
        <f aca="false">IFERROR(AA429/AC429,0)</f>
        <v>0</v>
      </c>
      <c r="AE429" s="25" t="n">
        <f aca="false">K429-Q429-X429</f>
        <v>0</v>
      </c>
      <c r="AF429" s="25" t="n">
        <f aca="false">Q429-AA429</f>
        <v>0</v>
      </c>
      <c r="AG429" s="20"/>
      <c r="AH429" s="26" t="n">
        <f aca="false">IFERROR(AG429/Q429,0)</f>
        <v>0</v>
      </c>
      <c r="AI429" s="27" t="n">
        <v>0</v>
      </c>
      <c r="AJ429" s="26" t="n">
        <f aca="false">IF(AI429&gt;0,AprCoef/SQRT(AI429),0)</f>
        <v>0</v>
      </c>
      <c r="AK429" s="24" t="n">
        <f aca="false">AI429*AJ429/365</f>
        <v>0</v>
      </c>
      <c r="AL429" s="24" t="n">
        <f aca="false">AD429</f>
        <v>0</v>
      </c>
      <c r="AM429" s="24" t="n">
        <f aca="false">AK429-AL429</f>
        <v>0</v>
      </c>
      <c r="AN429" s="28" t="str">
        <f aca="false">IF(A429&gt;=Hip3LaunchDate,"YES","")</f>
        <v/>
      </c>
      <c r="AO429" s="28" t="str">
        <f aca="false">IF(A429&lt;Hip4LaunchDate,"pre-launch","live (zero-fee)")</f>
        <v>pre-launch</v>
      </c>
      <c r="AP429" s="20"/>
      <c r="AQ429" s="20"/>
      <c r="AR429" s="20"/>
    </row>
    <row r="430" customFormat="false" ht="15" hidden="false" customHeight="false" outlineLevel="0" collapsed="false">
      <c r="A430" s="18" t="n">
        <v>45491</v>
      </c>
      <c r="B430" s="19" t="n">
        <v>1144249999</v>
      </c>
      <c r="C430" s="19" t="n">
        <v>0</v>
      </c>
      <c r="D430" s="20"/>
      <c r="E430" s="21" t="n">
        <f aca="false">B430+C430</f>
        <v>1144249999</v>
      </c>
      <c r="F430" s="21" t="n">
        <f aca="false">E430+D430</f>
        <v>1144249999</v>
      </c>
      <c r="G430" s="22" t="n">
        <f aca="false">IFERROR(C430/E430,0)</f>
        <v>0</v>
      </c>
      <c r="H430" s="20"/>
      <c r="I430" s="20"/>
      <c r="J430" s="20"/>
      <c r="K430" s="21" t="n">
        <f aca="false">H430+I430</f>
        <v>0</v>
      </c>
      <c r="L430" s="20"/>
      <c r="M430" s="21" t="n">
        <f aca="false">H430-L430</f>
        <v>0</v>
      </c>
      <c r="N430" s="23" t="n">
        <f aca="false">IFERROR(M430/B430*10000,0)</f>
        <v>0</v>
      </c>
      <c r="O430" s="20"/>
      <c r="P430" s="20"/>
      <c r="Q430" s="21" t="n">
        <f aca="false">O430+P430</f>
        <v>0</v>
      </c>
      <c r="R430" s="22" t="n">
        <f aca="false">IF(A430&lt;HlpChangeDate,HlpSharePre,HlpSharePost)</f>
        <v>0.03</v>
      </c>
      <c r="S430" s="21" t="n">
        <f aca="false">Q430*R430/(1-R430)</f>
        <v>0</v>
      </c>
      <c r="T430" s="20"/>
      <c r="U430" s="21" t="n">
        <f aca="false">S430-T430</f>
        <v>0</v>
      </c>
      <c r="V430" s="21" t="n">
        <f aca="false">Y430-O430*R430/(1-R430)</f>
        <v>0</v>
      </c>
      <c r="W430" s="21" t="n">
        <f aca="false">Z430-P430*R430/(1-R430)</f>
        <v>0</v>
      </c>
      <c r="X430" s="21" t="n">
        <f aca="false">S430+V430+W430</f>
        <v>0</v>
      </c>
      <c r="Y430" s="20"/>
      <c r="Z430" s="20"/>
      <c r="AA430" s="19" t="n">
        <v>0</v>
      </c>
      <c r="AB430" s="20"/>
      <c r="AC430" s="20"/>
      <c r="AD430" s="24" t="n">
        <f aca="false">IFERROR(AA430/AC430,0)</f>
        <v>0</v>
      </c>
      <c r="AE430" s="25" t="n">
        <f aca="false">K430-Q430-X430</f>
        <v>0</v>
      </c>
      <c r="AF430" s="25" t="n">
        <f aca="false">Q430-AA430</f>
        <v>0</v>
      </c>
      <c r="AG430" s="20"/>
      <c r="AH430" s="26" t="n">
        <f aca="false">IFERROR(AG430/Q430,0)</f>
        <v>0</v>
      </c>
      <c r="AI430" s="27" t="n">
        <v>0</v>
      </c>
      <c r="AJ430" s="26" t="n">
        <f aca="false">IF(AI430&gt;0,AprCoef/SQRT(AI430),0)</f>
        <v>0</v>
      </c>
      <c r="AK430" s="24" t="n">
        <f aca="false">AI430*AJ430/365</f>
        <v>0</v>
      </c>
      <c r="AL430" s="24" t="n">
        <f aca="false">AD430</f>
        <v>0</v>
      </c>
      <c r="AM430" s="24" t="n">
        <f aca="false">AK430-AL430</f>
        <v>0</v>
      </c>
      <c r="AN430" s="28" t="str">
        <f aca="false">IF(A430&gt;=Hip3LaunchDate,"YES","")</f>
        <v/>
      </c>
      <c r="AO430" s="28" t="str">
        <f aca="false">IF(A430&lt;Hip4LaunchDate,"pre-launch","live (zero-fee)")</f>
        <v>pre-launch</v>
      </c>
      <c r="AP430" s="20"/>
      <c r="AQ430" s="20"/>
      <c r="AR430" s="20"/>
    </row>
    <row r="431" customFormat="false" ht="15" hidden="false" customHeight="false" outlineLevel="0" collapsed="false">
      <c r="A431" s="18" t="n">
        <v>45492</v>
      </c>
      <c r="B431" s="19" t="n">
        <v>1137862567.69</v>
      </c>
      <c r="C431" s="19" t="n">
        <v>0</v>
      </c>
      <c r="D431" s="20"/>
      <c r="E431" s="21" t="n">
        <f aca="false">B431+C431</f>
        <v>1137862567.69</v>
      </c>
      <c r="F431" s="21" t="n">
        <f aca="false">E431+D431</f>
        <v>1137862567.69</v>
      </c>
      <c r="G431" s="22" t="n">
        <f aca="false">IFERROR(C431/E431,0)</f>
        <v>0</v>
      </c>
      <c r="H431" s="20"/>
      <c r="I431" s="20"/>
      <c r="J431" s="20"/>
      <c r="K431" s="21" t="n">
        <f aca="false">H431+I431</f>
        <v>0</v>
      </c>
      <c r="L431" s="20"/>
      <c r="M431" s="21" t="n">
        <f aca="false">H431-L431</f>
        <v>0</v>
      </c>
      <c r="N431" s="23" t="n">
        <f aca="false">IFERROR(M431/B431*10000,0)</f>
        <v>0</v>
      </c>
      <c r="O431" s="20"/>
      <c r="P431" s="20"/>
      <c r="Q431" s="21" t="n">
        <f aca="false">O431+P431</f>
        <v>0</v>
      </c>
      <c r="R431" s="22" t="n">
        <f aca="false">IF(A431&lt;HlpChangeDate,HlpSharePre,HlpSharePost)</f>
        <v>0.03</v>
      </c>
      <c r="S431" s="21" t="n">
        <f aca="false">Q431*R431/(1-R431)</f>
        <v>0</v>
      </c>
      <c r="T431" s="20"/>
      <c r="U431" s="21" t="n">
        <f aca="false">S431-T431</f>
        <v>0</v>
      </c>
      <c r="V431" s="21" t="n">
        <f aca="false">Y431-O431*R431/(1-R431)</f>
        <v>0</v>
      </c>
      <c r="W431" s="21" t="n">
        <f aca="false">Z431-P431*R431/(1-R431)</f>
        <v>0</v>
      </c>
      <c r="X431" s="21" t="n">
        <f aca="false">S431+V431+W431</f>
        <v>0</v>
      </c>
      <c r="Y431" s="20"/>
      <c r="Z431" s="20"/>
      <c r="AA431" s="19" t="n">
        <v>0</v>
      </c>
      <c r="AB431" s="20"/>
      <c r="AC431" s="20"/>
      <c r="AD431" s="24" t="n">
        <f aca="false">IFERROR(AA431/AC431,0)</f>
        <v>0</v>
      </c>
      <c r="AE431" s="25" t="n">
        <f aca="false">K431-Q431-X431</f>
        <v>0</v>
      </c>
      <c r="AF431" s="25" t="n">
        <f aca="false">Q431-AA431</f>
        <v>0</v>
      </c>
      <c r="AG431" s="20"/>
      <c r="AH431" s="26" t="n">
        <f aca="false">IFERROR(AG431/Q431,0)</f>
        <v>0</v>
      </c>
      <c r="AI431" s="27" t="n">
        <v>0</v>
      </c>
      <c r="AJ431" s="26" t="n">
        <f aca="false">IF(AI431&gt;0,AprCoef/SQRT(AI431),0)</f>
        <v>0</v>
      </c>
      <c r="AK431" s="24" t="n">
        <f aca="false">AI431*AJ431/365</f>
        <v>0</v>
      </c>
      <c r="AL431" s="24" t="n">
        <f aca="false">AD431</f>
        <v>0</v>
      </c>
      <c r="AM431" s="24" t="n">
        <f aca="false">AK431-AL431</f>
        <v>0</v>
      </c>
      <c r="AN431" s="28" t="str">
        <f aca="false">IF(A431&gt;=Hip3LaunchDate,"YES","")</f>
        <v/>
      </c>
      <c r="AO431" s="28" t="str">
        <f aca="false">IF(A431&lt;Hip4LaunchDate,"pre-launch","live (zero-fee)")</f>
        <v>pre-launch</v>
      </c>
      <c r="AP431" s="20"/>
      <c r="AQ431" s="20"/>
      <c r="AR431" s="20"/>
    </row>
    <row r="432" customFormat="false" ht="15" hidden="false" customHeight="false" outlineLevel="0" collapsed="false">
      <c r="A432" s="18" t="n">
        <v>45493</v>
      </c>
      <c r="B432" s="19" t="n">
        <v>472081273.67</v>
      </c>
      <c r="C432" s="19" t="n">
        <v>0</v>
      </c>
      <c r="D432" s="20"/>
      <c r="E432" s="21" t="n">
        <f aca="false">B432+C432</f>
        <v>472081273.67</v>
      </c>
      <c r="F432" s="21" t="n">
        <f aca="false">E432+D432</f>
        <v>472081273.67</v>
      </c>
      <c r="G432" s="22" t="n">
        <f aca="false">IFERROR(C432/E432,0)</f>
        <v>0</v>
      </c>
      <c r="H432" s="20"/>
      <c r="I432" s="20"/>
      <c r="J432" s="20"/>
      <c r="K432" s="21" t="n">
        <f aca="false">H432+I432</f>
        <v>0</v>
      </c>
      <c r="L432" s="20"/>
      <c r="M432" s="21" t="n">
        <f aca="false">H432-L432</f>
        <v>0</v>
      </c>
      <c r="N432" s="23" t="n">
        <f aca="false">IFERROR(M432/B432*10000,0)</f>
        <v>0</v>
      </c>
      <c r="O432" s="20"/>
      <c r="P432" s="20"/>
      <c r="Q432" s="21" t="n">
        <f aca="false">O432+P432</f>
        <v>0</v>
      </c>
      <c r="R432" s="22" t="n">
        <f aca="false">IF(A432&lt;HlpChangeDate,HlpSharePre,HlpSharePost)</f>
        <v>0.03</v>
      </c>
      <c r="S432" s="21" t="n">
        <f aca="false">Q432*R432/(1-R432)</f>
        <v>0</v>
      </c>
      <c r="T432" s="20"/>
      <c r="U432" s="21" t="n">
        <f aca="false">S432-T432</f>
        <v>0</v>
      </c>
      <c r="V432" s="21" t="n">
        <f aca="false">Y432-O432*R432/(1-R432)</f>
        <v>0</v>
      </c>
      <c r="W432" s="21" t="n">
        <f aca="false">Z432-P432*R432/(1-R432)</f>
        <v>0</v>
      </c>
      <c r="X432" s="21" t="n">
        <f aca="false">S432+V432+W432</f>
        <v>0</v>
      </c>
      <c r="Y432" s="20"/>
      <c r="Z432" s="20"/>
      <c r="AA432" s="19" t="n">
        <v>0</v>
      </c>
      <c r="AB432" s="20"/>
      <c r="AC432" s="20"/>
      <c r="AD432" s="24" t="n">
        <f aca="false">IFERROR(AA432/AC432,0)</f>
        <v>0</v>
      </c>
      <c r="AE432" s="25" t="n">
        <f aca="false">K432-Q432-X432</f>
        <v>0</v>
      </c>
      <c r="AF432" s="25" t="n">
        <f aca="false">Q432-AA432</f>
        <v>0</v>
      </c>
      <c r="AG432" s="20"/>
      <c r="AH432" s="26" t="n">
        <f aca="false">IFERROR(AG432/Q432,0)</f>
        <v>0</v>
      </c>
      <c r="AI432" s="27" t="n">
        <v>0</v>
      </c>
      <c r="AJ432" s="26" t="n">
        <f aca="false">IF(AI432&gt;0,AprCoef/SQRT(AI432),0)</f>
        <v>0</v>
      </c>
      <c r="AK432" s="24" t="n">
        <f aca="false">AI432*AJ432/365</f>
        <v>0</v>
      </c>
      <c r="AL432" s="24" t="n">
        <f aca="false">AD432</f>
        <v>0</v>
      </c>
      <c r="AM432" s="24" t="n">
        <f aca="false">AK432-AL432</f>
        <v>0</v>
      </c>
      <c r="AN432" s="28" t="str">
        <f aca="false">IF(A432&gt;=Hip3LaunchDate,"YES","")</f>
        <v/>
      </c>
      <c r="AO432" s="28" t="str">
        <f aca="false">IF(A432&lt;Hip4LaunchDate,"pre-launch","live (zero-fee)")</f>
        <v>pre-launch</v>
      </c>
      <c r="AP432" s="20"/>
      <c r="AQ432" s="20"/>
      <c r="AR432" s="20"/>
    </row>
    <row r="433" customFormat="false" ht="15" hidden="false" customHeight="false" outlineLevel="0" collapsed="false">
      <c r="A433" s="18" t="n">
        <v>45494</v>
      </c>
      <c r="B433" s="19" t="n">
        <v>971448297.35</v>
      </c>
      <c r="C433" s="19" t="n">
        <v>0</v>
      </c>
      <c r="D433" s="20"/>
      <c r="E433" s="21" t="n">
        <f aca="false">B433+C433</f>
        <v>971448297.35</v>
      </c>
      <c r="F433" s="21" t="n">
        <f aca="false">E433+D433</f>
        <v>971448297.35</v>
      </c>
      <c r="G433" s="22" t="n">
        <f aca="false">IFERROR(C433/E433,0)</f>
        <v>0</v>
      </c>
      <c r="H433" s="20"/>
      <c r="I433" s="20"/>
      <c r="J433" s="20"/>
      <c r="K433" s="21" t="n">
        <f aca="false">H433+I433</f>
        <v>0</v>
      </c>
      <c r="L433" s="20"/>
      <c r="M433" s="21" t="n">
        <f aca="false">H433-L433</f>
        <v>0</v>
      </c>
      <c r="N433" s="23" t="n">
        <f aca="false">IFERROR(M433/B433*10000,0)</f>
        <v>0</v>
      </c>
      <c r="O433" s="20"/>
      <c r="P433" s="20"/>
      <c r="Q433" s="21" t="n">
        <f aca="false">O433+P433</f>
        <v>0</v>
      </c>
      <c r="R433" s="22" t="n">
        <f aca="false">IF(A433&lt;HlpChangeDate,HlpSharePre,HlpSharePost)</f>
        <v>0.03</v>
      </c>
      <c r="S433" s="21" t="n">
        <f aca="false">Q433*R433/(1-R433)</f>
        <v>0</v>
      </c>
      <c r="T433" s="20"/>
      <c r="U433" s="21" t="n">
        <f aca="false">S433-T433</f>
        <v>0</v>
      </c>
      <c r="V433" s="21" t="n">
        <f aca="false">Y433-O433*R433/(1-R433)</f>
        <v>0</v>
      </c>
      <c r="W433" s="21" t="n">
        <f aca="false">Z433-P433*R433/(1-R433)</f>
        <v>0</v>
      </c>
      <c r="X433" s="21" t="n">
        <f aca="false">S433+V433+W433</f>
        <v>0</v>
      </c>
      <c r="Y433" s="20"/>
      <c r="Z433" s="20"/>
      <c r="AA433" s="19" t="n">
        <v>0</v>
      </c>
      <c r="AB433" s="20"/>
      <c r="AC433" s="20"/>
      <c r="AD433" s="24" t="n">
        <f aca="false">IFERROR(AA433/AC433,0)</f>
        <v>0</v>
      </c>
      <c r="AE433" s="25" t="n">
        <f aca="false">K433-Q433-X433</f>
        <v>0</v>
      </c>
      <c r="AF433" s="25" t="n">
        <f aca="false">Q433-AA433</f>
        <v>0</v>
      </c>
      <c r="AG433" s="20"/>
      <c r="AH433" s="26" t="n">
        <f aca="false">IFERROR(AG433/Q433,0)</f>
        <v>0</v>
      </c>
      <c r="AI433" s="27" t="n">
        <v>0</v>
      </c>
      <c r="AJ433" s="26" t="n">
        <f aca="false">IF(AI433&gt;0,AprCoef/SQRT(AI433),0)</f>
        <v>0</v>
      </c>
      <c r="AK433" s="24" t="n">
        <f aca="false">AI433*AJ433/365</f>
        <v>0</v>
      </c>
      <c r="AL433" s="24" t="n">
        <f aca="false">AD433</f>
        <v>0</v>
      </c>
      <c r="AM433" s="24" t="n">
        <f aca="false">AK433-AL433</f>
        <v>0</v>
      </c>
      <c r="AN433" s="28" t="str">
        <f aca="false">IF(A433&gt;=Hip3LaunchDate,"YES","")</f>
        <v/>
      </c>
      <c r="AO433" s="28" t="str">
        <f aca="false">IF(A433&lt;Hip4LaunchDate,"pre-launch","live (zero-fee)")</f>
        <v>pre-launch</v>
      </c>
      <c r="AP433" s="20"/>
      <c r="AQ433" s="20"/>
      <c r="AR433" s="20"/>
    </row>
    <row r="434" customFormat="false" ht="15" hidden="false" customHeight="false" outlineLevel="0" collapsed="false">
      <c r="A434" s="18" t="n">
        <v>45495</v>
      </c>
      <c r="B434" s="19" t="n">
        <v>1047049348.78</v>
      </c>
      <c r="C434" s="19" t="n">
        <v>0</v>
      </c>
      <c r="D434" s="20"/>
      <c r="E434" s="21" t="n">
        <f aca="false">B434+C434</f>
        <v>1047049348.78</v>
      </c>
      <c r="F434" s="21" t="n">
        <f aca="false">E434+D434</f>
        <v>1047049348.78</v>
      </c>
      <c r="G434" s="22" t="n">
        <f aca="false">IFERROR(C434/E434,0)</f>
        <v>0</v>
      </c>
      <c r="H434" s="20"/>
      <c r="I434" s="20"/>
      <c r="J434" s="20"/>
      <c r="K434" s="21" t="n">
        <f aca="false">H434+I434</f>
        <v>0</v>
      </c>
      <c r="L434" s="20"/>
      <c r="M434" s="21" t="n">
        <f aca="false">H434-L434</f>
        <v>0</v>
      </c>
      <c r="N434" s="23" t="n">
        <f aca="false">IFERROR(M434/B434*10000,0)</f>
        <v>0</v>
      </c>
      <c r="O434" s="20"/>
      <c r="P434" s="20"/>
      <c r="Q434" s="21" t="n">
        <f aca="false">O434+P434</f>
        <v>0</v>
      </c>
      <c r="R434" s="22" t="n">
        <f aca="false">IF(A434&lt;HlpChangeDate,HlpSharePre,HlpSharePost)</f>
        <v>0.03</v>
      </c>
      <c r="S434" s="21" t="n">
        <f aca="false">Q434*R434/(1-R434)</f>
        <v>0</v>
      </c>
      <c r="T434" s="20"/>
      <c r="U434" s="21" t="n">
        <f aca="false">S434-T434</f>
        <v>0</v>
      </c>
      <c r="V434" s="21" t="n">
        <f aca="false">Y434-O434*R434/(1-R434)</f>
        <v>0</v>
      </c>
      <c r="W434" s="21" t="n">
        <f aca="false">Z434-P434*R434/(1-R434)</f>
        <v>0</v>
      </c>
      <c r="X434" s="21" t="n">
        <f aca="false">S434+V434+W434</f>
        <v>0</v>
      </c>
      <c r="Y434" s="20"/>
      <c r="Z434" s="20"/>
      <c r="AA434" s="19" t="n">
        <v>0</v>
      </c>
      <c r="AB434" s="20"/>
      <c r="AC434" s="20"/>
      <c r="AD434" s="24" t="n">
        <f aca="false">IFERROR(AA434/AC434,0)</f>
        <v>0</v>
      </c>
      <c r="AE434" s="25" t="n">
        <f aca="false">K434-Q434-X434</f>
        <v>0</v>
      </c>
      <c r="AF434" s="25" t="n">
        <f aca="false">Q434-AA434</f>
        <v>0</v>
      </c>
      <c r="AG434" s="20"/>
      <c r="AH434" s="26" t="n">
        <f aca="false">IFERROR(AG434/Q434,0)</f>
        <v>0</v>
      </c>
      <c r="AI434" s="27" t="n">
        <v>0</v>
      </c>
      <c r="AJ434" s="26" t="n">
        <f aca="false">IF(AI434&gt;0,AprCoef/SQRT(AI434),0)</f>
        <v>0</v>
      </c>
      <c r="AK434" s="24" t="n">
        <f aca="false">AI434*AJ434/365</f>
        <v>0</v>
      </c>
      <c r="AL434" s="24" t="n">
        <f aca="false">AD434</f>
        <v>0</v>
      </c>
      <c r="AM434" s="24" t="n">
        <f aca="false">AK434-AL434</f>
        <v>0</v>
      </c>
      <c r="AN434" s="28" t="str">
        <f aca="false">IF(A434&gt;=Hip3LaunchDate,"YES","")</f>
        <v/>
      </c>
      <c r="AO434" s="28" t="str">
        <f aca="false">IF(A434&lt;Hip4LaunchDate,"pre-launch","live (zero-fee)")</f>
        <v>pre-launch</v>
      </c>
      <c r="AP434" s="20"/>
      <c r="AQ434" s="20"/>
      <c r="AR434" s="20"/>
    </row>
    <row r="435" customFormat="false" ht="15" hidden="false" customHeight="false" outlineLevel="0" collapsed="false">
      <c r="A435" s="18" t="n">
        <v>45496</v>
      </c>
      <c r="B435" s="19" t="n">
        <v>1675472055.86</v>
      </c>
      <c r="C435" s="19" t="n">
        <v>0</v>
      </c>
      <c r="D435" s="20"/>
      <c r="E435" s="21" t="n">
        <f aca="false">B435+C435</f>
        <v>1675472055.86</v>
      </c>
      <c r="F435" s="21" t="n">
        <f aca="false">E435+D435</f>
        <v>1675472055.86</v>
      </c>
      <c r="G435" s="22" t="n">
        <f aca="false">IFERROR(C435/E435,0)</f>
        <v>0</v>
      </c>
      <c r="H435" s="20"/>
      <c r="I435" s="20"/>
      <c r="J435" s="20"/>
      <c r="K435" s="21" t="n">
        <f aca="false">H435+I435</f>
        <v>0</v>
      </c>
      <c r="L435" s="20"/>
      <c r="M435" s="21" t="n">
        <f aca="false">H435-L435</f>
        <v>0</v>
      </c>
      <c r="N435" s="23" t="n">
        <f aca="false">IFERROR(M435/B435*10000,0)</f>
        <v>0</v>
      </c>
      <c r="O435" s="20"/>
      <c r="P435" s="20"/>
      <c r="Q435" s="21" t="n">
        <f aca="false">O435+P435</f>
        <v>0</v>
      </c>
      <c r="R435" s="22" t="n">
        <f aca="false">IF(A435&lt;HlpChangeDate,HlpSharePre,HlpSharePost)</f>
        <v>0.03</v>
      </c>
      <c r="S435" s="21" t="n">
        <f aca="false">Q435*R435/(1-R435)</f>
        <v>0</v>
      </c>
      <c r="T435" s="20"/>
      <c r="U435" s="21" t="n">
        <f aca="false">S435-T435</f>
        <v>0</v>
      </c>
      <c r="V435" s="21" t="n">
        <f aca="false">Y435-O435*R435/(1-R435)</f>
        <v>0</v>
      </c>
      <c r="W435" s="21" t="n">
        <f aca="false">Z435-P435*R435/(1-R435)</f>
        <v>0</v>
      </c>
      <c r="X435" s="21" t="n">
        <f aca="false">S435+V435+W435</f>
        <v>0</v>
      </c>
      <c r="Y435" s="20"/>
      <c r="Z435" s="20"/>
      <c r="AA435" s="19" t="n">
        <v>0</v>
      </c>
      <c r="AB435" s="20"/>
      <c r="AC435" s="20"/>
      <c r="AD435" s="24" t="n">
        <f aca="false">IFERROR(AA435/AC435,0)</f>
        <v>0</v>
      </c>
      <c r="AE435" s="25" t="n">
        <f aca="false">K435-Q435-X435</f>
        <v>0</v>
      </c>
      <c r="AF435" s="25" t="n">
        <f aca="false">Q435-AA435</f>
        <v>0</v>
      </c>
      <c r="AG435" s="20"/>
      <c r="AH435" s="26" t="n">
        <f aca="false">IFERROR(AG435/Q435,0)</f>
        <v>0</v>
      </c>
      <c r="AI435" s="27" t="n">
        <v>0</v>
      </c>
      <c r="AJ435" s="26" t="n">
        <f aca="false">IF(AI435&gt;0,AprCoef/SQRT(AI435),0)</f>
        <v>0</v>
      </c>
      <c r="AK435" s="24" t="n">
        <f aca="false">AI435*AJ435/365</f>
        <v>0</v>
      </c>
      <c r="AL435" s="24" t="n">
        <f aca="false">AD435</f>
        <v>0</v>
      </c>
      <c r="AM435" s="24" t="n">
        <f aca="false">AK435-AL435</f>
        <v>0</v>
      </c>
      <c r="AN435" s="28" t="str">
        <f aca="false">IF(A435&gt;=Hip3LaunchDate,"YES","")</f>
        <v/>
      </c>
      <c r="AO435" s="28" t="str">
        <f aca="false">IF(A435&lt;Hip4LaunchDate,"pre-launch","live (zero-fee)")</f>
        <v>pre-launch</v>
      </c>
      <c r="AP435" s="20"/>
      <c r="AQ435" s="20"/>
      <c r="AR435" s="20"/>
    </row>
    <row r="436" customFormat="false" ht="15" hidden="false" customHeight="false" outlineLevel="0" collapsed="false">
      <c r="A436" s="18" t="n">
        <v>45497</v>
      </c>
      <c r="B436" s="19" t="n">
        <v>1080304897.39</v>
      </c>
      <c r="C436" s="19" t="n">
        <v>0</v>
      </c>
      <c r="D436" s="20"/>
      <c r="E436" s="21" t="n">
        <f aca="false">B436+C436</f>
        <v>1080304897.39</v>
      </c>
      <c r="F436" s="21" t="n">
        <f aca="false">E436+D436</f>
        <v>1080304897.39</v>
      </c>
      <c r="G436" s="22" t="n">
        <f aca="false">IFERROR(C436/E436,0)</f>
        <v>0</v>
      </c>
      <c r="H436" s="20"/>
      <c r="I436" s="20"/>
      <c r="J436" s="20"/>
      <c r="K436" s="21" t="n">
        <f aca="false">H436+I436</f>
        <v>0</v>
      </c>
      <c r="L436" s="20"/>
      <c r="M436" s="21" t="n">
        <f aca="false">H436-L436</f>
        <v>0</v>
      </c>
      <c r="N436" s="23" t="n">
        <f aca="false">IFERROR(M436/B436*10000,0)</f>
        <v>0</v>
      </c>
      <c r="O436" s="20"/>
      <c r="P436" s="20"/>
      <c r="Q436" s="21" t="n">
        <f aca="false">O436+P436</f>
        <v>0</v>
      </c>
      <c r="R436" s="22" t="n">
        <f aca="false">IF(A436&lt;HlpChangeDate,HlpSharePre,HlpSharePost)</f>
        <v>0.03</v>
      </c>
      <c r="S436" s="21" t="n">
        <f aca="false">Q436*R436/(1-R436)</f>
        <v>0</v>
      </c>
      <c r="T436" s="20"/>
      <c r="U436" s="21" t="n">
        <f aca="false">S436-T436</f>
        <v>0</v>
      </c>
      <c r="V436" s="21" t="n">
        <f aca="false">Y436-O436*R436/(1-R436)</f>
        <v>0</v>
      </c>
      <c r="W436" s="21" t="n">
        <f aca="false">Z436-P436*R436/(1-R436)</f>
        <v>0</v>
      </c>
      <c r="X436" s="21" t="n">
        <f aca="false">S436+V436+W436</f>
        <v>0</v>
      </c>
      <c r="Y436" s="20"/>
      <c r="Z436" s="20"/>
      <c r="AA436" s="19" t="n">
        <v>0</v>
      </c>
      <c r="AB436" s="20"/>
      <c r="AC436" s="20"/>
      <c r="AD436" s="24" t="n">
        <f aca="false">IFERROR(AA436/AC436,0)</f>
        <v>0</v>
      </c>
      <c r="AE436" s="25" t="n">
        <f aca="false">K436-Q436-X436</f>
        <v>0</v>
      </c>
      <c r="AF436" s="25" t="n">
        <f aca="false">Q436-AA436</f>
        <v>0</v>
      </c>
      <c r="AG436" s="20"/>
      <c r="AH436" s="26" t="n">
        <f aca="false">IFERROR(AG436/Q436,0)</f>
        <v>0</v>
      </c>
      <c r="AI436" s="27" t="n">
        <v>0</v>
      </c>
      <c r="AJ436" s="26" t="n">
        <f aca="false">IF(AI436&gt;0,AprCoef/SQRT(AI436),0)</f>
        <v>0</v>
      </c>
      <c r="AK436" s="24" t="n">
        <f aca="false">AI436*AJ436/365</f>
        <v>0</v>
      </c>
      <c r="AL436" s="24" t="n">
        <f aca="false">AD436</f>
        <v>0</v>
      </c>
      <c r="AM436" s="24" t="n">
        <f aca="false">AK436-AL436</f>
        <v>0</v>
      </c>
      <c r="AN436" s="28" t="str">
        <f aca="false">IF(A436&gt;=Hip3LaunchDate,"YES","")</f>
        <v/>
      </c>
      <c r="AO436" s="28" t="str">
        <f aca="false">IF(A436&lt;Hip4LaunchDate,"pre-launch","live (zero-fee)")</f>
        <v>pre-launch</v>
      </c>
      <c r="AP436" s="20"/>
      <c r="AQ436" s="20"/>
      <c r="AR436" s="20"/>
    </row>
    <row r="437" customFormat="false" ht="15" hidden="false" customHeight="false" outlineLevel="0" collapsed="false">
      <c r="A437" s="18" t="n">
        <v>45498</v>
      </c>
      <c r="B437" s="19" t="n">
        <v>1521023395.42</v>
      </c>
      <c r="C437" s="19" t="n">
        <v>0</v>
      </c>
      <c r="D437" s="20"/>
      <c r="E437" s="21" t="n">
        <f aca="false">B437+C437</f>
        <v>1521023395.42</v>
      </c>
      <c r="F437" s="21" t="n">
        <f aca="false">E437+D437</f>
        <v>1521023395.42</v>
      </c>
      <c r="G437" s="22" t="n">
        <f aca="false">IFERROR(C437/E437,0)</f>
        <v>0</v>
      </c>
      <c r="H437" s="20"/>
      <c r="I437" s="20"/>
      <c r="J437" s="20"/>
      <c r="K437" s="21" t="n">
        <f aca="false">H437+I437</f>
        <v>0</v>
      </c>
      <c r="L437" s="20"/>
      <c r="M437" s="21" t="n">
        <f aca="false">H437-L437</f>
        <v>0</v>
      </c>
      <c r="N437" s="23" t="n">
        <f aca="false">IFERROR(M437/B437*10000,0)</f>
        <v>0</v>
      </c>
      <c r="O437" s="20"/>
      <c r="P437" s="20"/>
      <c r="Q437" s="21" t="n">
        <f aca="false">O437+P437</f>
        <v>0</v>
      </c>
      <c r="R437" s="22" t="n">
        <f aca="false">IF(A437&lt;HlpChangeDate,HlpSharePre,HlpSharePost)</f>
        <v>0.03</v>
      </c>
      <c r="S437" s="21" t="n">
        <f aca="false">Q437*R437/(1-R437)</f>
        <v>0</v>
      </c>
      <c r="T437" s="20"/>
      <c r="U437" s="21" t="n">
        <f aca="false">S437-T437</f>
        <v>0</v>
      </c>
      <c r="V437" s="21" t="n">
        <f aca="false">Y437-O437*R437/(1-R437)</f>
        <v>0</v>
      </c>
      <c r="W437" s="21" t="n">
        <f aca="false">Z437-P437*R437/(1-R437)</f>
        <v>0</v>
      </c>
      <c r="X437" s="21" t="n">
        <f aca="false">S437+V437+W437</f>
        <v>0</v>
      </c>
      <c r="Y437" s="20"/>
      <c r="Z437" s="20"/>
      <c r="AA437" s="19" t="n">
        <v>0</v>
      </c>
      <c r="AB437" s="20"/>
      <c r="AC437" s="20"/>
      <c r="AD437" s="24" t="n">
        <f aca="false">IFERROR(AA437/AC437,0)</f>
        <v>0</v>
      </c>
      <c r="AE437" s="25" t="n">
        <f aca="false">K437-Q437-X437</f>
        <v>0</v>
      </c>
      <c r="AF437" s="25" t="n">
        <f aca="false">Q437-AA437</f>
        <v>0</v>
      </c>
      <c r="AG437" s="20"/>
      <c r="AH437" s="26" t="n">
        <f aca="false">IFERROR(AG437/Q437,0)</f>
        <v>0</v>
      </c>
      <c r="AI437" s="27" t="n">
        <v>0</v>
      </c>
      <c r="AJ437" s="26" t="n">
        <f aca="false">IF(AI437&gt;0,AprCoef/SQRT(AI437),0)</f>
        <v>0</v>
      </c>
      <c r="AK437" s="24" t="n">
        <f aca="false">AI437*AJ437/365</f>
        <v>0</v>
      </c>
      <c r="AL437" s="24" t="n">
        <f aca="false">AD437</f>
        <v>0</v>
      </c>
      <c r="AM437" s="24" t="n">
        <f aca="false">AK437-AL437</f>
        <v>0</v>
      </c>
      <c r="AN437" s="28" t="str">
        <f aca="false">IF(A437&gt;=Hip3LaunchDate,"YES","")</f>
        <v/>
      </c>
      <c r="AO437" s="28" t="str">
        <f aca="false">IF(A437&lt;Hip4LaunchDate,"pre-launch","live (zero-fee)")</f>
        <v>pre-launch</v>
      </c>
      <c r="AP437" s="20"/>
      <c r="AQ437" s="20"/>
      <c r="AR437" s="20"/>
    </row>
    <row r="438" customFormat="false" ht="15" hidden="false" customHeight="false" outlineLevel="0" collapsed="false">
      <c r="A438" s="18" t="n">
        <v>45499</v>
      </c>
      <c r="B438" s="19" t="n">
        <v>861876869.1</v>
      </c>
      <c r="C438" s="19" t="n">
        <v>0</v>
      </c>
      <c r="D438" s="20"/>
      <c r="E438" s="21" t="n">
        <f aca="false">B438+C438</f>
        <v>861876869.1</v>
      </c>
      <c r="F438" s="21" t="n">
        <f aca="false">E438+D438</f>
        <v>861876869.1</v>
      </c>
      <c r="G438" s="22" t="n">
        <f aca="false">IFERROR(C438/E438,0)</f>
        <v>0</v>
      </c>
      <c r="H438" s="20"/>
      <c r="I438" s="20"/>
      <c r="J438" s="20"/>
      <c r="K438" s="21" t="n">
        <f aca="false">H438+I438</f>
        <v>0</v>
      </c>
      <c r="L438" s="20"/>
      <c r="M438" s="21" t="n">
        <f aca="false">H438-L438</f>
        <v>0</v>
      </c>
      <c r="N438" s="23" t="n">
        <f aca="false">IFERROR(M438/B438*10000,0)</f>
        <v>0</v>
      </c>
      <c r="O438" s="20"/>
      <c r="P438" s="20"/>
      <c r="Q438" s="21" t="n">
        <f aca="false">O438+P438</f>
        <v>0</v>
      </c>
      <c r="R438" s="22" t="n">
        <f aca="false">IF(A438&lt;HlpChangeDate,HlpSharePre,HlpSharePost)</f>
        <v>0.03</v>
      </c>
      <c r="S438" s="21" t="n">
        <f aca="false">Q438*R438/(1-R438)</f>
        <v>0</v>
      </c>
      <c r="T438" s="20"/>
      <c r="U438" s="21" t="n">
        <f aca="false">S438-T438</f>
        <v>0</v>
      </c>
      <c r="V438" s="21" t="n">
        <f aca="false">Y438-O438*R438/(1-R438)</f>
        <v>0</v>
      </c>
      <c r="W438" s="21" t="n">
        <f aca="false">Z438-P438*R438/(1-R438)</f>
        <v>0</v>
      </c>
      <c r="X438" s="21" t="n">
        <f aca="false">S438+V438+W438</f>
        <v>0</v>
      </c>
      <c r="Y438" s="20"/>
      <c r="Z438" s="20"/>
      <c r="AA438" s="19" t="n">
        <v>0</v>
      </c>
      <c r="AB438" s="20"/>
      <c r="AC438" s="20"/>
      <c r="AD438" s="24" t="n">
        <f aca="false">IFERROR(AA438/AC438,0)</f>
        <v>0</v>
      </c>
      <c r="AE438" s="25" t="n">
        <f aca="false">K438-Q438-X438</f>
        <v>0</v>
      </c>
      <c r="AF438" s="25" t="n">
        <f aca="false">Q438-AA438</f>
        <v>0</v>
      </c>
      <c r="AG438" s="20"/>
      <c r="AH438" s="26" t="n">
        <f aca="false">IFERROR(AG438/Q438,0)</f>
        <v>0</v>
      </c>
      <c r="AI438" s="27" t="n">
        <v>0</v>
      </c>
      <c r="AJ438" s="26" t="n">
        <f aca="false">IF(AI438&gt;0,AprCoef/SQRT(AI438),0)</f>
        <v>0</v>
      </c>
      <c r="AK438" s="24" t="n">
        <f aca="false">AI438*AJ438/365</f>
        <v>0</v>
      </c>
      <c r="AL438" s="24" t="n">
        <f aca="false">AD438</f>
        <v>0</v>
      </c>
      <c r="AM438" s="24" t="n">
        <f aca="false">AK438-AL438</f>
        <v>0</v>
      </c>
      <c r="AN438" s="28" t="str">
        <f aca="false">IF(A438&gt;=Hip3LaunchDate,"YES","")</f>
        <v/>
      </c>
      <c r="AO438" s="28" t="str">
        <f aca="false">IF(A438&lt;Hip4LaunchDate,"pre-launch","live (zero-fee)")</f>
        <v>pre-launch</v>
      </c>
      <c r="AP438" s="20"/>
      <c r="AQ438" s="20"/>
      <c r="AR438" s="20"/>
    </row>
    <row r="439" customFormat="false" ht="15" hidden="false" customHeight="false" outlineLevel="0" collapsed="false">
      <c r="A439" s="18" t="n">
        <v>45500</v>
      </c>
      <c r="B439" s="19" t="n">
        <v>1054414139.4</v>
      </c>
      <c r="C439" s="19" t="n">
        <v>0</v>
      </c>
      <c r="D439" s="20"/>
      <c r="E439" s="21" t="n">
        <f aca="false">B439+C439</f>
        <v>1054414139.4</v>
      </c>
      <c r="F439" s="21" t="n">
        <f aca="false">E439+D439</f>
        <v>1054414139.4</v>
      </c>
      <c r="G439" s="22" t="n">
        <f aca="false">IFERROR(C439/E439,0)</f>
        <v>0</v>
      </c>
      <c r="H439" s="20"/>
      <c r="I439" s="20"/>
      <c r="J439" s="20"/>
      <c r="K439" s="21" t="n">
        <f aca="false">H439+I439</f>
        <v>0</v>
      </c>
      <c r="L439" s="20"/>
      <c r="M439" s="21" t="n">
        <f aca="false">H439-L439</f>
        <v>0</v>
      </c>
      <c r="N439" s="23" t="n">
        <f aca="false">IFERROR(M439/B439*10000,0)</f>
        <v>0</v>
      </c>
      <c r="O439" s="20"/>
      <c r="P439" s="20"/>
      <c r="Q439" s="21" t="n">
        <f aca="false">O439+P439</f>
        <v>0</v>
      </c>
      <c r="R439" s="22" t="n">
        <f aca="false">IF(A439&lt;HlpChangeDate,HlpSharePre,HlpSharePost)</f>
        <v>0.03</v>
      </c>
      <c r="S439" s="21" t="n">
        <f aca="false">Q439*R439/(1-R439)</f>
        <v>0</v>
      </c>
      <c r="T439" s="20"/>
      <c r="U439" s="21" t="n">
        <f aca="false">S439-T439</f>
        <v>0</v>
      </c>
      <c r="V439" s="21" t="n">
        <f aca="false">Y439-O439*R439/(1-R439)</f>
        <v>0</v>
      </c>
      <c r="W439" s="21" t="n">
        <f aca="false">Z439-P439*R439/(1-R439)</f>
        <v>0</v>
      </c>
      <c r="X439" s="21" t="n">
        <f aca="false">S439+V439+W439</f>
        <v>0</v>
      </c>
      <c r="Y439" s="20"/>
      <c r="Z439" s="20"/>
      <c r="AA439" s="19" t="n">
        <v>0</v>
      </c>
      <c r="AB439" s="20"/>
      <c r="AC439" s="20"/>
      <c r="AD439" s="24" t="n">
        <f aca="false">IFERROR(AA439/AC439,0)</f>
        <v>0</v>
      </c>
      <c r="AE439" s="25" t="n">
        <f aca="false">K439-Q439-X439</f>
        <v>0</v>
      </c>
      <c r="AF439" s="25" t="n">
        <f aca="false">Q439-AA439</f>
        <v>0</v>
      </c>
      <c r="AG439" s="20"/>
      <c r="AH439" s="26" t="n">
        <f aca="false">IFERROR(AG439/Q439,0)</f>
        <v>0</v>
      </c>
      <c r="AI439" s="27" t="n">
        <v>0</v>
      </c>
      <c r="AJ439" s="26" t="n">
        <f aca="false">IF(AI439&gt;0,AprCoef/SQRT(AI439),0)</f>
        <v>0</v>
      </c>
      <c r="AK439" s="24" t="n">
        <f aca="false">AI439*AJ439/365</f>
        <v>0</v>
      </c>
      <c r="AL439" s="24" t="n">
        <f aca="false">AD439</f>
        <v>0</v>
      </c>
      <c r="AM439" s="24" t="n">
        <f aca="false">AK439-AL439</f>
        <v>0</v>
      </c>
      <c r="AN439" s="28" t="str">
        <f aca="false">IF(A439&gt;=Hip3LaunchDate,"YES","")</f>
        <v/>
      </c>
      <c r="AO439" s="28" t="str">
        <f aca="false">IF(A439&lt;Hip4LaunchDate,"pre-launch","live (zero-fee)")</f>
        <v>pre-launch</v>
      </c>
      <c r="AP439" s="20"/>
      <c r="AQ439" s="20"/>
      <c r="AR439" s="20"/>
    </row>
    <row r="440" customFormat="false" ht="15" hidden="false" customHeight="false" outlineLevel="0" collapsed="false">
      <c r="A440" s="18" t="n">
        <v>45501</v>
      </c>
      <c r="B440" s="19" t="n">
        <v>466128438.64</v>
      </c>
      <c r="C440" s="19" t="n">
        <v>0</v>
      </c>
      <c r="D440" s="20"/>
      <c r="E440" s="21" t="n">
        <f aca="false">B440+C440</f>
        <v>466128438.64</v>
      </c>
      <c r="F440" s="21" t="n">
        <f aca="false">E440+D440</f>
        <v>466128438.64</v>
      </c>
      <c r="G440" s="22" t="n">
        <f aca="false">IFERROR(C440/E440,0)</f>
        <v>0</v>
      </c>
      <c r="H440" s="20"/>
      <c r="I440" s="20"/>
      <c r="J440" s="20"/>
      <c r="K440" s="21" t="n">
        <f aca="false">H440+I440</f>
        <v>0</v>
      </c>
      <c r="L440" s="20"/>
      <c r="M440" s="21" t="n">
        <f aca="false">H440-L440</f>
        <v>0</v>
      </c>
      <c r="N440" s="23" t="n">
        <f aca="false">IFERROR(M440/B440*10000,0)</f>
        <v>0</v>
      </c>
      <c r="O440" s="20"/>
      <c r="P440" s="20"/>
      <c r="Q440" s="21" t="n">
        <f aca="false">O440+P440</f>
        <v>0</v>
      </c>
      <c r="R440" s="22" t="n">
        <f aca="false">IF(A440&lt;HlpChangeDate,HlpSharePre,HlpSharePost)</f>
        <v>0.03</v>
      </c>
      <c r="S440" s="21" t="n">
        <f aca="false">Q440*R440/(1-R440)</f>
        <v>0</v>
      </c>
      <c r="T440" s="20"/>
      <c r="U440" s="21" t="n">
        <f aca="false">S440-T440</f>
        <v>0</v>
      </c>
      <c r="V440" s="21" t="n">
        <f aca="false">Y440-O440*R440/(1-R440)</f>
        <v>0</v>
      </c>
      <c r="W440" s="21" t="n">
        <f aca="false">Z440-P440*R440/(1-R440)</f>
        <v>0</v>
      </c>
      <c r="X440" s="21" t="n">
        <f aca="false">S440+V440+W440</f>
        <v>0</v>
      </c>
      <c r="Y440" s="20"/>
      <c r="Z440" s="20"/>
      <c r="AA440" s="19" t="n">
        <v>0</v>
      </c>
      <c r="AB440" s="20"/>
      <c r="AC440" s="20"/>
      <c r="AD440" s="24" t="n">
        <f aca="false">IFERROR(AA440/AC440,0)</f>
        <v>0</v>
      </c>
      <c r="AE440" s="25" t="n">
        <f aca="false">K440-Q440-X440</f>
        <v>0</v>
      </c>
      <c r="AF440" s="25" t="n">
        <f aca="false">Q440-AA440</f>
        <v>0</v>
      </c>
      <c r="AG440" s="20"/>
      <c r="AH440" s="26" t="n">
        <f aca="false">IFERROR(AG440/Q440,0)</f>
        <v>0</v>
      </c>
      <c r="AI440" s="27" t="n">
        <v>0</v>
      </c>
      <c r="AJ440" s="26" t="n">
        <f aca="false">IF(AI440&gt;0,AprCoef/SQRT(AI440),0)</f>
        <v>0</v>
      </c>
      <c r="AK440" s="24" t="n">
        <f aca="false">AI440*AJ440/365</f>
        <v>0</v>
      </c>
      <c r="AL440" s="24" t="n">
        <f aca="false">AD440</f>
        <v>0</v>
      </c>
      <c r="AM440" s="24" t="n">
        <f aca="false">AK440-AL440</f>
        <v>0</v>
      </c>
      <c r="AN440" s="28" t="str">
        <f aca="false">IF(A440&gt;=Hip3LaunchDate,"YES","")</f>
        <v/>
      </c>
      <c r="AO440" s="28" t="str">
        <f aca="false">IF(A440&lt;Hip4LaunchDate,"pre-launch","live (zero-fee)")</f>
        <v>pre-launch</v>
      </c>
      <c r="AP440" s="20"/>
      <c r="AQ440" s="20"/>
      <c r="AR440" s="20"/>
    </row>
    <row r="441" customFormat="false" ht="15" hidden="false" customHeight="false" outlineLevel="0" collapsed="false">
      <c r="A441" s="18" t="n">
        <v>45502</v>
      </c>
      <c r="B441" s="19" t="n">
        <v>1191382824.57</v>
      </c>
      <c r="C441" s="19" t="n">
        <v>0</v>
      </c>
      <c r="D441" s="20"/>
      <c r="E441" s="21" t="n">
        <f aca="false">B441+C441</f>
        <v>1191382824.57</v>
      </c>
      <c r="F441" s="21" t="n">
        <f aca="false">E441+D441</f>
        <v>1191382824.57</v>
      </c>
      <c r="G441" s="22" t="n">
        <f aca="false">IFERROR(C441/E441,0)</f>
        <v>0</v>
      </c>
      <c r="H441" s="20"/>
      <c r="I441" s="20"/>
      <c r="J441" s="20"/>
      <c r="K441" s="21" t="n">
        <f aca="false">H441+I441</f>
        <v>0</v>
      </c>
      <c r="L441" s="20"/>
      <c r="M441" s="21" t="n">
        <f aca="false">H441-L441</f>
        <v>0</v>
      </c>
      <c r="N441" s="23" t="n">
        <f aca="false">IFERROR(M441/B441*10000,0)</f>
        <v>0</v>
      </c>
      <c r="O441" s="20"/>
      <c r="P441" s="20"/>
      <c r="Q441" s="21" t="n">
        <f aca="false">O441+P441</f>
        <v>0</v>
      </c>
      <c r="R441" s="22" t="n">
        <f aca="false">IF(A441&lt;HlpChangeDate,HlpSharePre,HlpSharePost)</f>
        <v>0.03</v>
      </c>
      <c r="S441" s="21" t="n">
        <f aca="false">Q441*R441/(1-R441)</f>
        <v>0</v>
      </c>
      <c r="T441" s="20"/>
      <c r="U441" s="21" t="n">
        <f aca="false">S441-T441</f>
        <v>0</v>
      </c>
      <c r="V441" s="21" t="n">
        <f aca="false">Y441-O441*R441/(1-R441)</f>
        <v>0</v>
      </c>
      <c r="W441" s="21" t="n">
        <f aca="false">Z441-P441*R441/(1-R441)</f>
        <v>0</v>
      </c>
      <c r="X441" s="21" t="n">
        <f aca="false">S441+V441+W441</f>
        <v>0</v>
      </c>
      <c r="Y441" s="20"/>
      <c r="Z441" s="20"/>
      <c r="AA441" s="19" t="n">
        <v>0</v>
      </c>
      <c r="AB441" s="20"/>
      <c r="AC441" s="20"/>
      <c r="AD441" s="24" t="n">
        <f aca="false">IFERROR(AA441/AC441,0)</f>
        <v>0</v>
      </c>
      <c r="AE441" s="25" t="n">
        <f aca="false">K441-Q441-X441</f>
        <v>0</v>
      </c>
      <c r="AF441" s="25" t="n">
        <f aca="false">Q441-AA441</f>
        <v>0</v>
      </c>
      <c r="AG441" s="20"/>
      <c r="AH441" s="26" t="n">
        <f aca="false">IFERROR(AG441/Q441,0)</f>
        <v>0</v>
      </c>
      <c r="AI441" s="27" t="n">
        <v>0</v>
      </c>
      <c r="AJ441" s="26" t="n">
        <f aca="false">IF(AI441&gt;0,AprCoef/SQRT(AI441),0)</f>
        <v>0</v>
      </c>
      <c r="AK441" s="24" t="n">
        <f aca="false">AI441*AJ441/365</f>
        <v>0</v>
      </c>
      <c r="AL441" s="24" t="n">
        <f aca="false">AD441</f>
        <v>0</v>
      </c>
      <c r="AM441" s="24" t="n">
        <f aca="false">AK441-AL441</f>
        <v>0</v>
      </c>
      <c r="AN441" s="28" t="str">
        <f aca="false">IF(A441&gt;=Hip3LaunchDate,"YES","")</f>
        <v/>
      </c>
      <c r="AO441" s="28" t="str">
        <f aca="false">IF(A441&lt;Hip4LaunchDate,"pre-launch","live (zero-fee)")</f>
        <v>pre-launch</v>
      </c>
      <c r="AP441" s="20"/>
      <c r="AQ441" s="20"/>
      <c r="AR441" s="20"/>
    </row>
    <row r="442" customFormat="false" ht="15" hidden="false" customHeight="false" outlineLevel="0" collapsed="false">
      <c r="A442" s="18" t="n">
        <v>45503</v>
      </c>
      <c r="B442" s="19" t="n">
        <v>1015132865.44</v>
      </c>
      <c r="C442" s="19" t="n">
        <v>0</v>
      </c>
      <c r="D442" s="20"/>
      <c r="E442" s="21" t="n">
        <f aca="false">B442+C442</f>
        <v>1015132865.44</v>
      </c>
      <c r="F442" s="21" t="n">
        <f aca="false">E442+D442</f>
        <v>1015132865.44</v>
      </c>
      <c r="G442" s="22" t="n">
        <f aca="false">IFERROR(C442/E442,0)</f>
        <v>0</v>
      </c>
      <c r="H442" s="20"/>
      <c r="I442" s="20"/>
      <c r="J442" s="20"/>
      <c r="K442" s="21" t="n">
        <f aca="false">H442+I442</f>
        <v>0</v>
      </c>
      <c r="L442" s="20"/>
      <c r="M442" s="21" t="n">
        <f aca="false">H442-L442</f>
        <v>0</v>
      </c>
      <c r="N442" s="23" t="n">
        <f aca="false">IFERROR(M442/B442*10000,0)</f>
        <v>0</v>
      </c>
      <c r="O442" s="20"/>
      <c r="P442" s="20"/>
      <c r="Q442" s="21" t="n">
        <f aca="false">O442+P442</f>
        <v>0</v>
      </c>
      <c r="R442" s="22" t="n">
        <f aca="false">IF(A442&lt;HlpChangeDate,HlpSharePre,HlpSharePost)</f>
        <v>0.03</v>
      </c>
      <c r="S442" s="21" t="n">
        <f aca="false">Q442*R442/(1-R442)</f>
        <v>0</v>
      </c>
      <c r="T442" s="20"/>
      <c r="U442" s="21" t="n">
        <f aca="false">S442-T442</f>
        <v>0</v>
      </c>
      <c r="V442" s="21" t="n">
        <f aca="false">Y442-O442*R442/(1-R442)</f>
        <v>0</v>
      </c>
      <c r="W442" s="21" t="n">
        <f aca="false">Z442-P442*R442/(1-R442)</f>
        <v>0</v>
      </c>
      <c r="X442" s="21" t="n">
        <f aca="false">S442+V442+W442</f>
        <v>0</v>
      </c>
      <c r="Y442" s="20"/>
      <c r="Z442" s="20"/>
      <c r="AA442" s="19" t="n">
        <v>0</v>
      </c>
      <c r="AB442" s="20"/>
      <c r="AC442" s="20"/>
      <c r="AD442" s="24" t="n">
        <f aca="false">IFERROR(AA442/AC442,0)</f>
        <v>0</v>
      </c>
      <c r="AE442" s="25" t="n">
        <f aca="false">K442-Q442-X442</f>
        <v>0</v>
      </c>
      <c r="AF442" s="25" t="n">
        <f aca="false">Q442-AA442</f>
        <v>0</v>
      </c>
      <c r="AG442" s="20"/>
      <c r="AH442" s="26" t="n">
        <f aca="false">IFERROR(AG442/Q442,0)</f>
        <v>0</v>
      </c>
      <c r="AI442" s="27" t="n">
        <v>0</v>
      </c>
      <c r="AJ442" s="26" t="n">
        <f aca="false">IF(AI442&gt;0,AprCoef/SQRT(AI442),0)</f>
        <v>0</v>
      </c>
      <c r="AK442" s="24" t="n">
        <f aca="false">AI442*AJ442/365</f>
        <v>0</v>
      </c>
      <c r="AL442" s="24" t="n">
        <f aca="false">AD442</f>
        <v>0</v>
      </c>
      <c r="AM442" s="24" t="n">
        <f aca="false">AK442-AL442</f>
        <v>0</v>
      </c>
      <c r="AN442" s="28" t="str">
        <f aca="false">IF(A442&gt;=Hip3LaunchDate,"YES","")</f>
        <v/>
      </c>
      <c r="AO442" s="28" t="str">
        <f aca="false">IF(A442&lt;Hip4LaunchDate,"pre-launch","live (zero-fee)")</f>
        <v>pre-launch</v>
      </c>
      <c r="AP442" s="20"/>
      <c r="AQ442" s="20"/>
      <c r="AR442" s="20"/>
    </row>
    <row r="443" customFormat="false" ht="15" hidden="false" customHeight="false" outlineLevel="0" collapsed="false">
      <c r="A443" s="18" t="n">
        <v>45504</v>
      </c>
      <c r="B443" s="19" t="n">
        <v>1053030054.93</v>
      </c>
      <c r="C443" s="19" t="n">
        <v>0</v>
      </c>
      <c r="D443" s="20"/>
      <c r="E443" s="21" t="n">
        <f aca="false">B443+C443</f>
        <v>1053030054.93</v>
      </c>
      <c r="F443" s="21" t="n">
        <f aca="false">E443+D443</f>
        <v>1053030054.93</v>
      </c>
      <c r="G443" s="22" t="n">
        <f aca="false">IFERROR(C443/E443,0)</f>
        <v>0</v>
      </c>
      <c r="H443" s="20"/>
      <c r="I443" s="20"/>
      <c r="J443" s="20"/>
      <c r="K443" s="21" t="n">
        <f aca="false">H443+I443</f>
        <v>0</v>
      </c>
      <c r="L443" s="20"/>
      <c r="M443" s="21" t="n">
        <f aca="false">H443-L443</f>
        <v>0</v>
      </c>
      <c r="N443" s="23" t="n">
        <f aca="false">IFERROR(M443/B443*10000,0)</f>
        <v>0</v>
      </c>
      <c r="O443" s="20"/>
      <c r="P443" s="20"/>
      <c r="Q443" s="21" t="n">
        <f aca="false">O443+P443</f>
        <v>0</v>
      </c>
      <c r="R443" s="22" t="n">
        <f aca="false">IF(A443&lt;HlpChangeDate,HlpSharePre,HlpSharePost)</f>
        <v>0.03</v>
      </c>
      <c r="S443" s="21" t="n">
        <f aca="false">Q443*R443/(1-R443)</f>
        <v>0</v>
      </c>
      <c r="T443" s="20"/>
      <c r="U443" s="21" t="n">
        <f aca="false">S443-T443</f>
        <v>0</v>
      </c>
      <c r="V443" s="21" t="n">
        <f aca="false">Y443-O443*R443/(1-R443)</f>
        <v>0</v>
      </c>
      <c r="W443" s="21" t="n">
        <f aca="false">Z443-P443*R443/(1-R443)</f>
        <v>0</v>
      </c>
      <c r="X443" s="21" t="n">
        <f aca="false">S443+V443+W443</f>
        <v>0</v>
      </c>
      <c r="Y443" s="20"/>
      <c r="Z443" s="20"/>
      <c r="AA443" s="19" t="n">
        <v>0</v>
      </c>
      <c r="AB443" s="20"/>
      <c r="AC443" s="20"/>
      <c r="AD443" s="24" t="n">
        <f aca="false">IFERROR(AA443/AC443,0)</f>
        <v>0</v>
      </c>
      <c r="AE443" s="25" t="n">
        <f aca="false">K443-Q443-X443</f>
        <v>0</v>
      </c>
      <c r="AF443" s="25" t="n">
        <f aca="false">Q443-AA443</f>
        <v>0</v>
      </c>
      <c r="AG443" s="20"/>
      <c r="AH443" s="26" t="n">
        <f aca="false">IFERROR(AG443/Q443,0)</f>
        <v>0</v>
      </c>
      <c r="AI443" s="27" t="n">
        <v>0</v>
      </c>
      <c r="AJ443" s="26" t="n">
        <f aca="false">IF(AI443&gt;0,AprCoef/SQRT(AI443),0)</f>
        <v>0</v>
      </c>
      <c r="AK443" s="24" t="n">
        <f aca="false">AI443*AJ443/365</f>
        <v>0</v>
      </c>
      <c r="AL443" s="24" t="n">
        <f aca="false">AD443</f>
        <v>0</v>
      </c>
      <c r="AM443" s="24" t="n">
        <f aca="false">AK443-AL443</f>
        <v>0</v>
      </c>
      <c r="AN443" s="28" t="str">
        <f aca="false">IF(A443&gt;=Hip3LaunchDate,"YES","")</f>
        <v/>
      </c>
      <c r="AO443" s="28" t="str">
        <f aca="false">IF(A443&lt;Hip4LaunchDate,"pre-launch","live (zero-fee)")</f>
        <v>pre-launch</v>
      </c>
      <c r="AP443" s="20"/>
      <c r="AQ443" s="20"/>
      <c r="AR443" s="20"/>
    </row>
    <row r="444" customFormat="false" ht="15" hidden="false" customHeight="false" outlineLevel="0" collapsed="false">
      <c r="A444" s="18" t="n">
        <v>45505</v>
      </c>
      <c r="B444" s="19" t="n">
        <v>1191402711.88</v>
      </c>
      <c r="C444" s="19" t="n">
        <v>0</v>
      </c>
      <c r="D444" s="20"/>
      <c r="E444" s="21" t="n">
        <f aca="false">B444+C444</f>
        <v>1191402711.88</v>
      </c>
      <c r="F444" s="21" t="n">
        <f aca="false">E444+D444</f>
        <v>1191402711.88</v>
      </c>
      <c r="G444" s="22" t="n">
        <f aca="false">IFERROR(C444/E444,0)</f>
        <v>0</v>
      </c>
      <c r="H444" s="20"/>
      <c r="I444" s="20"/>
      <c r="J444" s="20"/>
      <c r="K444" s="21" t="n">
        <f aca="false">H444+I444</f>
        <v>0</v>
      </c>
      <c r="L444" s="20"/>
      <c r="M444" s="21" t="n">
        <f aca="false">H444-L444</f>
        <v>0</v>
      </c>
      <c r="N444" s="23" t="n">
        <f aca="false">IFERROR(M444/B444*10000,0)</f>
        <v>0</v>
      </c>
      <c r="O444" s="20"/>
      <c r="P444" s="20"/>
      <c r="Q444" s="21" t="n">
        <f aca="false">O444+P444</f>
        <v>0</v>
      </c>
      <c r="R444" s="22" t="n">
        <f aca="false">IF(A444&lt;HlpChangeDate,HlpSharePre,HlpSharePost)</f>
        <v>0.03</v>
      </c>
      <c r="S444" s="21" t="n">
        <f aca="false">Q444*R444/(1-R444)</f>
        <v>0</v>
      </c>
      <c r="T444" s="20"/>
      <c r="U444" s="21" t="n">
        <f aca="false">S444-T444</f>
        <v>0</v>
      </c>
      <c r="V444" s="21" t="n">
        <f aca="false">Y444-O444*R444/(1-R444)</f>
        <v>0</v>
      </c>
      <c r="W444" s="21" t="n">
        <f aca="false">Z444-P444*R444/(1-R444)</f>
        <v>0</v>
      </c>
      <c r="X444" s="21" t="n">
        <f aca="false">S444+V444+W444</f>
        <v>0</v>
      </c>
      <c r="Y444" s="20"/>
      <c r="Z444" s="20"/>
      <c r="AA444" s="19" t="n">
        <v>0</v>
      </c>
      <c r="AB444" s="20"/>
      <c r="AC444" s="20"/>
      <c r="AD444" s="24" t="n">
        <f aca="false">IFERROR(AA444/AC444,0)</f>
        <v>0</v>
      </c>
      <c r="AE444" s="25" t="n">
        <f aca="false">K444-Q444-X444</f>
        <v>0</v>
      </c>
      <c r="AF444" s="25" t="n">
        <f aca="false">Q444-AA444</f>
        <v>0</v>
      </c>
      <c r="AG444" s="20"/>
      <c r="AH444" s="26" t="n">
        <f aca="false">IFERROR(AG444/Q444,0)</f>
        <v>0</v>
      </c>
      <c r="AI444" s="27" t="n">
        <v>0</v>
      </c>
      <c r="AJ444" s="26" t="n">
        <f aca="false">IF(AI444&gt;0,AprCoef/SQRT(AI444),0)</f>
        <v>0</v>
      </c>
      <c r="AK444" s="24" t="n">
        <f aca="false">AI444*AJ444/365</f>
        <v>0</v>
      </c>
      <c r="AL444" s="24" t="n">
        <f aca="false">AD444</f>
        <v>0</v>
      </c>
      <c r="AM444" s="24" t="n">
        <f aca="false">AK444-AL444</f>
        <v>0</v>
      </c>
      <c r="AN444" s="28" t="str">
        <f aca="false">IF(A444&gt;=Hip3LaunchDate,"YES","")</f>
        <v/>
      </c>
      <c r="AO444" s="28" t="str">
        <f aca="false">IF(A444&lt;Hip4LaunchDate,"pre-launch","live (zero-fee)")</f>
        <v>pre-launch</v>
      </c>
      <c r="AP444" s="20"/>
      <c r="AQ444" s="20"/>
      <c r="AR444" s="20"/>
    </row>
    <row r="445" customFormat="false" ht="15" hidden="false" customHeight="false" outlineLevel="0" collapsed="false">
      <c r="A445" s="18" t="n">
        <v>45506</v>
      </c>
      <c r="B445" s="19" t="n">
        <v>1430145675.47</v>
      </c>
      <c r="C445" s="19" t="n">
        <v>0</v>
      </c>
      <c r="D445" s="20"/>
      <c r="E445" s="21" t="n">
        <f aca="false">B445+C445</f>
        <v>1430145675.47</v>
      </c>
      <c r="F445" s="21" t="n">
        <f aca="false">E445+D445</f>
        <v>1430145675.47</v>
      </c>
      <c r="G445" s="22" t="n">
        <f aca="false">IFERROR(C445/E445,0)</f>
        <v>0</v>
      </c>
      <c r="H445" s="20"/>
      <c r="I445" s="20"/>
      <c r="J445" s="20"/>
      <c r="K445" s="21" t="n">
        <f aca="false">H445+I445</f>
        <v>0</v>
      </c>
      <c r="L445" s="20"/>
      <c r="M445" s="21" t="n">
        <f aca="false">H445-L445</f>
        <v>0</v>
      </c>
      <c r="N445" s="23" t="n">
        <f aca="false">IFERROR(M445/B445*10000,0)</f>
        <v>0</v>
      </c>
      <c r="O445" s="20"/>
      <c r="P445" s="20"/>
      <c r="Q445" s="21" t="n">
        <f aca="false">O445+P445</f>
        <v>0</v>
      </c>
      <c r="R445" s="22" t="n">
        <f aca="false">IF(A445&lt;HlpChangeDate,HlpSharePre,HlpSharePost)</f>
        <v>0.03</v>
      </c>
      <c r="S445" s="21" t="n">
        <f aca="false">Q445*R445/(1-R445)</f>
        <v>0</v>
      </c>
      <c r="T445" s="20"/>
      <c r="U445" s="21" t="n">
        <f aca="false">S445-T445</f>
        <v>0</v>
      </c>
      <c r="V445" s="21" t="n">
        <f aca="false">Y445-O445*R445/(1-R445)</f>
        <v>0</v>
      </c>
      <c r="W445" s="21" t="n">
        <f aca="false">Z445-P445*R445/(1-R445)</f>
        <v>0</v>
      </c>
      <c r="X445" s="21" t="n">
        <f aca="false">S445+V445+W445</f>
        <v>0</v>
      </c>
      <c r="Y445" s="20"/>
      <c r="Z445" s="20"/>
      <c r="AA445" s="19" t="n">
        <v>0</v>
      </c>
      <c r="AB445" s="20"/>
      <c r="AC445" s="20"/>
      <c r="AD445" s="24" t="n">
        <f aca="false">IFERROR(AA445/AC445,0)</f>
        <v>0</v>
      </c>
      <c r="AE445" s="25" t="n">
        <f aca="false">K445-Q445-X445</f>
        <v>0</v>
      </c>
      <c r="AF445" s="25" t="n">
        <f aca="false">Q445-AA445</f>
        <v>0</v>
      </c>
      <c r="AG445" s="20"/>
      <c r="AH445" s="26" t="n">
        <f aca="false">IFERROR(AG445/Q445,0)</f>
        <v>0</v>
      </c>
      <c r="AI445" s="27" t="n">
        <v>0</v>
      </c>
      <c r="AJ445" s="26" t="n">
        <f aca="false">IF(AI445&gt;0,AprCoef/SQRT(AI445),0)</f>
        <v>0</v>
      </c>
      <c r="AK445" s="24" t="n">
        <f aca="false">AI445*AJ445/365</f>
        <v>0</v>
      </c>
      <c r="AL445" s="24" t="n">
        <f aca="false">AD445</f>
        <v>0</v>
      </c>
      <c r="AM445" s="24" t="n">
        <f aca="false">AK445-AL445</f>
        <v>0</v>
      </c>
      <c r="AN445" s="28" t="str">
        <f aca="false">IF(A445&gt;=Hip3LaunchDate,"YES","")</f>
        <v/>
      </c>
      <c r="AO445" s="28" t="str">
        <f aca="false">IF(A445&lt;Hip4LaunchDate,"pre-launch","live (zero-fee)")</f>
        <v>pre-launch</v>
      </c>
      <c r="AP445" s="20"/>
      <c r="AQ445" s="20"/>
      <c r="AR445" s="20"/>
    </row>
    <row r="446" customFormat="false" ht="15" hidden="false" customHeight="false" outlineLevel="0" collapsed="false">
      <c r="A446" s="18" t="n">
        <v>45507</v>
      </c>
      <c r="B446" s="19" t="n">
        <v>954276979.99</v>
      </c>
      <c r="C446" s="19" t="n">
        <v>0</v>
      </c>
      <c r="D446" s="20"/>
      <c r="E446" s="21" t="n">
        <f aca="false">B446+C446</f>
        <v>954276979.99</v>
      </c>
      <c r="F446" s="21" t="n">
        <f aca="false">E446+D446</f>
        <v>954276979.99</v>
      </c>
      <c r="G446" s="22" t="n">
        <f aca="false">IFERROR(C446/E446,0)</f>
        <v>0</v>
      </c>
      <c r="H446" s="20"/>
      <c r="I446" s="20"/>
      <c r="J446" s="20"/>
      <c r="K446" s="21" t="n">
        <f aca="false">H446+I446</f>
        <v>0</v>
      </c>
      <c r="L446" s="20"/>
      <c r="M446" s="21" t="n">
        <f aca="false">H446-L446</f>
        <v>0</v>
      </c>
      <c r="N446" s="23" t="n">
        <f aca="false">IFERROR(M446/B446*10000,0)</f>
        <v>0</v>
      </c>
      <c r="O446" s="20"/>
      <c r="P446" s="20"/>
      <c r="Q446" s="21" t="n">
        <f aca="false">O446+P446</f>
        <v>0</v>
      </c>
      <c r="R446" s="22" t="n">
        <f aca="false">IF(A446&lt;HlpChangeDate,HlpSharePre,HlpSharePost)</f>
        <v>0.03</v>
      </c>
      <c r="S446" s="21" t="n">
        <f aca="false">Q446*R446/(1-R446)</f>
        <v>0</v>
      </c>
      <c r="T446" s="20"/>
      <c r="U446" s="21" t="n">
        <f aca="false">S446-T446</f>
        <v>0</v>
      </c>
      <c r="V446" s="21" t="n">
        <f aca="false">Y446-O446*R446/(1-R446)</f>
        <v>0</v>
      </c>
      <c r="W446" s="21" t="n">
        <f aca="false">Z446-P446*R446/(1-R446)</f>
        <v>0</v>
      </c>
      <c r="X446" s="21" t="n">
        <f aca="false">S446+V446+W446</f>
        <v>0</v>
      </c>
      <c r="Y446" s="20"/>
      <c r="Z446" s="20"/>
      <c r="AA446" s="19" t="n">
        <v>0</v>
      </c>
      <c r="AB446" s="20"/>
      <c r="AC446" s="20"/>
      <c r="AD446" s="24" t="n">
        <f aca="false">IFERROR(AA446/AC446,0)</f>
        <v>0</v>
      </c>
      <c r="AE446" s="25" t="n">
        <f aca="false">K446-Q446-X446</f>
        <v>0</v>
      </c>
      <c r="AF446" s="25" t="n">
        <f aca="false">Q446-AA446</f>
        <v>0</v>
      </c>
      <c r="AG446" s="20"/>
      <c r="AH446" s="26" t="n">
        <f aca="false">IFERROR(AG446/Q446,0)</f>
        <v>0</v>
      </c>
      <c r="AI446" s="27" t="n">
        <v>0</v>
      </c>
      <c r="AJ446" s="26" t="n">
        <f aca="false">IF(AI446&gt;0,AprCoef/SQRT(AI446),0)</f>
        <v>0</v>
      </c>
      <c r="AK446" s="24" t="n">
        <f aca="false">AI446*AJ446/365</f>
        <v>0</v>
      </c>
      <c r="AL446" s="24" t="n">
        <f aca="false">AD446</f>
        <v>0</v>
      </c>
      <c r="AM446" s="24" t="n">
        <f aca="false">AK446-AL446</f>
        <v>0</v>
      </c>
      <c r="AN446" s="28" t="str">
        <f aca="false">IF(A446&gt;=Hip3LaunchDate,"YES","")</f>
        <v/>
      </c>
      <c r="AO446" s="28" t="str">
        <f aca="false">IF(A446&lt;Hip4LaunchDate,"pre-launch","live (zero-fee)")</f>
        <v>pre-launch</v>
      </c>
      <c r="AP446" s="20"/>
      <c r="AQ446" s="20"/>
      <c r="AR446" s="20"/>
    </row>
    <row r="447" customFormat="false" ht="15" hidden="false" customHeight="false" outlineLevel="0" collapsed="false">
      <c r="A447" s="18" t="n">
        <v>45508</v>
      </c>
      <c r="B447" s="19" t="n">
        <v>1192901476.15</v>
      </c>
      <c r="C447" s="19" t="n">
        <v>0</v>
      </c>
      <c r="D447" s="20"/>
      <c r="E447" s="21" t="n">
        <f aca="false">B447+C447</f>
        <v>1192901476.15</v>
      </c>
      <c r="F447" s="21" t="n">
        <f aca="false">E447+D447</f>
        <v>1192901476.15</v>
      </c>
      <c r="G447" s="22" t="n">
        <f aca="false">IFERROR(C447/E447,0)</f>
        <v>0</v>
      </c>
      <c r="H447" s="20"/>
      <c r="I447" s="20"/>
      <c r="J447" s="20"/>
      <c r="K447" s="21" t="n">
        <f aca="false">H447+I447</f>
        <v>0</v>
      </c>
      <c r="L447" s="20"/>
      <c r="M447" s="21" t="n">
        <f aca="false">H447-L447</f>
        <v>0</v>
      </c>
      <c r="N447" s="23" t="n">
        <f aca="false">IFERROR(M447/B447*10000,0)</f>
        <v>0</v>
      </c>
      <c r="O447" s="20"/>
      <c r="P447" s="20"/>
      <c r="Q447" s="21" t="n">
        <f aca="false">O447+P447</f>
        <v>0</v>
      </c>
      <c r="R447" s="22" t="n">
        <f aca="false">IF(A447&lt;HlpChangeDate,HlpSharePre,HlpSharePost)</f>
        <v>0.03</v>
      </c>
      <c r="S447" s="21" t="n">
        <f aca="false">Q447*R447/(1-R447)</f>
        <v>0</v>
      </c>
      <c r="T447" s="20"/>
      <c r="U447" s="21" t="n">
        <f aca="false">S447-T447</f>
        <v>0</v>
      </c>
      <c r="V447" s="21" t="n">
        <f aca="false">Y447-O447*R447/(1-R447)</f>
        <v>0</v>
      </c>
      <c r="W447" s="21" t="n">
        <f aca="false">Z447-P447*R447/(1-R447)</f>
        <v>0</v>
      </c>
      <c r="X447" s="21" t="n">
        <f aca="false">S447+V447+W447</f>
        <v>0</v>
      </c>
      <c r="Y447" s="20"/>
      <c r="Z447" s="20"/>
      <c r="AA447" s="19" t="n">
        <v>0</v>
      </c>
      <c r="AB447" s="20"/>
      <c r="AC447" s="20"/>
      <c r="AD447" s="24" t="n">
        <f aca="false">IFERROR(AA447/AC447,0)</f>
        <v>0</v>
      </c>
      <c r="AE447" s="25" t="n">
        <f aca="false">K447-Q447-X447</f>
        <v>0</v>
      </c>
      <c r="AF447" s="25" t="n">
        <f aca="false">Q447-AA447</f>
        <v>0</v>
      </c>
      <c r="AG447" s="20"/>
      <c r="AH447" s="26" t="n">
        <f aca="false">IFERROR(AG447/Q447,0)</f>
        <v>0</v>
      </c>
      <c r="AI447" s="27" t="n">
        <v>0</v>
      </c>
      <c r="AJ447" s="26" t="n">
        <f aca="false">IF(AI447&gt;0,AprCoef/SQRT(AI447),0)</f>
        <v>0</v>
      </c>
      <c r="AK447" s="24" t="n">
        <f aca="false">AI447*AJ447/365</f>
        <v>0</v>
      </c>
      <c r="AL447" s="24" t="n">
        <f aca="false">AD447</f>
        <v>0</v>
      </c>
      <c r="AM447" s="24" t="n">
        <f aca="false">AK447-AL447</f>
        <v>0</v>
      </c>
      <c r="AN447" s="28" t="str">
        <f aca="false">IF(A447&gt;=Hip3LaunchDate,"YES","")</f>
        <v/>
      </c>
      <c r="AO447" s="28" t="str">
        <f aca="false">IF(A447&lt;Hip4LaunchDate,"pre-launch","live (zero-fee)")</f>
        <v>pre-launch</v>
      </c>
      <c r="AP447" s="20"/>
      <c r="AQ447" s="20"/>
      <c r="AR447" s="20"/>
    </row>
    <row r="448" customFormat="false" ht="15" hidden="false" customHeight="false" outlineLevel="0" collapsed="false">
      <c r="A448" s="18" t="n">
        <v>45509</v>
      </c>
      <c r="B448" s="19" t="n">
        <v>4169986819.77</v>
      </c>
      <c r="C448" s="19" t="n">
        <v>0</v>
      </c>
      <c r="D448" s="20"/>
      <c r="E448" s="21" t="n">
        <f aca="false">B448+C448</f>
        <v>4169986819.77</v>
      </c>
      <c r="F448" s="21" t="n">
        <f aca="false">E448+D448</f>
        <v>4169986819.77</v>
      </c>
      <c r="G448" s="22" t="n">
        <f aca="false">IFERROR(C448/E448,0)</f>
        <v>0</v>
      </c>
      <c r="H448" s="20"/>
      <c r="I448" s="20"/>
      <c r="J448" s="20"/>
      <c r="K448" s="21" t="n">
        <f aca="false">H448+I448</f>
        <v>0</v>
      </c>
      <c r="L448" s="20"/>
      <c r="M448" s="21" t="n">
        <f aca="false">H448-L448</f>
        <v>0</v>
      </c>
      <c r="N448" s="23" t="n">
        <f aca="false">IFERROR(M448/B448*10000,0)</f>
        <v>0</v>
      </c>
      <c r="O448" s="20"/>
      <c r="P448" s="20"/>
      <c r="Q448" s="21" t="n">
        <f aca="false">O448+P448</f>
        <v>0</v>
      </c>
      <c r="R448" s="22" t="n">
        <f aca="false">IF(A448&lt;HlpChangeDate,HlpSharePre,HlpSharePost)</f>
        <v>0.03</v>
      </c>
      <c r="S448" s="21" t="n">
        <f aca="false">Q448*R448/(1-R448)</f>
        <v>0</v>
      </c>
      <c r="T448" s="20"/>
      <c r="U448" s="21" t="n">
        <f aca="false">S448-T448</f>
        <v>0</v>
      </c>
      <c r="V448" s="21" t="n">
        <f aca="false">Y448-O448*R448/(1-R448)</f>
        <v>0</v>
      </c>
      <c r="W448" s="21" t="n">
        <f aca="false">Z448-P448*R448/(1-R448)</f>
        <v>0</v>
      </c>
      <c r="X448" s="21" t="n">
        <f aca="false">S448+V448+W448</f>
        <v>0</v>
      </c>
      <c r="Y448" s="20"/>
      <c r="Z448" s="20"/>
      <c r="AA448" s="19" t="n">
        <v>0</v>
      </c>
      <c r="AB448" s="20"/>
      <c r="AC448" s="20"/>
      <c r="AD448" s="24" t="n">
        <f aca="false">IFERROR(AA448/AC448,0)</f>
        <v>0</v>
      </c>
      <c r="AE448" s="25" t="n">
        <f aca="false">K448-Q448-X448</f>
        <v>0</v>
      </c>
      <c r="AF448" s="25" t="n">
        <f aca="false">Q448-AA448</f>
        <v>0</v>
      </c>
      <c r="AG448" s="20"/>
      <c r="AH448" s="26" t="n">
        <f aca="false">IFERROR(AG448/Q448,0)</f>
        <v>0</v>
      </c>
      <c r="AI448" s="27" t="n">
        <v>0</v>
      </c>
      <c r="AJ448" s="26" t="n">
        <f aca="false">IF(AI448&gt;0,AprCoef/SQRT(AI448),0)</f>
        <v>0</v>
      </c>
      <c r="AK448" s="24" t="n">
        <f aca="false">AI448*AJ448/365</f>
        <v>0</v>
      </c>
      <c r="AL448" s="24" t="n">
        <f aca="false">AD448</f>
        <v>0</v>
      </c>
      <c r="AM448" s="24" t="n">
        <f aca="false">AK448-AL448</f>
        <v>0</v>
      </c>
      <c r="AN448" s="28" t="str">
        <f aca="false">IF(A448&gt;=Hip3LaunchDate,"YES","")</f>
        <v/>
      </c>
      <c r="AO448" s="28" t="str">
        <f aca="false">IF(A448&lt;Hip4LaunchDate,"pre-launch","live (zero-fee)")</f>
        <v>pre-launch</v>
      </c>
      <c r="AP448" s="20"/>
      <c r="AQ448" s="20"/>
      <c r="AR448" s="20"/>
    </row>
    <row r="449" customFormat="false" ht="15" hidden="false" customHeight="false" outlineLevel="0" collapsed="false">
      <c r="A449" s="18" t="n">
        <v>45510</v>
      </c>
      <c r="B449" s="19" t="n">
        <v>1232056736.25</v>
      </c>
      <c r="C449" s="19" t="n">
        <v>0</v>
      </c>
      <c r="D449" s="20"/>
      <c r="E449" s="21" t="n">
        <f aca="false">B449+C449</f>
        <v>1232056736.25</v>
      </c>
      <c r="F449" s="21" t="n">
        <f aca="false">E449+D449</f>
        <v>1232056736.25</v>
      </c>
      <c r="G449" s="22" t="n">
        <f aca="false">IFERROR(C449/E449,0)</f>
        <v>0</v>
      </c>
      <c r="H449" s="20"/>
      <c r="I449" s="20"/>
      <c r="J449" s="20"/>
      <c r="K449" s="21" t="n">
        <f aca="false">H449+I449</f>
        <v>0</v>
      </c>
      <c r="L449" s="20"/>
      <c r="M449" s="21" t="n">
        <f aca="false">H449-L449</f>
        <v>0</v>
      </c>
      <c r="N449" s="23" t="n">
        <f aca="false">IFERROR(M449/B449*10000,0)</f>
        <v>0</v>
      </c>
      <c r="O449" s="20"/>
      <c r="P449" s="20"/>
      <c r="Q449" s="21" t="n">
        <f aca="false">O449+P449</f>
        <v>0</v>
      </c>
      <c r="R449" s="22" t="n">
        <f aca="false">IF(A449&lt;HlpChangeDate,HlpSharePre,HlpSharePost)</f>
        <v>0.03</v>
      </c>
      <c r="S449" s="21" t="n">
        <f aca="false">Q449*R449/(1-R449)</f>
        <v>0</v>
      </c>
      <c r="T449" s="20"/>
      <c r="U449" s="21" t="n">
        <f aca="false">S449-T449</f>
        <v>0</v>
      </c>
      <c r="V449" s="21" t="n">
        <f aca="false">Y449-O449*R449/(1-R449)</f>
        <v>0</v>
      </c>
      <c r="W449" s="21" t="n">
        <f aca="false">Z449-P449*R449/(1-R449)</f>
        <v>0</v>
      </c>
      <c r="X449" s="21" t="n">
        <f aca="false">S449+V449+W449</f>
        <v>0</v>
      </c>
      <c r="Y449" s="20"/>
      <c r="Z449" s="20"/>
      <c r="AA449" s="19" t="n">
        <v>0</v>
      </c>
      <c r="AB449" s="20"/>
      <c r="AC449" s="20"/>
      <c r="AD449" s="24" t="n">
        <f aca="false">IFERROR(AA449/AC449,0)</f>
        <v>0</v>
      </c>
      <c r="AE449" s="25" t="n">
        <f aca="false">K449-Q449-X449</f>
        <v>0</v>
      </c>
      <c r="AF449" s="25" t="n">
        <f aca="false">Q449-AA449</f>
        <v>0</v>
      </c>
      <c r="AG449" s="20"/>
      <c r="AH449" s="26" t="n">
        <f aca="false">IFERROR(AG449/Q449,0)</f>
        <v>0</v>
      </c>
      <c r="AI449" s="27" t="n">
        <v>0</v>
      </c>
      <c r="AJ449" s="26" t="n">
        <f aca="false">IF(AI449&gt;0,AprCoef/SQRT(AI449),0)</f>
        <v>0</v>
      </c>
      <c r="AK449" s="24" t="n">
        <f aca="false">AI449*AJ449/365</f>
        <v>0</v>
      </c>
      <c r="AL449" s="24" t="n">
        <f aca="false">AD449</f>
        <v>0</v>
      </c>
      <c r="AM449" s="24" t="n">
        <f aca="false">AK449-AL449</f>
        <v>0</v>
      </c>
      <c r="AN449" s="28" t="str">
        <f aca="false">IF(A449&gt;=Hip3LaunchDate,"YES","")</f>
        <v/>
      </c>
      <c r="AO449" s="28" t="str">
        <f aca="false">IF(A449&lt;Hip4LaunchDate,"pre-launch","live (zero-fee)")</f>
        <v>pre-launch</v>
      </c>
      <c r="AP449" s="20"/>
      <c r="AQ449" s="20"/>
      <c r="AR449" s="20"/>
    </row>
    <row r="450" customFormat="false" ht="15" hidden="false" customHeight="false" outlineLevel="0" collapsed="false">
      <c r="A450" s="18" t="n">
        <v>45511</v>
      </c>
      <c r="B450" s="19" t="n">
        <v>1495294224.37</v>
      </c>
      <c r="C450" s="19" t="n">
        <v>0</v>
      </c>
      <c r="D450" s="20"/>
      <c r="E450" s="21" t="n">
        <f aca="false">B450+C450</f>
        <v>1495294224.37</v>
      </c>
      <c r="F450" s="21" t="n">
        <f aca="false">E450+D450</f>
        <v>1495294224.37</v>
      </c>
      <c r="G450" s="22" t="n">
        <f aca="false">IFERROR(C450/E450,0)</f>
        <v>0</v>
      </c>
      <c r="H450" s="20"/>
      <c r="I450" s="20"/>
      <c r="J450" s="20"/>
      <c r="K450" s="21" t="n">
        <f aca="false">H450+I450</f>
        <v>0</v>
      </c>
      <c r="L450" s="20"/>
      <c r="M450" s="21" t="n">
        <f aca="false">H450-L450</f>
        <v>0</v>
      </c>
      <c r="N450" s="23" t="n">
        <f aca="false">IFERROR(M450/B450*10000,0)</f>
        <v>0</v>
      </c>
      <c r="O450" s="20"/>
      <c r="P450" s="20"/>
      <c r="Q450" s="21" t="n">
        <f aca="false">O450+P450</f>
        <v>0</v>
      </c>
      <c r="R450" s="22" t="n">
        <f aca="false">IF(A450&lt;HlpChangeDate,HlpSharePre,HlpSharePost)</f>
        <v>0.03</v>
      </c>
      <c r="S450" s="21" t="n">
        <f aca="false">Q450*R450/(1-R450)</f>
        <v>0</v>
      </c>
      <c r="T450" s="20"/>
      <c r="U450" s="21" t="n">
        <f aca="false">S450-T450</f>
        <v>0</v>
      </c>
      <c r="V450" s="21" t="n">
        <f aca="false">Y450-O450*R450/(1-R450)</f>
        <v>0</v>
      </c>
      <c r="W450" s="21" t="n">
        <f aca="false">Z450-P450*R450/(1-R450)</f>
        <v>0</v>
      </c>
      <c r="X450" s="21" t="n">
        <f aca="false">S450+V450+W450</f>
        <v>0</v>
      </c>
      <c r="Y450" s="20"/>
      <c r="Z450" s="20"/>
      <c r="AA450" s="19" t="n">
        <v>0</v>
      </c>
      <c r="AB450" s="20"/>
      <c r="AC450" s="20"/>
      <c r="AD450" s="24" t="n">
        <f aca="false">IFERROR(AA450/AC450,0)</f>
        <v>0</v>
      </c>
      <c r="AE450" s="25" t="n">
        <f aca="false">K450-Q450-X450</f>
        <v>0</v>
      </c>
      <c r="AF450" s="25" t="n">
        <f aca="false">Q450-AA450</f>
        <v>0</v>
      </c>
      <c r="AG450" s="20"/>
      <c r="AH450" s="26" t="n">
        <f aca="false">IFERROR(AG450/Q450,0)</f>
        <v>0</v>
      </c>
      <c r="AI450" s="27" t="n">
        <v>0</v>
      </c>
      <c r="AJ450" s="26" t="n">
        <f aca="false">IF(AI450&gt;0,AprCoef/SQRT(AI450),0)</f>
        <v>0</v>
      </c>
      <c r="AK450" s="24" t="n">
        <f aca="false">AI450*AJ450/365</f>
        <v>0</v>
      </c>
      <c r="AL450" s="24" t="n">
        <f aca="false">AD450</f>
        <v>0</v>
      </c>
      <c r="AM450" s="24" t="n">
        <f aca="false">AK450-AL450</f>
        <v>0</v>
      </c>
      <c r="AN450" s="28" t="str">
        <f aca="false">IF(A450&gt;=Hip3LaunchDate,"YES","")</f>
        <v/>
      </c>
      <c r="AO450" s="28" t="str">
        <f aca="false">IF(A450&lt;Hip4LaunchDate,"pre-launch","live (zero-fee)")</f>
        <v>pre-launch</v>
      </c>
      <c r="AP450" s="20"/>
      <c r="AQ450" s="20"/>
      <c r="AR450" s="20"/>
    </row>
    <row r="451" customFormat="false" ht="15" hidden="false" customHeight="false" outlineLevel="0" collapsed="false">
      <c r="A451" s="18" t="n">
        <v>45512</v>
      </c>
      <c r="B451" s="19" t="n">
        <v>1305310342.43</v>
      </c>
      <c r="C451" s="19" t="n">
        <v>0</v>
      </c>
      <c r="D451" s="20"/>
      <c r="E451" s="21" t="n">
        <f aca="false">B451+C451</f>
        <v>1305310342.43</v>
      </c>
      <c r="F451" s="21" t="n">
        <f aca="false">E451+D451</f>
        <v>1305310342.43</v>
      </c>
      <c r="G451" s="22" t="n">
        <f aca="false">IFERROR(C451/E451,0)</f>
        <v>0</v>
      </c>
      <c r="H451" s="20"/>
      <c r="I451" s="20"/>
      <c r="J451" s="20"/>
      <c r="K451" s="21" t="n">
        <f aca="false">H451+I451</f>
        <v>0</v>
      </c>
      <c r="L451" s="20"/>
      <c r="M451" s="21" t="n">
        <f aca="false">H451-L451</f>
        <v>0</v>
      </c>
      <c r="N451" s="23" t="n">
        <f aca="false">IFERROR(M451/B451*10000,0)</f>
        <v>0</v>
      </c>
      <c r="O451" s="20"/>
      <c r="P451" s="20"/>
      <c r="Q451" s="21" t="n">
        <f aca="false">O451+P451</f>
        <v>0</v>
      </c>
      <c r="R451" s="22" t="n">
        <f aca="false">IF(A451&lt;HlpChangeDate,HlpSharePre,HlpSharePost)</f>
        <v>0.03</v>
      </c>
      <c r="S451" s="21" t="n">
        <f aca="false">Q451*R451/(1-R451)</f>
        <v>0</v>
      </c>
      <c r="T451" s="20"/>
      <c r="U451" s="21" t="n">
        <f aca="false">S451-T451</f>
        <v>0</v>
      </c>
      <c r="V451" s="21" t="n">
        <f aca="false">Y451-O451*R451/(1-R451)</f>
        <v>0</v>
      </c>
      <c r="W451" s="21" t="n">
        <f aca="false">Z451-P451*R451/(1-R451)</f>
        <v>0</v>
      </c>
      <c r="X451" s="21" t="n">
        <f aca="false">S451+V451+W451</f>
        <v>0</v>
      </c>
      <c r="Y451" s="20"/>
      <c r="Z451" s="20"/>
      <c r="AA451" s="19" t="n">
        <v>0</v>
      </c>
      <c r="AB451" s="20"/>
      <c r="AC451" s="20"/>
      <c r="AD451" s="24" t="n">
        <f aca="false">IFERROR(AA451/AC451,0)</f>
        <v>0</v>
      </c>
      <c r="AE451" s="25" t="n">
        <f aca="false">K451-Q451-X451</f>
        <v>0</v>
      </c>
      <c r="AF451" s="25" t="n">
        <f aca="false">Q451-AA451</f>
        <v>0</v>
      </c>
      <c r="AG451" s="20"/>
      <c r="AH451" s="26" t="n">
        <f aca="false">IFERROR(AG451/Q451,0)</f>
        <v>0</v>
      </c>
      <c r="AI451" s="27" t="n">
        <v>0</v>
      </c>
      <c r="AJ451" s="26" t="n">
        <f aca="false">IF(AI451&gt;0,AprCoef/SQRT(AI451),0)</f>
        <v>0</v>
      </c>
      <c r="AK451" s="24" t="n">
        <f aca="false">AI451*AJ451/365</f>
        <v>0</v>
      </c>
      <c r="AL451" s="24" t="n">
        <f aca="false">AD451</f>
        <v>0</v>
      </c>
      <c r="AM451" s="24" t="n">
        <f aca="false">AK451-AL451</f>
        <v>0</v>
      </c>
      <c r="AN451" s="28" t="str">
        <f aca="false">IF(A451&gt;=Hip3LaunchDate,"YES","")</f>
        <v/>
      </c>
      <c r="AO451" s="28" t="str">
        <f aca="false">IF(A451&lt;Hip4LaunchDate,"pre-launch","live (zero-fee)")</f>
        <v>pre-launch</v>
      </c>
      <c r="AP451" s="20"/>
      <c r="AQ451" s="20"/>
      <c r="AR451" s="20"/>
    </row>
    <row r="452" customFormat="false" ht="15" hidden="false" customHeight="false" outlineLevel="0" collapsed="false">
      <c r="A452" s="18" t="n">
        <v>45513</v>
      </c>
      <c r="B452" s="19" t="n">
        <v>968702431.82</v>
      </c>
      <c r="C452" s="19" t="n">
        <v>0</v>
      </c>
      <c r="D452" s="20"/>
      <c r="E452" s="21" t="n">
        <f aca="false">B452+C452</f>
        <v>968702431.82</v>
      </c>
      <c r="F452" s="21" t="n">
        <f aca="false">E452+D452</f>
        <v>968702431.82</v>
      </c>
      <c r="G452" s="22" t="n">
        <f aca="false">IFERROR(C452/E452,0)</f>
        <v>0</v>
      </c>
      <c r="H452" s="20"/>
      <c r="I452" s="20"/>
      <c r="J452" s="20"/>
      <c r="K452" s="21" t="n">
        <f aca="false">H452+I452</f>
        <v>0</v>
      </c>
      <c r="L452" s="20"/>
      <c r="M452" s="21" t="n">
        <f aca="false">H452-L452</f>
        <v>0</v>
      </c>
      <c r="N452" s="23" t="n">
        <f aca="false">IFERROR(M452/B452*10000,0)</f>
        <v>0</v>
      </c>
      <c r="O452" s="20"/>
      <c r="P452" s="20"/>
      <c r="Q452" s="21" t="n">
        <f aca="false">O452+P452</f>
        <v>0</v>
      </c>
      <c r="R452" s="22" t="n">
        <f aca="false">IF(A452&lt;HlpChangeDate,HlpSharePre,HlpSharePost)</f>
        <v>0.03</v>
      </c>
      <c r="S452" s="21" t="n">
        <f aca="false">Q452*R452/(1-R452)</f>
        <v>0</v>
      </c>
      <c r="T452" s="20"/>
      <c r="U452" s="21" t="n">
        <f aca="false">S452-T452</f>
        <v>0</v>
      </c>
      <c r="V452" s="21" t="n">
        <f aca="false">Y452-O452*R452/(1-R452)</f>
        <v>0</v>
      </c>
      <c r="W452" s="21" t="n">
        <f aca="false">Z452-P452*R452/(1-R452)</f>
        <v>0</v>
      </c>
      <c r="X452" s="21" t="n">
        <f aca="false">S452+V452+W452</f>
        <v>0</v>
      </c>
      <c r="Y452" s="20"/>
      <c r="Z452" s="20"/>
      <c r="AA452" s="19" t="n">
        <v>0</v>
      </c>
      <c r="AB452" s="20"/>
      <c r="AC452" s="20"/>
      <c r="AD452" s="24" t="n">
        <f aca="false">IFERROR(AA452/AC452,0)</f>
        <v>0</v>
      </c>
      <c r="AE452" s="25" t="n">
        <f aca="false">K452-Q452-X452</f>
        <v>0</v>
      </c>
      <c r="AF452" s="25" t="n">
        <f aca="false">Q452-AA452</f>
        <v>0</v>
      </c>
      <c r="AG452" s="20"/>
      <c r="AH452" s="26" t="n">
        <f aca="false">IFERROR(AG452/Q452,0)</f>
        <v>0</v>
      </c>
      <c r="AI452" s="27" t="n">
        <v>0</v>
      </c>
      <c r="AJ452" s="26" t="n">
        <f aca="false">IF(AI452&gt;0,AprCoef/SQRT(AI452),0)</f>
        <v>0</v>
      </c>
      <c r="AK452" s="24" t="n">
        <f aca="false">AI452*AJ452/365</f>
        <v>0</v>
      </c>
      <c r="AL452" s="24" t="n">
        <f aca="false">AD452</f>
        <v>0</v>
      </c>
      <c r="AM452" s="24" t="n">
        <f aca="false">AK452-AL452</f>
        <v>0</v>
      </c>
      <c r="AN452" s="28" t="str">
        <f aca="false">IF(A452&gt;=Hip3LaunchDate,"YES","")</f>
        <v/>
      </c>
      <c r="AO452" s="28" t="str">
        <f aca="false">IF(A452&lt;Hip4LaunchDate,"pre-launch","live (zero-fee)")</f>
        <v>pre-launch</v>
      </c>
      <c r="AP452" s="20"/>
      <c r="AQ452" s="20"/>
      <c r="AR452" s="20"/>
    </row>
    <row r="453" customFormat="false" ht="15" hidden="false" customHeight="false" outlineLevel="0" collapsed="false">
      <c r="A453" s="18" t="n">
        <v>45514</v>
      </c>
      <c r="B453" s="19" t="n">
        <v>574333251.43</v>
      </c>
      <c r="C453" s="19" t="n">
        <v>0</v>
      </c>
      <c r="D453" s="20"/>
      <c r="E453" s="21" t="n">
        <f aca="false">B453+C453</f>
        <v>574333251.43</v>
      </c>
      <c r="F453" s="21" t="n">
        <f aca="false">E453+D453</f>
        <v>574333251.43</v>
      </c>
      <c r="G453" s="22" t="n">
        <f aca="false">IFERROR(C453/E453,0)</f>
        <v>0</v>
      </c>
      <c r="H453" s="20"/>
      <c r="I453" s="20"/>
      <c r="J453" s="20"/>
      <c r="K453" s="21" t="n">
        <f aca="false">H453+I453</f>
        <v>0</v>
      </c>
      <c r="L453" s="20"/>
      <c r="M453" s="21" t="n">
        <f aca="false">H453-L453</f>
        <v>0</v>
      </c>
      <c r="N453" s="23" t="n">
        <f aca="false">IFERROR(M453/B453*10000,0)</f>
        <v>0</v>
      </c>
      <c r="O453" s="20"/>
      <c r="P453" s="20"/>
      <c r="Q453" s="21" t="n">
        <f aca="false">O453+P453</f>
        <v>0</v>
      </c>
      <c r="R453" s="22" t="n">
        <f aca="false">IF(A453&lt;HlpChangeDate,HlpSharePre,HlpSharePost)</f>
        <v>0.03</v>
      </c>
      <c r="S453" s="21" t="n">
        <f aca="false">Q453*R453/(1-R453)</f>
        <v>0</v>
      </c>
      <c r="T453" s="20"/>
      <c r="U453" s="21" t="n">
        <f aca="false">S453-T453</f>
        <v>0</v>
      </c>
      <c r="V453" s="21" t="n">
        <f aca="false">Y453-O453*R453/(1-R453)</f>
        <v>0</v>
      </c>
      <c r="W453" s="21" t="n">
        <f aca="false">Z453-P453*R453/(1-R453)</f>
        <v>0</v>
      </c>
      <c r="X453" s="21" t="n">
        <f aca="false">S453+V453+W453</f>
        <v>0</v>
      </c>
      <c r="Y453" s="20"/>
      <c r="Z453" s="20"/>
      <c r="AA453" s="19" t="n">
        <v>0</v>
      </c>
      <c r="AB453" s="20"/>
      <c r="AC453" s="20"/>
      <c r="AD453" s="24" t="n">
        <f aca="false">IFERROR(AA453/AC453,0)</f>
        <v>0</v>
      </c>
      <c r="AE453" s="25" t="n">
        <f aca="false">K453-Q453-X453</f>
        <v>0</v>
      </c>
      <c r="AF453" s="25" t="n">
        <f aca="false">Q453-AA453</f>
        <v>0</v>
      </c>
      <c r="AG453" s="20"/>
      <c r="AH453" s="26" t="n">
        <f aca="false">IFERROR(AG453/Q453,0)</f>
        <v>0</v>
      </c>
      <c r="AI453" s="27" t="n">
        <v>0</v>
      </c>
      <c r="AJ453" s="26" t="n">
        <f aca="false">IF(AI453&gt;0,AprCoef/SQRT(AI453),0)</f>
        <v>0</v>
      </c>
      <c r="AK453" s="24" t="n">
        <f aca="false">AI453*AJ453/365</f>
        <v>0</v>
      </c>
      <c r="AL453" s="24" t="n">
        <f aca="false">AD453</f>
        <v>0</v>
      </c>
      <c r="AM453" s="24" t="n">
        <f aca="false">AK453-AL453</f>
        <v>0</v>
      </c>
      <c r="AN453" s="28" t="str">
        <f aca="false">IF(A453&gt;=Hip3LaunchDate,"YES","")</f>
        <v/>
      </c>
      <c r="AO453" s="28" t="str">
        <f aca="false">IF(A453&lt;Hip4LaunchDate,"pre-launch","live (zero-fee)")</f>
        <v>pre-launch</v>
      </c>
      <c r="AP453" s="20"/>
      <c r="AQ453" s="20"/>
      <c r="AR453" s="20"/>
    </row>
    <row r="454" customFormat="false" ht="15" hidden="false" customHeight="false" outlineLevel="0" collapsed="false">
      <c r="A454" s="18" t="n">
        <v>45515</v>
      </c>
      <c r="B454" s="19" t="n">
        <v>645197603.92</v>
      </c>
      <c r="C454" s="19" t="n">
        <v>0</v>
      </c>
      <c r="D454" s="20"/>
      <c r="E454" s="21" t="n">
        <f aca="false">B454+C454</f>
        <v>645197603.92</v>
      </c>
      <c r="F454" s="21" t="n">
        <f aca="false">E454+D454</f>
        <v>645197603.92</v>
      </c>
      <c r="G454" s="22" t="n">
        <f aca="false">IFERROR(C454/E454,0)</f>
        <v>0</v>
      </c>
      <c r="H454" s="20"/>
      <c r="I454" s="20"/>
      <c r="J454" s="20"/>
      <c r="K454" s="21" t="n">
        <f aca="false">H454+I454</f>
        <v>0</v>
      </c>
      <c r="L454" s="20"/>
      <c r="M454" s="21" t="n">
        <f aca="false">H454-L454</f>
        <v>0</v>
      </c>
      <c r="N454" s="23" t="n">
        <f aca="false">IFERROR(M454/B454*10000,0)</f>
        <v>0</v>
      </c>
      <c r="O454" s="20"/>
      <c r="P454" s="20"/>
      <c r="Q454" s="21" t="n">
        <f aca="false">O454+P454</f>
        <v>0</v>
      </c>
      <c r="R454" s="22" t="n">
        <f aca="false">IF(A454&lt;HlpChangeDate,HlpSharePre,HlpSharePost)</f>
        <v>0.03</v>
      </c>
      <c r="S454" s="21" t="n">
        <f aca="false">Q454*R454/(1-R454)</f>
        <v>0</v>
      </c>
      <c r="T454" s="20"/>
      <c r="U454" s="21" t="n">
        <f aca="false">S454-T454</f>
        <v>0</v>
      </c>
      <c r="V454" s="21" t="n">
        <f aca="false">Y454-O454*R454/(1-R454)</f>
        <v>0</v>
      </c>
      <c r="W454" s="21" t="n">
        <f aca="false">Z454-P454*R454/(1-R454)</f>
        <v>0</v>
      </c>
      <c r="X454" s="21" t="n">
        <f aca="false">S454+V454+W454</f>
        <v>0</v>
      </c>
      <c r="Y454" s="20"/>
      <c r="Z454" s="20"/>
      <c r="AA454" s="19" t="n">
        <v>0</v>
      </c>
      <c r="AB454" s="20"/>
      <c r="AC454" s="20"/>
      <c r="AD454" s="24" t="n">
        <f aca="false">IFERROR(AA454/AC454,0)</f>
        <v>0</v>
      </c>
      <c r="AE454" s="25" t="n">
        <f aca="false">K454-Q454-X454</f>
        <v>0</v>
      </c>
      <c r="AF454" s="25" t="n">
        <f aca="false">Q454-AA454</f>
        <v>0</v>
      </c>
      <c r="AG454" s="20"/>
      <c r="AH454" s="26" t="n">
        <f aca="false">IFERROR(AG454/Q454,0)</f>
        <v>0</v>
      </c>
      <c r="AI454" s="27" t="n">
        <v>0</v>
      </c>
      <c r="AJ454" s="26" t="n">
        <f aca="false">IF(AI454&gt;0,AprCoef/SQRT(AI454),0)</f>
        <v>0</v>
      </c>
      <c r="AK454" s="24" t="n">
        <f aca="false">AI454*AJ454/365</f>
        <v>0</v>
      </c>
      <c r="AL454" s="24" t="n">
        <f aca="false">AD454</f>
        <v>0</v>
      </c>
      <c r="AM454" s="24" t="n">
        <f aca="false">AK454-AL454</f>
        <v>0</v>
      </c>
      <c r="AN454" s="28" t="str">
        <f aca="false">IF(A454&gt;=Hip3LaunchDate,"YES","")</f>
        <v/>
      </c>
      <c r="AO454" s="28" t="str">
        <f aca="false">IF(A454&lt;Hip4LaunchDate,"pre-launch","live (zero-fee)")</f>
        <v>pre-launch</v>
      </c>
      <c r="AP454" s="20"/>
      <c r="AQ454" s="20"/>
      <c r="AR454" s="20"/>
    </row>
    <row r="455" customFormat="false" ht="15" hidden="false" customHeight="false" outlineLevel="0" collapsed="false">
      <c r="A455" s="18" t="n">
        <v>45516</v>
      </c>
      <c r="B455" s="19" t="n">
        <v>1160292705</v>
      </c>
      <c r="C455" s="19" t="n">
        <v>0</v>
      </c>
      <c r="D455" s="20"/>
      <c r="E455" s="21" t="n">
        <f aca="false">B455+C455</f>
        <v>1160292705</v>
      </c>
      <c r="F455" s="21" t="n">
        <f aca="false">E455+D455</f>
        <v>1160292705</v>
      </c>
      <c r="G455" s="22" t="n">
        <f aca="false">IFERROR(C455/E455,0)</f>
        <v>0</v>
      </c>
      <c r="H455" s="20"/>
      <c r="I455" s="20"/>
      <c r="J455" s="20"/>
      <c r="K455" s="21" t="n">
        <f aca="false">H455+I455</f>
        <v>0</v>
      </c>
      <c r="L455" s="20"/>
      <c r="M455" s="21" t="n">
        <f aca="false">H455-L455</f>
        <v>0</v>
      </c>
      <c r="N455" s="23" t="n">
        <f aca="false">IFERROR(M455/B455*10000,0)</f>
        <v>0</v>
      </c>
      <c r="O455" s="20"/>
      <c r="P455" s="20"/>
      <c r="Q455" s="21" t="n">
        <f aca="false">O455+P455</f>
        <v>0</v>
      </c>
      <c r="R455" s="22" t="n">
        <f aca="false">IF(A455&lt;HlpChangeDate,HlpSharePre,HlpSharePost)</f>
        <v>0.03</v>
      </c>
      <c r="S455" s="21" t="n">
        <f aca="false">Q455*R455/(1-R455)</f>
        <v>0</v>
      </c>
      <c r="T455" s="20"/>
      <c r="U455" s="21" t="n">
        <f aca="false">S455-T455</f>
        <v>0</v>
      </c>
      <c r="V455" s="21" t="n">
        <f aca="false">Y455-O455*R455/(1-R455)</f>
        <v>0</v>
      </c>
      <c r="W455" s="21" t="n">
        <f aca="false">Z455-P455*R455/(1-R455)</f>
        <v>0</v>
      </c>
      <c r="X455" s="21" t="n">
        <f aca="false">S455+V455+W455</f>
        <v>0</v>
      </c>
      <c r="Y455" s="20"/>
      <c r="Z455" s="20"/>
      <c r="AA455" s="19" t="n">
        <v>0</v>
      </c>
      <c r="AB455" s="20"/>
      <c r="AC455" s="20"/>
      <c r="AD455" s="24" t="n">
        <f aca="false">IFERROR(AA455/AC455,0)</f>
        <v>0</v>
      </c>
      <c r="AE455" s="25" t="n">
        <f aca="false">K455-Q455-X455</f>
        <v>0</v>
      </c>
      <c r="AF455" s="25" t="n">
        <f aca="false">Q455-AA455</f>
        <v>0</v>
      </c>
      <c r="AG455" s="20"/>
      <c r="AH455" s="26" t="n">
        <f aca="false">IFERROR(AG455/Q455,0)</f>
        <v>0</v>
      </c>
      <c r="AI455" s="27" t="n">
        <v>0</v>
      </c>
      <c r="AJ455" s="26" t="n">
        <f aca="false">IF(AI455&gt;0,AprCoef/SQRT(AI455),0)</f>
        <v>0</v>
      </c>
      <c r="AK455" s="24" t="n">
        <f aca="false">AI455*AJ455/365</f>
        <v>0</v>
      </c>
      <c r="AL455" s="24" t="n">
        <f aca="false">AD455</f>
        <v>0</v>
      </c>
      <c r="AM455" s="24" t="n">
        <f aca="false">AK455-AL455</f>
        <v>0</v>
      </c>
      <c r="AN455" s="28" t="str">
        <f aca="false">IF(A455&gt;=Hip3LaunchDate,"YES","")</f>
        <v/>
      </c>
      <c r="AO455" s="28" t="str">
        <f aca="false">IF(A455&lt;Hip4LaunchDate,"pre-launch","live (zero-fee)")</f>
        <v>pre-launch</v>
      </c>
      <c r="AP455" s="20"/>
      <c r="AQ455" s="20"/>
      <c r="AR455" s="20"/>
    </row>
    <row r="456" customFormat="false" ht="15" hidden="false" customHeight="false" outlineLevel="0" collapsed="false">
      <c r="A456" s="18" t="n">
        <v>45517</v>
      </c>
      <c r="B456" s="19" t="n">
        <v>1197341840.53</v>
      </c>
      <c r="C456" s="19" t="n">
        <v>0</v>
      </c>
      <c r="D456" s="20"/>
      <c r="E456" s="21" t="n">
        <f aca="false">B456+C456</f>
        <v>1197341840.53</v>
      </c>
      <c r="F456" s="21" t="n">
        <f aca="false">E456+D456</f>
        <v>1197341840.53</v>
      </c>
      <c r="G456" s="22" t="n">
        <f aca="false">IFERROR(C456/E456,0)</f>
        <v>0</v>
      </c>
      <c r="H456" s="20"/>
      <c r="I456" s="20"/>
      <c r="J456" s="20"/>
      <c r="K456" s="21" t="n">
        <f aca="false">H456+I456</f>
        <v>0</v>
      </c>
      <c r="L456" s="20"/>
      <c r="M456" s="21" t="n">
        <f aca="false">H456-L456</f>
        <v>0</v>
      </c>
      <c r="N456" s="23" t="n">
        <f aca="false">IFERROR(M456/B456*10000,0)</f>
        <v>0</v>
      </c>
      <c r="O456" s="20"/>
      <c r="P456" s="20"/>
      <c r="Q456" s="21" t="n">
        <f aca="false">O456+P456</f>
        <v>0</v>
      </c>
      <c r="R456" s="22" t="n">
        <f aca="false">IF(A456&lt;HlpChangeDate,HlpSharePre,HlpSharePost)</f>
        <v>0.03</v>
      </c>
      <c r="S456" s="21" t="n">
        <f aca="false">Q456*R456/(1-R456)</f>
        <v>0</v>
      </c>
      <c r="T456" s="20"/>
      <c r="U456" s="21" t="n">
        <f aca="false">S456-T456</f>
        <v>0</v>
      </c>
      <c r="V456" s="21" t="n">
        <f aca="false">Y456-O456*R456/(1-R456)</f>
        <v>0</v>
      </c>
      <c r="W456" s="21" t="n">
        <f aca="false">Z456-P456*R456/(1-R456)</f>
        <v>0</v>
      </c>
      <c r="X456" s="21" t="n">
        <f aca="false">S456+V456+W456</f>
        <v>0</v>
      </c>
      <c r="Y456" s="20"/>
      <c r="Z456" s="20"/>
      <c r="AA456" s="19" t="n">
        <v>0</v>
      </c>
      <c r="AB456" s="20"/>
      <c r="AC456" s="20"/>
      <c r="AD456" s="24" t="n">
        <f aca="false">IFERROR(AA456/AC456,0)</f>
        <v>0</v>
      </c>
      <c r="AE456" s="25" t="n">
        <f aca="false">K456-Q456-X456</f>
        <v>0</v>
      </c>
      <c r="AF456" s="25" t="n">
        <f aca="false">Q456-AA456</f>
        <v>0</v>
      </c>
      <c r="AG456" s="20"/>
      <c r="AH456" s="26" t="n">
        <f aca="false">IFERROR(AG456/Q456,0)</f>
        <v>0</v>
      </c>
      <c r="AI456" s="27" t="n">
        <v>0</v>
      </c>
      <c r="AJ456" s="26" t="n">
        <f aca="false">IF(AI456&gt;0,AprCoef/SQRT(AI456),0)</f>
        <v>0</v>
      </c>
      <c r="AK456" s="24" t="n">
        <f aca="false">AI456*AJ456/365</f>
        <v>0</v>
      </c>
      <c r="AL456" s="24" t="n">
        <f aca="false">AD456</f>
        <v>0</v>
      </c>
      <c r="AM456" s="24" t="n">
        <f aca="false">AK456-AL456</f>
        <v>0</v>
      </c>
      <c r="AN456" s="28" t="str">
        <f aca="false">IF(A456&gt;=Hip3LaunchDate,"YES","")</f>
        <v/>
      </c>
      <c r="AO456" s="28" t="str">
        <f aca="false">IF(A456&lt;Hip4LaunchDate,"pre-launch","live (zero-fee)")</f>
        <v>pre-launch</v>
      </c>
      <c r="AP456" s="20"/>
      <c r="AQ456" s="20"/>
      <c r="AR456" s="20"/>
    </row>
    <row r="457" customFormat="false" ht="15" hidden="false" customHeight="false" outlineLevel="0" collapsed="false">
      <c r="A457" s="18" t="n">
        <v>45518</v>
      </c>
      <c r="B457" s="19" t="n">
        <v>1453533663.27</v>
      </c>
      <c r="C457" s="19" t="n">
        <v>0</v>
      </c>
      <c r="D457" s="20"/>
      <c r="E457" s="21" t="n">
        <f aca="false">B457+C457</f>
        <v>1453533663.27</v>
      </c>
      <c r="F457" s="21" t="n">
        <f aca="false">E457+D457</f>
        <v>1453533663.27</v>
      </c>
      <c r="G457" s="22" t="n">
        <f aca="false">IFERROR(C457/E457,0)</f>
        <v>0</v>
      </c>
      <c r="H457" s="20"/>
      <c r="I457" s="20"/>
      <c r="J457" s="20"/>
      <c r="K457" s="21" t="n">
        <f aca="false">H457+I457</f>
        <v>0</v>
      </c>
      <c r="L457" s="20"/>
      <c r="M457" s="21" t="n">
        <f aca="false">H457-L457</f>
        <v>0</v>
      </c>
      <c r="N457" s="23" t="n">
        <f aca="false">IFERROR(M457/B457*10000,0)</f>
        <v>0</v>
      </c>
      <c r="O457" s="20"/>
      <c r="P457" s="20"/>
      <c r="Q457" s="21" t="n">
        <f aca="false">O457+P457</f>
        <v>0</v>
      </c>
      <c r="R457" s="22" t="n">
        <f aca="false">IF(A457&lt;HlpChangeDate,HlpSharePre,HlpSharePost)</f>
        <v>0.03</v>
      </c>
      <c r="S457" s="21" t="n">
        <f aca="false">Q457*R457/(1-R457)</f>
        <v>0</v>
      </c>
      <c r="T457" s="20"/>
      <c r="U457" s="21" t="n">
        <f aca="false">S457-T457</f>
        <v>0</v>
      </c>
      <c r="V457" s="21" t="n">
        <f aca="false">Y457-O457*R457/(1-R457)</f>
        <v>0</v>
      </c>
      <c r="W457" s="21" t="n">
        <f aca="false">Z457-P457*R457/(1-R457)</f>
        <v>0</v>
      </c>
      <c r="X457" s="21" t="n">
        <f aca="false">S457+V457+W457</f>
        <v>0</v>
      </c>
      <c r="Y457" s="20"/>
      <c r="Z457" s="20"/>
      <c r="AA457" s="19" t="n">
        <v>0</v>
      </c>
      <c r="AB457" s="20"/>
      <c r="AC457" s="20"/>
      <c r="AD457" s="24" t="n">
        <f aca="false">IFERROR(AA457/AC457,0)</f>
        <v>0</v>
      </c>
      <c r="AE457" s="25" t="n">
        <f aca="false">K457-Q457-X457</f>
        <v>0</v>
      </c>
      <c r="AF457" s="25" t="n">
        <f aca="false">Q457-AA457</f>
        <v>0</v>
      </c>
      <c r="AG457" s="20"/>
      <c r="AH457" s="26" t="n">
        <f aca="false">IFERROR(AG457/Q457,0)</f>
        <v>0</v>
      </c>
      <c r="AI457" s="27" t="n">
        <v>0</v>
      </c>
      <c r="AJ457" s="26" t="n">
        <f aca="false">IF(AI457&gt;0,AprCoef/SQRT(AI457),0)</f>
        <v>0</v>
      </c>
      <c r="AK457" s="24" t="n">
        <f aca="false">AI457*AJ457/365</f>
        <v>0</v>
      </c>
      <c r="AL457" s="24" t="n">
        <f aca="false">AD457</f>
        <v>0</v>
      </c>
      <c r="AM457" s="24" t="n">
        <f aca="false">AK457-AL457</f>
        <v>0</v>
      </c>
      <c r="AN457" s="28" t="str">
        <f aca="false">IF(A457&gt;=Hip3LaunchDate,"YES","")</f>
        <v/>
      </c>
      <c r="AO457" s="28" t="str">
        <f aca="false">IF(A457&lt;Hip4LaunchDate,"pre-launch","live (zero-fee)")</f>
        <v>pre-launch</v>
      </c>
      <c r="AP457" s="20"/>
      <c r="AQ457" s="20"/>
      <c r="AR457" s="20"/>
    </row>
    <row r="458" customFormat="false" ht="15" hidden="false" customHeight="false" outlineLevel="0" collapsed="false">
      <c r="A458" s="18" t="n">
        <v>45519</v>
      </c>
      <c r="B458" s="19" t="n">
        <v>1057246088.46</v>
      </c>
      <c r="C458" s="19" t="n">
        <v>0</v>
      </c>
      <c r="D458" s="20"/>
      <c r="E458" s="21" t="n">
        <f aca="false">B458+C458</f>
        <v>1057246088.46</v>
      </c>
      <c r="F458" s="21" t="n">
        <f aca="false">E458+D458</f>
        <v>1057246088.46</v>
      </c>
      <c r="G458" s="22" t="n">
        <f aca="false">IFERROR(C458/E458,0)</f>
        <v>0</v>
      </c>
      <c r="H458" s="20"/>
      <c r="I458" s="20"/>
      <c r="J458" s="20"/>
      <c r="K458" s="21" t="n">
        <f aca="false">H458+I458</f>
        <v>0</v>
      </c>
      <c r="L458" s="20"/>
      <c r="M458" s="21" t="n">
        <f aca="false">H458-L458</f>
        <v>0</v>
      </c>
      <c r="N458" s="23" t="n">
        <f aca="false">IFERROR(M458/B458*10000,0)</f>
        <v>0</v>
      </c>
      <c r="O458" s="20"/>
      <c r="P458" s="20"/>
      <c r="Q458" s="21" t="n">
        <f aca="false">O458+P458</f>
        <v>0</v>
      </c>
      <c r="R458" s="22" t="n">
        <f aca="false">IF(A458&lt;HlpChangeDate,HlpSharePre,HlpSharePost)</f>
        <v>0.03</v>
      </c>
      <c r="S458" s="21" t="n">
        <f aca="false">Q458*R458/(1-R458)</f>
        <v>0</v>
      </c>
      <c r="T458" s="20"/>
      <c r="U458" s="21" t="n">
        <f aca="false">S458-T458</f>
        <v>0</v>
      </c>
      <c r="V458" s="21" t="n">
        <f aca="false">Y458-O458*R458/(1-R458)</f>
        <v>0</v>
      </c>
      <c r="W458" s="21" t="n">
        <f aca="false">Z458-P458*R458/(1-R458)</f>
        <v>0</v>
      </c>
      <c r="X458" s="21" t="n">
        <f aca="false">S458+V458+W458</f>
        <v>0</v>
      </c>
      <c r="Y458" s="20"/>
      <c r="Z458" s="20"/>
      <c r="AA458" s="19" t="n">
        <v>0</v>
      </c>
      <c r="AB458" s="20"/>
      <c r="AC458" s="20"/>
      <c r="AD458" s="24" t="n">
        <f aca="false">IFERROR(AA458/AC458,0)</f>
        <v>0</v>
      </c>
      <c r="AE458" s="25" t="n">
        <f aca="false">K458-Q458-X458</f>
        <v>0</v>
      </c>
      <c r="AF458" s="25" t="n">
        <f aca="false">Q458-AA458</f>
        <v>0</v>
      </c>
      <c r="AG458" s="20"/>
      <c r="AH458" s="26" t="n">
        <f aca="false">IFERROR(AG458/Q458,0)</f>
        <v>0</v>
      </c>
      <c r="AI458" s="27" t="n">
        <v>0</v>
      </c>
      <c r="AJ458" s="26" t="n">
        <f aca="false">IF(AI458&gt;0,AprCoef/SQRT(AI458),0)</f>
        <v>0</v>
      </c>
      <c r="AK458" s="24" t="n">
        <f aca="false">AI458*AJ458/365</f>
        <v>0</v>
      </c>
      <c r="AL458" s="24" t="n">
        <f aca="false">AD458</f>
        <v>0</v>
      </c>
      <c r="AM458" s="24" t="n">
        <f aca="false">AK458-AL458</f>
        <v>0</v>
      </c>
      <c r="AN458" s="28" t="str">
        <f aca="false">IF(A458&gt;=Hip3LaunchDate,"YES","")</f>
        <v/>
      </c>
      <c r="AO458" s="28" t="str">
        <f aca="false">IF(A458&lt;Hip4LaunchDate,"pre-launch","live (zero-fee)")</f>
        <v>pre-launch</v>
      </c>
      <c r="AP458" s="20"/>
      <c r="AQ458" s="20"/>
      <c r="AR458" s="20"/>
    </row>
    <row r="459" customFormat="false" ht="15" hidden="false" customHeight="false" outlineLevel="0" collapsed="false">
      <c r="A459" s="18" t="n">
        <v>45520</v>
      </c>
      <c r="B459" s="19" t="n">
        <v>1011617564.32</v>
      </c>
      <c r="C459" s="19" t="n">
        <v>0</v>
      </c>
      <c r="D459" s="20"/>
      <c r="E459" s="21" t="n">
        <f aca="false">B459+C459</f>
        <v>1011617564.32</v>
      </c>
      <c r="F459" s="21" t="n">
        <f aca="false">E459+D459</f>
        <v>1011617564.32</v>
      </c>
      <c r="G459" s="22" t="n">
        <f aca="false">IFERROR(C459/E459,0)</f>
        <v>0</v>
      </c>
      <c r="H459" s="20"/>
      <c r="I459" s="20"/>
      <c r="J459" s="20"/>
      <c r="K459" s="21" t="n">
        <f aca="false">H459+I459</f>
        <v>0</v>
      </c>
      <c r="L459" s="20"/>
      <c r="M459" s="21" t="n">
        <f aca="false">H459-L459</f>
        <v>0</v>
      </c>
      <c r="N459" s="23" t="n">
        <f aca="false">IFERROR(M459/B459*10000,0)</f>
        <v>0</v>
      </c>
      <c r="O459" s="20"/>
      <c r="P459" s="20"/>
      <c r="Q459" s="21" t="n">
        <f aca="false">O459+P459</f>
        <v>0</v>
      </c>
      <c r="R459" s="22" t="n">
        <f aca="false">IF(A459&lt;HlpChangeDate,HlpSharePre,HlpSharePost)</f>
        <v>0.03</v>
      </c>
      <c r="S459" s="21" t="n">
        <f aca="false">Q459*R459/(1-R459)</f>
        <v>0</v>
      </c>
      <c r="T459" s="20"/>
      <c r="U459" s="21" t="n">
        <f aca="false">S459-T459</f>
        <v>0</v>
      </c>
      <c r="V459" s="21" t="n">
        <f aca="false">Y459-O459*R459/(1-R459)</f>
        <v>0</v>
      </c>
      <c r="W459" s="21" t="n">
        <f aca="false">Z459-P459*R459/(1-R459)</f>
        <v>0</v>
      </c>
      <c r="X459" s="21" t="n">
        <f aca="false">S459+V459+W459</f>
        <v>0</v>
      </c>
      <c r="Y459" s="20"/>
      <c r="Z459" s="20"/>
      <c r="AA459" s="19" t="n">
        <v>0</v>
      </c>
      <c r="AB459" s="20"/>
      <c r="AC459" s="20"/>
      <c r="AD459" s="24" t="n">
        <f aca="false">IFERROR(AA459/AC459,0)</f>
        <v>0</v>
      </c>
      <c r="AE459" s="25" t="n">
        <f aca="false">K459-Q459-X459</f>
        <v>0</v>
      </c>
      <c r="AF459" s="25" t="n">
        <f aca="false">Q459-AA459</f>
        <v>0</v>
      </c>
      <c r="AG459" s="20"/>
      <c r="AH459" s="26" t="n">
        <f aca="false">IFERROR(AG459/Q459,0)</f>
        <v>0</v>
      </c>
      <c r="AI459" s="27" t="n">
        <v>0</v>
      </c>
      <c r="AJ459" s="26" t="n">
        <f aca="false">IF(AI459&gt;0,AprCoef/SQRT(AI459),0)</f>
        <v>0</v>
      </c>
      <c r="AK459" s="24" t="n">
        <f aca="false">AI459*AJ459/365</f>
        <v>0</v>
      </c>
      <c r="AL459" s="24" t="n">
        <f aca="false">AD459</f>
        <v>0</v>
      </c>
      <c r="AM459" s="24" t="n">
        <f aca="false">AK459-AL459</f>
        <v>0</v>
      </c>
      <c r="AN459" s="28" t="str">
        <f aca="false">IF(A459&gt;=Hip3LaunchDate,"YES","")</f>
        <v/>
      </c>
      <c r="AO459" s="28" t="str">
        <f aca="false">IF(A459&lt;Hip4LaunchDate,"pre-launch","live (zero-fee)")</f>
        <v>pre-launch</v>
      </c>
      <c r="AP459" s="20"/>
      <c r="AQ459" s="20"/>
      <c r="AR459" s="20"/>
    </row>
    <row r="460" customFormat="false" ht="15" hidden="false" customHeight="false" outlineLevel="0" collapsed="false">
      <c r="A460" s="18" t="n">
        <v>45521</v>
      </c>
      <c r="B460" s="19" t="n">
        <v>380334071.08</v>
      </c>
      <c r="C460" s="19" t="n">
        <v>0</v>
      </c>
      <c r="D460" s="20"/>
      <c r="E460" s="21" t="n">
        <f aca="false">B460+C460</f>
        <v>380334071.08</v>
      </c>
      <c r="F460" s="21" t="n">
        <f aca="false">E460+D460</f>
        <v>380334071.08</v>
      </c>
      <c r="G460" s="22" t="n">
        <f aca="false">IFERROR(C460/E460,0)</f>
        <v>0</v>
      </c>
      <c r="H460" s="20"/>
      <c r="I460" s="20"/>
      <c r="J460" s="20"/>
      <c r="K460" s="21" t="n">
        <f aca="false">H460+I460</f>
        <v>0</v>
      </c>
      <c r="L460" s="20"/>
      <c r="M460" s="21" t="n">
        <f aca="false">H460-L460</f>
        <v>0</v>
      </c>
      <c r="N460" s="23" t="n">
        <f aca="false">IFERROR(M460/B460*10000,0)</f>
        <v>0</v>
      </c>
      <c r="O460" s="20"/>
      <c r="P460" s="20"/>
      <c r="Q460" s="21" t="n">
        <f aca="false">O460+P460</f>
        <v>0</v>
      </c>
      <c r="R460" s="22" t="n">
        <f aca="false">IF(A460&lt;HlpChangeDate,HlpSharePre,HlpSharePost)</f>
        <v>0.03</v>
      </c>
      <c r="S460" s="21" t="n">
        <f aca="false">Q460*R460/(1-R460)</f>
        <v>0</v>
      </c>
      <c r="T460" s="20"/>
      <c r="U460" s="21" t="n">
        <f aca="false">S460-T460</f>
        <v>0</v>
      </c>
      <c r="V460" s="21" t="n">
        <f aca="false">Y460-O460*R460/(1-R460)</f>
        <v>0</v>
      </c>
      <c r="W460" s="21" t="n">
        <f aca="false">Z460-P460*R460/(1-R460)</f>
        <v>0</v>
      </c>
      <c r="X460" s="21" t="n">
        <f aca="false">S460+V460+W460</f>
        <v>0</v>
      </c>
      <c r="Y460" s="20"/>
      <c r="Z460" s="20"/>
      <c r="AA460" s="19" t="n">
        <v>0</v>
      </c>
      <c r="AB460" s="20"/>
      <c r="AC460" s="20"/>
      <c r="AD460" s="24" t="n">
        <f aca="false">IFERROR(AA460/AC460,0)</f>
        <v>0</v>
      </c>
      <c r="AE460" s="25" t="n">
        <f aca="false">K460-Q460-X460</f>
        <v>0</v>
      </c>
      <c r="AF460" s="25" t="n">
        <f aca="false">Q460-AA460</f>
        <v>0</v>
      </c>
      <c r="AG460" s="20"/>
      <c r="AH460" s="26" t="n">
        <f aca="false">IFERROR(AG460/Q460,0)</f>
        <v>0</v>
      </c>
      <c r="AI460" s="27" t="n">
        <v>0</v>
      </c>
      <c r="AJ460" s="26" t="n">
        <f aca="false">IF(AI460&gt;0,AprCoef/SQRT(AI460),0)</f>
        <v>0</v>
      </c>
      <c r="AK460" s="24" t="n">
        <f aca="false">AI460*AJ460/365</f>
        <v>0</v>
      </c>
      <c r="AL460" s="24" t="n">
        <f aca="false">AD460</f>
        <v>0</v>
      </c>
      <c r="AM460" s="24" t="n">
        <f aca="false">AK460-AL460</f>
        <v>0</v>
      </c>
      <c r="AN460" s="28" t="str">
        <f aca="false">IF(A460&gt;=Hip3LaunchDate,"YES","")</f>
        <v/>
      </c>
      <c r="AO460" s="28" t="str">
        <f aca="false">IF(A460&lt;Hip4LaunchDate,"pre-launch","live (zero-fee)")</f>
        <v>pre-launch</v>
      </c>
      <c r="AP460" s="20"/>
      <c r="AQ460" s="20"/>
      <c r="AR460" s="20"/>
    </row>
    <row r="461" customFormat="false" ht="15" hidden="false" customHeight="false" outlineLevel="0" collapsed="false">
      <c r="A461" s="18" t="n">
        <v>45522</v>
      </c>
      <c r="B461" s="19" t="n">
        <v>489580315.24</v>
      </c>
      <c r="C461" s="19" t="n">
        <v>0</v>
      </c>
      <c r="D461" s="20"/>
      <c r="E461" s="21" t="n">
        <f aca="false">B461+C461</f>
        <v>489580315.24</v>
      </c>
      <c r="F461" s="21" t="n">
        <f aca="false">E461+D461</f>
        <v>489580315.24</v>
      </c>
      <c r="G461" s="22" t="n">
        <f aca="false">IFERROR(C461/E461,0)</f>
        <v>0</v>
      </c>
      <c r="H461" s="20"/>
      <c r="I461" s="20"/>
      <c r="J461" s="20"/>
      <c r="K461" s="21" t="n">
        <f aca="false">H461+I461</f>
        <v>0</v>
      </c>
      <c r="L461" s="20"/>
      <c r="M461" s="21" t="n">
        <f aca="false">H461-L461</f>
        <v>0</v>
      </c>
      <c r="N461" s="23" t="n">
        <f aca="false">IFERROR(M461/B461*10000,0)</f>
        <v>0</v>
      </c>
      <c r="O461" s="20"/>
      <c r="P461" s="20"/>
      <c r="Q461" s="21" t="n">
        <f aca="false">O461+P461</f>
        <v>0</v>
      </c>
      <c r="R461" s="22" t="n">
        <f aca="false">IF(A461&lt;HlpChangeDate,HlpSharePre,HlpSharePost)</f>
        <v>0.03</v>
      </c>
      <c r="S461" s="21" t="n">
        <f aca="false">Q461*R461/(1-R461)</f>
        <v>0</v>
      </c>
      <c r="T461" s="20"/>
      <c r="U461" s="21" t="n">
        <f aca="false">S461-T461</f>
        <v>0</v>
      </c>
      <c r="V461" s="21" t="n">
        <f aca="false">Y461-O461*R461/(1-R461)</f>
        <v>0</v>
      </c>
      <c r="W461" s="21" t="n">
        <f aca="false">Z461-P461*R461/(1-R461)</f>
        <v>0</v>
      </c>
      <c r="X461" s="21" t="n">
        <f aca="false">S461+V461+W461</f>
        <v>0</v>
      </c>
      <c r="Y461" s="20"/>
      <c r="Z461" s="20"/>
      <c r="AA461" s="19" t="n">
        <v>0</v>
      </c>
      <c r="AB461" s="20"/>
      <c r="AC461" s="20"/>
      <c r="AD461" s="24" t="n">
        <f aca="false">IFERROR(AA461/AC461,0)</f>
        <v>0</v>
      </c>
      <c r="AE461" s="25" t="n">
        <f aca="false">K461-Q461-X461</f>
        <v>0</v>
      </c>
      <c r="AF461" s="25" t="n">
        <f aca="false">Q461-AA461</f>
        <v>0</v>
      </c>
      <c r="AG461" s="20"/>
      <c r="AH461" s="26" t="n">
        <f aca="false">IFERROR(AG461/Q461,0)</f>
        <v>0</v>
      </c>
      <c r="AI461" s="27" t="n">
        <v>0</v>
      </c>
      <c r="AJ461" s="26" t="n">
        <f aca="false">IF(AI461&gt;0,AprCoef/SQRT(AI461),0)</f>
        <v>0</v>
      </c>
      <c r="AK461" s="24" t="n">
        <f aca="false">AI461*AJ461/365</f>
        <v>0</v>
      </c>
      <c r="AL461" s="24" t="n">
        <f aca="false">AD461</f>
        <v>0</v>
      </c>
      <c r="AM461" s="24" t="n">
        <f aca="false">AK461-AL461</f>
        <v>0</v>
      </c>
      <c r="AN461" s="28" t="str">
        <f aca="false">IF(A461&gt;=Hip3LaunchDate,"YES","")</f>
        <v/>
      </c>
      <c r="AO461" s="28" t="str">
        <f aca="false">IF(A461&lt;Hip4LaunchDate,"pre-launch","live (zero-fee)")</f>
        <v>pre-launch</v>
      </c>
      <c r="AP461" s="20"/>
      <c r="AQ461" s="20"/>
      <c r="AR461" s="20"/>
    </row>
    <row r="462" customFormat="false" ht="15" hidden="false" customHeight="false" outlineLevel="0" collapsed="false">
      <c r="A462" s="18" t="n">
        <v>45523</v>
      </c>
      <c r="B462" s="19" t="n">
        <v>859237052.11</v>
      </c>
      <c r="C462" s="19" t="n">
        <v>0</v>
      </c>
      <c r="D462" s="20"/>
      <c r="E462" s="21" t="n">
        <f aca="false">B462+C462</f>
        <v>859237052.11</v>
      </c>
      <c r="F462" s="21" t="n">
        <f aca="false">E462+D462</f>
        <v>859237052.11</v>
      </c>
      <c r="G462" s="22" t="n">
        <f aca="false">IFERROR(C462/E462,0)</f>
        <v>0</v>
      </c>
      <c r="H462" s="20"/>
      <c r="I462" s="20"/>
      <c r="J462" s="20"/>
      <c r="K462" s="21" t="n">
        <f aca="false">H462+I462</f>
        <v>0</v>
      </c>
      <c r="L462" s="20"/>
      <c r="M462" s="21" t="n">
        <f aca="false">H462-L462</f>
        <v>0</v>
      </c>
      <c r="N462" s="23" t="n">
        <f aca="false">IFERROR(M462/B462*10000,0)</f>
        <v>0</v>
      </c>
      <c r="O462" s="20"/>
      <c r="P462" s="20"/>
      <c r="Q462" s="21" t="n">
        <f aca="false">O462+P462</f>
        <v>0</v>
      </c>
      <c r="R462" s="22" t="n">
        <f aca="false">IF(A462&lt;HlpChangeDate,HlpSharePre,HlpSharePost)</f>
        <v>0.03</v>
      </c>
      <c r="S462" s="21" t="n">
        <f aca="false">Q462*R462/(1-R462)</f>
        <v>0</v>
      </c>
      <c r="T462" s="20"/>
      <c r="U462" s="21" t="n">
        <f aca="false">S462-T462</f>
        <v>0</v>
      </c>
      <c r="V462" s="21" t="n">
        <f aca="false">Y462-O462*R462/(1-R462)</f>
        <v>0</v>
      </c>
      <c r="W462" s="21" t="n">
        <f aca="false">Z462-P462*R462/(1-R462)</f>
        <v>0</v>
      </c>
      <c r="X462" s="21" t="n">
        <f aca="false">S462+V462+W462</f>
        <v>0</v>
      </c>
      <c r="Y462" s="20"/>
      <c r="Z462" s="20"/>
      <c r="AA462" s="19" t="n">
        <v>0</v>
      </c>
      <c r="AB462" s="20"/>
      <c r="AC462" s="20"/>
      <c r="AD462" s="24" t="n">
        <f aca="false">IFERROR(AA462/AC462,0)</f>
        <v>0</v>
      </c>
      <c r="AE462" s="25" t="n">
        <f aca="false">K462-Q462-X462</f>
        <v>0</v>
      </c>
      <c r="AF462" s="25" t="n">
        <f aca="false">Q462-AA462</f>
        <v>0</v>
      </c>
      <c r="AG462" s="20"/>
      <c r="AH462" s="26" t="n">
        <f aca="false">IFERROR(AG462/Q462,0)</f>
        <v>0</v>
      </c>
      <c r="AI462" s="27" t="n">
        <v>0</v>
      </c>
      <c r="AJ462" s="26" t="n">
        <f aca="false">IF(AI462&gt;0,AprCoef/SQRT(AI462),0)</f>
        <v>0</v>
      </c>
      <c r="AK462" s="24" t="n">
        <f aca="false">AI462*AJ462/365</f>
        <v>0</v>
      </c>
      <c r="AL462" s="24" t="n">
        <f aca="false">AD462</f>
        <v>0</v>
      </c>
      <c r="AM462" s="24" t="n">
        <f aca="false">AK462-AL462</f>
        <v>0</v>
      </c>
      <c r="AN462" s="28" t="str">
        <f aca="false">IF(A462&gt;=Hip3LaunchDate,"YES","")</f>
        <v/>
      </c>
      <c r="AO462" s="28" t="str">
        <f aca="false">IF(A462&lt;Hip4LaunchDate,"pre-launch","live (zero-fee)")</f>
        <v>pre-launch</v>
      </c>
      <c r="AP462" s="20"/>
      <c r="AQ462" s="20"/>
      <c r="AR462" s="20"/>
    </row>
    <row r="463" customFormat="false" ht="15" hidden="false" customHeight="false" outlineLevel="0" collapsed="false">
      <c r="A463" s="18" t="n">
        <v>45524</v>
      </c>
      <c r="B463" s="19" t="n">
        <v>900366336.57</v>
      </c>
      <c r="C463" s="19" t="n">
        <v>0</v>
      </c>
      <c r="D463" s="20"/>
      <c r="E463" s="21" t="n">
        <f aca="false">B463+C463</f>
        <v>900366336.57</v>
      </c>
      <c r="F463" s="21" t="n">
        <f aca="false">E463+D463</f>
        <v>900366336.57</v>
      </c>
      <c r="G463" s="22" t="n">
        <f aca="false">IFERROR(C463/E463,0)</f>
        <v>0</v>
      </c>
      <c r="H463" s="20"/>
      <c r="I463" s="20"/>
      <c r="J463" s="20"/>
      <c r="K463" s="21" t="n">
        <f aca="false">H463+I463</f>
        <v>0</v>
      </c>
      <c r="L463" s="20"/>
      <c r="M463" s="21" t="n">
        <f aca="false">H463-L463</f>
        <v>0</v>
      </c>
      <c r="N463" s="23" t="n">
        <f aca="false">IFERROR(M463/B463*10000,0)</f>
        <v>0</v>
      </c>
      <c r="O463" s="20"/>
      <c r="P463" s="20"/>
      <c r="Q463" s="21" t="n">
        <f aca="false">O463+P463</f>
        <v>0</v>
      </c>
      <c r="R463" s="22" t="n">
        <f aca="false">IF(A463&lt;HlpChangeDate,HlpSharePre,HlpSharePost)</f>
        <v>0.03</v>
      </c>
      <c r="S463" s="21" t="n">
        <f aca="false">Q463*R463/(1-R463)</f>
        <v>0</v>
      </c>
      <c r="T463" s="20"/>
      <c r="U463" s="21" t="n">
        <f aca="false">S463-T463</f>
        <v>0</v>
      </c>
      <c r="V463" s="21" t="n">
        <f aca="false">Y463-O463*R463/(1-R463)</f>
        <v>0</v>
      </c>
      <c r="W463" s="21" t="n">
        <f aca="false">Z463-P463*R463/(1-R463)</f>
        <v>0</v>
      </c>
      <c r="X463" s="21" t="n">
        <f aca="false">S463+V463+W463</f>
        <v>0</v>
      </c>
      <c r="Y463" s="20"/>
      <c r="Z463" s="20"/>
      <c r="AA463" s="19" t="n">
        <v>0</v>
      </c>
      <c r="AB463" s="20"/>
      <c r="AC463" s="20"/>
      <c r="AD463" s="24" t="n">
        <f aca="false">IFERROR(AA463/AC463,0)</f>
        <v>0</v>
      </c>
      <c r="AE463" s="25" t="n">
        <f aca="false">K463-Q463-X463</f>
        <v>0</v>
      </c>
      <c r="AF463" s="25" t="n">
        <f aca="false">Q463-AA463</f>
        <v>0</v>
      </c>
      <c r="AG463" s="20"/>
      <c r="AH463" s="26" t="n">
        <f aca="false">IFERROR(AG463/Q463,0)</f>
        <v>0</v>
      </c>
      <c r="AI463" s="27" t="n">
        <v>0</v>
      </c>
      <c r="AJ463" s="26" t="n">
        <f aca="false">IF(AI463&gt;0,AprCoef/SQRT(AI463),0)</f>
        <v>0</v>
      </c>
      <c r="AK463" s="24" t="n">
        <f aca="false">AI463*AJ463/365</f>
        <v>0</v>
      </c>
      <c r="AL463" s="24" t="n">
        <f aca="false">AD463</f>
        <v>0</v>
      </c>
      <c r="AM463" s="24" t="n">
        <f aca="false">AK463-AL463</f>
        <v>0</v>
      </c>
      <c r="AN463" s="28" t="str">
        <f aca="false">IF(A463&gt;=Hip3LaunchDate,"YES","")</f>
        <v/>
      </c>
      <c r="AO463" s="28" t="str">
        <f aca="false">IF(A463&lt;Hip4LaunchDate,"pre-launch","live (zero-fee)")</f>
        <v>pre-launch</v>
      </c>
      <c r="AP463" s="20"/>
      <c r="AQ463" s="20"/>
      <c r="AR463" s="20"/>
    </row>
    <row r="464" customFormat="false" ht="15" hidden="false" customHeight="false" outlineLevel="0" collapsed="false">
      <c r="A464" s="18" t="n">
        <v>45525</v>
      </c>
      <c r="B464" s="19" t="n">
        <v>793866133.58</v>
      </c>
      <c r="C464" s="19" t="n">
        <v>0</v>
      </c>
      <c r="D464" s="20"/>
      <c r="E464" s="21" t="n">
        <f aca="false">B464+C464</f>
        <v>793866133.58</v>
      </c>
      <c r="F464" s="21" t="n">
        <f aca="false">E464+D464</f>
        <v>793866133.58</v>
      </c>
      <c r="G464" s="22" t="n">
        <f aca="false">IFERROR(C464/E464,0)</f>
        <v>0</v>
      </c>
      <c r="H464" s="20"/>
      <c r="I464" s="20"/>
      <c r="J464" s="20"/>
      <c r="K464" s="21" t="n">
        <f aca="false">H464+I464</f>
        <v>0</v>
      </c>
      <c r="L464" s="20"/>
      <c r="M464" s="21" t="n">
        <f aca="false">H464-L464</f>
        <v>0</v>
      </c>
      <c r="N464" s="23" t="n">
        <f aca="false">IFERROR(M464/B464*10000,0)</f>
        <v>0</v>
      </c>
      <c r="O464" s="20"/>
      <c r="P464" s="20"/>
      <c r="Q464" s="21" t="n">
        <f aca="false">O464+P464</f>
        <v>0</v>
      </c>
      <c r="R464" s="22" t="n">
        <f aca="false">IF(A464&lt;HlpChangeDate,HlpSharePre,HlpSharePost)</f>
        <v>0.03</v>
      </c>
      <c r="S464" s="21" t="n">
        <f aca="false">Q464*R464/(1-R464)</f>
        <v>0</v>
      </c>
      <c r="T464" s="20"/>
      <c r="U464" s="21" t="n">
        <f aca="false">S464-T464</f>
        <v>0</v>
      </c>
      <c r="V464" s="21" t="n">
        <f aca="false">Y464-O464*R464/(1-R464)</f>
        <v>0</v>
      </c>
      <c r="W464" s="21" t="n">
        <f aca="false">Z464-P464*R464/(1-R464)</f>
        <v>0</v>
      </c>
      <c r="X464" s="21" t="n">
        <f aca="false">S464+V464+W464</f>
        <v>0</v>
      </c>
      <c r="Y464" s="20"/>
      <c r="Z464" s="20"/>
      <c r="AA464" s="19" t="n">
        <v>0</v>
      </c>
      <c r="AB464" s="20"/>
      <c r="AC464" s="20"/>
      <c r="AD464" s="24" t="n">
        <f aca="false">IFERROR(AA464/AC464,0)</f>
        <v>0</v>
      </c>
      <c r="AE464" s="25" t="n">
        <f aca="false">K464-Q464-X464</f>
        <v>0</v>
      </c>
      <c r="AF464" s="25" t="n">
        <f aca="false">Q464-AA464</f>
        <v>0</v>
      </c>
      <c r="AG464" s="20"/>
      <c r="AH464" s="26" t="n">
        <f aca="false">IFERROR(AG464/Q464,0)</f>
        <v>0</v>
      </c>
      <c r="AI464" s="27" t="n">
        <v>0</v>
      </c>
      <c r="AJ464" s="26" t="n">
        <f aca="false">IF(AI464&gt;0,AprCoef/SQRT(AI464),0)</f>
        <v>0</v>
      </c>
      <c r="AK464" s="24" t="n">
        <f aca="false">AI464*AJ464/365</f>
        <v>0</v>
      </c>
      <c r="AL464" s="24" t="n">
        <f aca="false">AD464</f>
        <v>0</v>
      </c>
      <c r="AM464" s="24" t="n">
        <f aca="false">AK464-AL464</f>
        <v>0</v>
      </c>
      <c r="AN464" s="28" t="str">
        <f aca="false">IF(A464&gt;=Hip3LaunchDate,"YES","")</f>
        <v/>
      </c>
      <c r="AO464" s="28" t="str">
        <f aca="false">IF(A464&lt;Hip4LaunchDate,"pre-launch","live (zero-fee)")</f>
        <v>pre-launch</v>
      </c>
      <c r="AP464" s="20"/>
      <c r="AQ464" s="20"/>
      <c r="AR464" s="20"/>
    </row>
    <row r="465" customFormat="false" ht="15" hidden="false" customHeight="false" outlineLevel="0" collapsed="false">
      <c r="A465" s="18" t="n">
        <v>45526</v>
      </c>
      <c r="B465" s="19" t="n">
        <v>1088518736.4</v>
      </c>
      <c r="C465" s="19" t="n">
        <v>0</v>
      </c>
      <c r="D465" s="20"/>
      <c r="E465" s="21" t="n">
        <f aca="false">B465+C465</f>
        <v>1088518736.4</v>
      </c>
      <c r="F465" s="21" t="n">
        <f aca="false">E465+D465</f>
        <v>1088518736.4</v>
      </c>
      <c r="G465" s="22" t="n">
        <f aca="false">IFERROR(C465/E465,0)</f>
        <v>0</v>
      </c>
      <c r="H465" s="20"/>
      <c r="I465" s="20"/>
      <c r="J465" s="20"/>
      <c r="K465" s="21" t="n">
        <f aca="false">H465+I465</f>
        <v>0</v>
      </c>
      <c r="L465" s="20"/>
      <c r="M465" s="21" t="n">
        <f aca="false">H465-L465</f>
        <v>0</v>
      </c>
      <c r="N465" s="23" t="n">
        <f aca="false">IFERROR(M465/B465*10000,0)</f>
        <v>0</v>
      </c>
      <c r="O465" s="20"/>
      <c r="P465" s="20"/>
      <c r="Q465" s="21" t="n">
        <f aca="false">O465+P465</f>
        <v>0</v>
      </c>
      <c r="R465" s="22" t="n">
        <f aca="false">IF(A465&lt;HlpChangeDate,HlpSharePre,HlpSharePost)</f>
        <v>0.03</v>
      </c>
      <c r="S465" s="21" t="n">
        <f aca="false">Q465*R465/(1-R465)</f>
        <v>0</v>
      </c>
      <c r="T465" s="20"/>
      <c r="U465" s="21" t="n">
        <f aca="false">S465-T465</f>
        <v>0</v>
      </c>
      <c r="V465" s="21" t="n">
        <f aca="false">Y465-O465*R465/(1-R465)</f>
        <v>0</v>
      </c>
      <c r="W465" s="21" t="n">
        <f aca="false">Z465-P465*R465/(1-R465)</f>
        <v>0</v>
      </c>
      <c r="X465" s="21" t="n">
        <f aca="false">S465+V465+W465</f>
        <v>0</v>
      </c>
      <c r="Y465" s="20"/>
      <c r="Z465" s="20"/>
      <c r="AA465" s="19" t="n">
        <v>0</v>
      </c>
      <c r="AB465" s="20"/>
      <c r="AC465" s="20"/>
      <c r="AD465" s="24" t="n">
        <f aca="false">IFERROR(AA465/AC465,0)</f>
        <v>0</v>
      </c>
      <c r="AE465" s="25" t="n">
        <f aca="false">K465-Q465-X465</f>
        <v>0</v>
      </c>
      <c r="AF465" s="25" t="n">
        <f aca="false">Q465-AA465</f>
        <v>0</v>
      </c>
      <c r="AG465" s="20"/>
      <c r="AH465" s="26" t="n">
        <f aca="false">IFERROR(AG465/Q465,0)</f>
        <v>0</v>
      </c>
      <c r="AI465" s="27" t="n">
        <v>0</v>
      </c>
      <c r="AJ465" s="26" t="n">
        <f aca="false">IF(AI465&gt;0,AprCoef/SQRT(AI465),0)</f>
        <v>0</v>
      </c>
      <c r="AK465" s="24" t="n">
        <f aca="false">AI465*AJ465/365</f>
        <v>0</v>
      </c>
      <c r="AL465" s="24" t="n">
        <f aca="false">AD465</f>
        <v>0</v>
      </c>
      <c r="AM465" s="24" t="n">
        <f aca="false">AK465-AL465</f>
        <v>0</v>
      </c>
      <c r="AN465" s="28" t="str">
        <f aca="false">IF(A465&gt;=Hip3LaunchDate,"YES","")</f>
        <v/>
      </c>
      <c r="AO465" s="28" t="str">
        <f aca="false">IF(A465&lt;Hip4LaunchDate,"pre-launch","live (zero-fee)")</f>
        <v>pre-launch</v>
      </c>
      <c r="AP465" s="20"/>
      <c r="AQ465" s="20"/>
      <c r="AR465" s="20"/>
    </row>
    <row r="466" customFormat="false" ht="15" hidden="false" customHeight="false" outlineLevel="0" collapsed="false">
      <c r="A466" s="18" t="n">
        <v>45527</v>
      </c>
      <c r="B466" s="19" t="n">
        <v>1192902076.76</v>
      </c>
      <c r="C466" s="19" t="n">
        <v>0</v>
      </c>
      <c r="D466" s="20"/>
      <c r="E466" s="21" t="n">
        <f aca="false">B466+C466</f>
        <v>1192902076.76</v>
      </c>
      <c r="F466" s="21" t="n">
        <f aca="false">E466+D466</f>
        <v>1192902076.76</v>
      </c>
      <c r="G466" s="22" t="n">
        <f aca="false">IFERROR(C466/E466,0)</f>
        <v>0</v>
      </c>
      <c r="H466" s="20"/>
      <c r="I466" s="20"/>
      <c r="J466" s="20"/>
      <c r="K466" s="21" t="n">
        <f aca="false">H466+I466</f>
        <v>0</v>
      </c>
      <c r="L466" s="20"/>
      <c r="M466" s="21" t="n">
        <f aca="false">H466-L466</f>
        <v>0</v>
      </c>
      <c r="N466" s="23" t="n">
        <f aca="false">IFERROR(M466/B466*10000,0)</f>
        <v>0</v>
      </c>
      <c r="O466" s="20"/>
      <c r="P466" s="20"/>
      <c r="Q466" s="21" t="n">
        <f aca="false">O466+P466</f>
        <v>0</v>
      </c>
      <c r="R466" s="22" t="n">
        <f aca="false">IF(A466&lt;HlpChangeDate,HlpSharePre,HlpSharePost)</f>
        <v>0.03</v>
      </c>
      <c r="S466" s="21" t="n">
        <f aca="false">Q466*R466/(1-R466)</f>
        <v>0</v>
      </c>
      <c r="T466" s="20"/>
      <c r="U466" s="21" t="n">
        <f aca="false">S466-T466</f>
        <v>0</v>
      </c>
      <c r="V466" s="21" t="n">
        <f aca="false">Y466-O466*R466/(1-R466)</f>
        <v>0</v>
      </c>
      <c r="W466" s="21" t="n">
        <f aca="false">Z466-P466*R466/(1-R466)</f>
        <v>0</v>
      </c>
      <c r="X466" s="21" t="n">
        <f aca="false">S466+V466+W466</f>
        <v>0</v>
      </c>
      <c r="Y466" s="20"/>
      <c r="Z466" s="20"/>
      <c r="AA466" s="19" t="n">
        <v>0</v>
      </c>
      <c r="AB466" s="20"/>
      <c r="AC466" s="20"/>
      <c r="AD466" s="24" t="n">
        <f aca="false">IFERROR(AA466/AC466,0)</f>
        <v>0</v>
      </c>
      <c r="AE466" s="25" t="n">
        <f aca="false">K466-Q466-X466</f>
        <v>0</v>
      </c>
      <c r="AF466" s="25" t="n">
        <f aca="false">Q466-AA466</f>
        <v>0</v>
      </c>
      <c r="AG466" s="20"/>
      <c r="AH466" s="26" t="n">
        <f aca="false">IFERROR(AG466/Q466,0)</f>
        <v>0</v>
      </c>
      <c r="AI466" s="27" t="n">
        <v>0</v>
      </c>
      <c r="AJ466" s="26" t="n">
        <f aca="false">IF(AI466&gt;0,AprCoef/SQRT(AI466),0)</f>
        <v>0</v>
      </c>
      <c r="AK466" s="24" t="n">
        <f aca="false">AI466*AJ466/365</f>
        <v>0</v>
      </c>
      <c r="AL466" s="24" t="n">
        <f aca="false">AD466</f>
        <v>0</v>
      </c>
      <c r="AM466" s="24" t="n">
        <f aca="false">AK466-AL466</f>
        <v>0</v>
      </c>
      <c r="AN466" s="28" t="str">
        <f aca="false">IF(A466&gt;=Hip3LaunchDate,"YES","")</f>
        <v/>
      </c>
      <c r="AO466" s="28" t="str">
        <f aca="false">IF(A466&lt;Hip4LaunchDate,"pre-launch","live (zero-fee)")</f>
        <v>pre-launch</v>
      </c>
      <c r="AP466" s="20"/>
      <c r="AQ466" s="20"/>
      <c r="AR466" s="20"/>
    </row>
    <row r="467" customFormat="false" ht="15" hidden="false" customHeight="false" outlineLevel="0" collapsed="false">
      <c r="A467" s="18" t="n">
        <v>45528</v>
      </c>
      <c r="B467" s="19" t="n">
        <v>920795496.6</v>
      </c>
      <c r="C467" s="19" t="n">
        <v>0</v>
      </c>
      <c r="D467" s="20"/>
      <c r="E467" s="21" t="n">
        <f aca="false">B467+C467</f>
        <v>920795496.6</v>
      </c>
      <c r="F467" s="21" t="n">
        <f aca="false">E467+D467</f>
        <v>920795496.6</v>
      </c>
      <c r="G467" s="22" t="n">
        <f aca="false">IFERROR(C467/E467,0)</f>
        <v>0</v>
      </c>
      <c r="H467" s="20"/>
      <c r="I467" s="20"/>
      <c r="J467" s="20"/>
      <c r="K467" s="21" t="n">
        <f aca="false">H467+I467</f>
        <v>0</v>
      </c>
      <c r="L467" s="20"/>
      <c r="M467" s="21" t="n">
        <f aca="false">H467-L467</f>
        <v>0</v>
      </c>
      <c r="N467" s="23" t="n">
        <f aca="false">IFERROR(M467/B467*10000,0)</f>
        <v>0</v>
      </c>
      <c r="O467" s="20"/>
      <c r="P467" s="20"/>
      <c r="Q467" s="21" t="n">
        <f aca="false">O467+P467</f>
        <v>0</v>
      </c>
      <c r="R467" s="22" t="n">
        <f aca="false">IF(A467&lt;HlpChangeDate,HlpSharePre,HlpSharePost)</f>
        <v>0.03</v>
      </c>
      <c r="S467" s="21" t="n">
        <f aca="false">Q467*R467/(1-R467)</f>
        <v>0</v>
      </c>
      <c r="T467" s="20"/>
      <c r="U467" s="21" t="n">
        <f aca="false">S467-T467</f>
        <v>0</v>
      </c>
      <c r="V467" s="21" t="n">
        <f aca="false">Y467-O467*R467/(1-R467)</f>
        <v>0</v>
      </c>
      <c r="W467" s="21" t="n">
        <f aca="false">Z467-P467*R467/(1-R467)</f>
        <v>0</v>
      </c>
      <c r="X467" s="21" t="n">
        <f aca="false">S467+V467+W467</f>
        <v>0</v>
      </c>
      <c r="Y467" s="20"/>
      <c r="Z467" s="20"/>
      <c r="AA467" s="19" t="n">
        <v>0</v>
      </c>
      <c r="AB467" s="20"/>
      <c r="AC467" s="20"/>
      <c r="AD467" s="24" t="n">
        <f aca="false">IFERROR(AA467/AC467,0)</f>
        <v>0</v>
      </c>
      <c r="AE467" s="25" t="n">
        <f aca="false">K467-Q467-X467</f>
        <v>0</v>
      </c>
      <c r="AF467" s="25" t="n">
        <f aca="false">Q467-AA467</f>
        <v>0</v>
      </c>
      <c r="AG467" s="20"/>
      <c r="AH467" s="26" t="n">
        <f aca="false">IFERROR(AG467/Q467,0)</f>
        <v>0</v>
      </c>
      <c r="AI467" s="27" t="n">
        <v>0</v>
      </c>
      <c r="AJ467" s="26" t="n">
        <f aca="false">IF(AI467&gt;0,AprCoef/SQRT(AI467),0)</f>
        <v>0</v>
      </c>
      <c r="AK467" s="24" t="n">
        <f aca="false">AI467*AJ467/365</f>
        <v>0</v>
      </c>
      <c r="AL467" s="24" t="n">
        <f aca="false">AD467</f>
        <v>0</v>
      </c>
      <c r="AM467" s="24" t="n">
        <f aca="false">AK467-AL467</f>
        <v>0</v>
      </c>
      <c r="AN467" s="28" t="str">
        <f aca="false">IF(A467&gt;=Hip3LaunchDate,"YES","")</f>
        <v/>
      </c>
      <c r="AO467" s="28" t="str">
        <f aca="false">IF(A467&lt;Hip4LaunchDate,"pre-launch","live (zero-fee)")</f>
        <v>pre-launch</v>
      </c>
      <c r="AP467" s="20"/>
      <c r="AQ467" s="20"/>
      <c r="AR467" s="20"/>
    </row>
    <row r="468" customFormat="false" ht="15" hidden="false" customHeight="false" outlineLevel="0" collapsed="false">
      <c r="A468" s="18" t="n">
        <v>45529</v>
      </c>
      <c r="B468" s="19" t="n">
        <v>693388787</v>
      </c>
      <c r="C468" s="19" t="n">
        <v>0</v>
      </c>
      <c r="D468" s="20"/>
      <c r="E468" s="21" t="n">
        <f aca="false">B468+C468</f>
        <v>693388787</v>
      </c>
      <c r="F468" s="21" t="n">
        <f aca="false">E468+D468</f>
        <v>693388787</v>
      </c>
      <c r="G468" s="22" t="n">
        <f aca="false">IFERROR(C468/E468,0)</f>
        <v>0</v>
      </c>
      <c r="H468" s="20"/>
      <c r="I468" s="20"/>
      <c r="J468" s="20"/>
      <c r="K468" s="21" t="n">
        <f aca="false">H468+I468</f>
        <v>0</v>
      </c>
      <c r="L468" s="20"/>
      <c r="M468" s="21" t="n">
        <f aca="false">H468-L468</f>
        <v>0</v>
      </c>
      <c r="N468" s="23" t="n">
        <f aca="false">IFERROR(M468/B468*10000,0)</f>
        <v>0</v>
      </c>
      <c r="O468" s="20"/>
      <c r="P468" s="20"/>
      <c r="Q468" s="21" t="n">
        <f aca="false">O468+P468</f>
        <v>0</v>
      </c>
      <c r="R468" s="22" t="n">
        <f aca="false">IF(A468&lt;HlpChangeDate,HlpSharePre,HlpSharePost)</f>
        <v>0.03</v>
      </c>
      <c r="S468" s="21" t="n">
        <f aca="false">Q468*R468/(1-R468)</f>
        <v>0</v>
      </c>
      <c r="T468" s="20"/>
      <c r="U468" s="21" t="n">
        <f aca="false">S468-T468</f>
        <v>0</v>
      </c>
      <c r="V468" s="21" t="n">
        <f aca="false">Y468-O468*R468/(1-R468)</f>
        <v>0</v>
      </c>
      <c r="W468" s="21" t="n">
        <f aca="false">Z468-P468*R468/(1-R468)</f>
        <v>0</v>
      </c>
      <c r="X468" s="21" t="n">
        <f aca="false">S468+V468+W468</f>
        <v>0</v>
      </c>
      <c r="Y468" s="20"/>
      <c r="Z468" s="20"/>
      <c r="AA468" s="19" t="n">
        <v>0</v>
      </c>
      <c r="AB468" s="20"/>
      <c r="AC468" s="20"/>
      <c r="AD468" s="24" t="n">
        <f aca="false">IFERROR(AA468/AC468,0)</f>
        <v>0</v>
      </c>
      <c r="AE468" s="25" t="n">
        <f aca="false">K468-Q468-X468</f>
        <v>0</v>
      </c>
      <c r="AF468" s="25" t="n">
        <f aca="false">Q468-AA468</f>
        <v>0</v>
      </c>
      <c r="AG468" s="20"/>
      <c r="AH468" s="26" t="n">
        <f aca="false">IFERROR(AG468/Q468,0)</f>
        <v>0</v>
      </c>
      <c r="AI468" s="27" t="n">
        <v>0</v>
      </c>
      <c r="AJ468" s="26" t="n">
        <f aca="false">IF(AI468&gt;0,AprCoef/SQRT(AI468),0)</f>
        <v>0</v>
      </c>
      <c r="AK468" s="24" t="n">
        <f aca="false">AI468*AJ468/365</f>
        <v>0</v>
      </c>
      <c r="AL468" s="24" t="n">
        <f aca="false">AD468</f>
        <v>0</v>
      </c>
      <c r="AM468" s="24" t="n">
        <f aca="false">AK468-AL468</f>
        <v>0</v>
      </c>
      <c r="AN468" s="28" t="str">
        <f aca="false">IF(A468&gt;=Hip3LaunchDate,"YES","")</f>
        <v/>
      </c>
      <c r="AO468" s="28" t="str">
        <f aca="false">IF(A468&lt;Hip4LaunchDate,"pre-launch","live (zero-fee)")</f>
        <v>pre-launch</v>
      </c>
      <c r="AP468" s="20"/>
      <c r="AQ468" s="20"/>
      <c r="AR468" s="20"/>
    </row>
    <row r="469" customFormat="false" ht="15" hidden="false" customHeight="false" outlineLevel="0" collapsed="false">
      <c r="A469" s="18" t="n">
        <v>45530</v>
      </c>
      <c r="B469" s="19" t="n">
        <v>1201260824.66</v>
      </c>
      <c r="C469" s="19" t="n">
        <v>0</v>
      </c>
      <c r="D469" s="20"/>
      <c r="E469" s="21" t="n">
        <f aca="false">B469+C469</f>
        <v>1201260824.66</v>
      </c>
      <c r="F469" s="21" t="n">
        <f aca="false">E469+D469</f>
        <v>1201260824.66</v>
      </c>
      <c r="G469" s="22" t="n">
        <f aca="false">IFERROR(C469/E469,0)</f>
        <v>0</v>
      </c>
      <c r="H469" s="20"/>
      <c r="I469" s="20"/>
      <c r="J469" s="20"/>
      <c r="K469" s="21" t="n">
        <f aca="false">H469+I469</f>
        <v>0</v>
      </c>
      <c r="L469" s="20"/>
      <c r="M469" s="21" t="n">
        <f aca="false">H469-L469</f>
        <v>0</v>
      </c>
      <c r="N469" s="23" t="n">
        <f aca="false">IFERROR(M469/B469*10000,0)</f>
        <v>0</v>
      </c>
      <c r="O469" s="20"/>
      <c r="P469" s="20"/>
      <c r="Q469" s="21" t="n">
        <f aca="false">O469+P469</f>
        <v>0</v>
      </c>
      <c r="R469" s="22" t="n">
        <f aca="false">IF(A469&lt;HlpChangeDate,HlpSharePre,HlpSharePost)</f>
        <v>0.03</v>
      </c>
      <c r="S469" s="21" t="n">
        <f aca="false">Q469*R469/(1-R469)</f>
        <v>0</v>
      </c>
      <c r="T469" s="20"/>
      <c r="U469" s="21" t="n">
        <f aca="false">S469-T469</f>
        <v>0</v>
      </c>
      <c r="V469" s="21" t="n">
        <f aca="false">Y469-O469*R469/(1-R469)</f>
        <v>0</v>
      </c>
      <c r="W469" s="21" t="n">
        <f aca="false">Z469-P469*R469/(1-R469)</f>
        <v>0</v>
      </c>
      <c r="X469" s="21" t="n">
        <f aca="false">S469+V469+W469</f>
        <v>0</v>
      </c>
      <c r="Y469" s="20"/>
      <c r="Z469" s="20"/>
      <c r="AA469" s="19" t="n">
        <v>0</v>
      </c>
      <c r="AB469" s="20"/>
      <c r="AC469" s="20"/>
      <c r="AD469" s="24" t="n">
        <f aca="false">IFERROR(AA469/AC469,0)</f>
        <v>0</v>
      </c>
      <c r="AE469" s="25" t="n">
        <f aca="false">K469-Q469-X469</f>
        <v>0</v>
      </c>
      <c r="AF469" s="25" t="n">
        <f aca="false">Q469-AA469</f>
        <v>0</v>
      </c>
      <c r="AG469" s="20"/>
      <c r="AH469" s="26" t="n">
        <f aca="false">IFERROR(AG469/Q469,0)</f>
        <v>0</v>
      </c>
      <c r="AI469" s="27" t="n">
        <v>0</v>
      </c>
      <c r="AJ469" s="26" t="n">
        <f aca="false">IF(AI469&gt;0,AprCoef/SQRT(AI469),0)</f>
        <v>0</v>
      </c>
      <c r="AK469" s="24" t="n">
        <f aca="false">AI469*AJ469/365</f>
        <v>0</v>
      </c>
      <c r="AL469" s="24" t="n">
        <f aca="false">AD469</f>
        <v>0</v>
      </c>
      <c r="AM469" s="24" t="n">
        <f aca="false">AK469-AL469</f>
        <v>0</v>
      </c>
      <c r="AN469" s="28" t="str">
        <f aca="false">IF(A469&gt;=Hip3LaunchDate,"YES","")</f>
        <v/>
      </c>
      <c r="AO469" s="28" t="str">
        <f aca="false">IF(A469&lt;Hip4LaunchDate,"pre-launch","live (zero-fee)")</f>
        <v>pre-launch</v>
      </c>
      <c r="AP469" s="20"/>
      <c r="AQ469" s="20"/>
      <c r="AR469" s="20"/>
    </row>
    <row r="470" customFormat="false" ht="15" hidden="false" customHeight="false" outlineLevel="0" collapsed="false">
      <c r="A470" s="18" t="n">
        <v>45531</v>
      </c>
      <c r="B470" s="19" t="n">
        <v>1617584020.42</v>
      </c>
      <c r="C470" s="19" t="n">
        <v>0</v>
      </c>
      <c r="D470" s="20"/>
      <c r="E470" s="21" t="n">
        <f aca="false">B470+C470</f>
        <v>1617584020.42</v>
      </c>
      <c r="F470" s="21" t="n">
        <f aca="false">E470+D470</f>
        <v>1617584020.42</v>
      </c>
      <c r="G470" s="22" t="n">
        <f aca="false">IFERROR(C470/E470,0)</f>
        <v>0</v>
      </c>
      <c r="H470" s="20"/>
      <c r="I470" s="20"/>
      <c r="J470" s="20"/>
      <c r="K470" s="21" t="n">
        <f aca="false">H470+I470</f>
        <v>0</v>
      </c>
      <c r="L470" s="20"/>
      <c r="M470" s="21" t="n">
        <f aca="false">H470-L470</f>
        <v>0</v>
      </c>
      <c r="N470" s="23" t="n">
        <f aca="false">IFERROR(M470/B470*10000,0)</f>
        <v>0</v>
      </c>
      <c r="O470" s="20"/>
      <c r="P470" s="20"/>
      <c r="Q470" s="21" t="n">
        <f aca="false">O470+P470</f>
        <v>0</v>
      </c>
      <c r="R470" s="22" t="n">
        <f aca="false">IF(A470&lt;HlpChangeDate,HlpSharePre,HlpSharePost)</f>
        <v>0.03</v>
      </c>
      <c r="S470" s="21" t="n">
        <f aca="false">Q470*R470/(1-R470)</f>
        <v>0</v>
      </c>
      <c r="T470" s="20"/>
      <c r="U470" s="21" t="n">
        <f aca="false">S470-T470</f>
        <v>0</v>
      </c>
      <c r="V470" s="21" t="n">
        <f aca="false">Y470-O470*R470/(1-R470)</f>
        <v>0</v>
      </c>
      <c r="W470" s="21" t="n">
        <f aca="false">Z470-P470*R470/(1-R470)</f>
        <v>0</v>
      </c>
      <c r="X470" s="21" t="n">
        <f aca="false">S470+V470+W470</f>
        <v>0</v>
      </c>
      <c r="Y470" s="20"/>
      <c r="Z470" s="20"/>
      <c r="AA470" s="19" t="n">
        <v>0</v>
      </c>
      <c r="AB470" s="20"/>
      <c r="AC470" s="20"/>
      <c r="AD470" s="24" t="n">
        <f aca="false">IFERROR(AA470/AC470,0)</f>
        <v>0</v>
      </c>
      <c r="AE470" s="25" t="n">
        <f aca="false">K470-Q470-X470</f>
        <v>0</v>
      </c>
      <c r="AF470" s="25" t="n">
        <f aca="false">Q470-AA470</f>
        <v>0</v>
      </c>
      <c r="AG470" s="20"/>
      <c r="AH470" s="26" t="n">
        <f aca="false">IFERROR(AG470/Q470,0)</f>
        <v>0</v>
      </c>
      <c r="AI470" s="27" t="n">
        <v>0</v>
      </c>
      <c r="AJ470" s="26" t="n">
        <f aca="false">IF(AI470&gt;0,AprCoef/SQRT(AI470),0)</f>
        <v>0</v>
      </c>
      <c r="AK470" s="24" t="n">
        <f aca="false">AI470*AJ470/365</f>
        <v>0</v>
      </c>
      <c r="AL470" s="24" t="n">
        <f aca="false">AD470</f>
        <v>0</v>
      </c>
      <c r="AM470" s="24" t="n">
        <f aca="false">AK470-AL470</f>
        <v>0</v>
      </c>
      <c r="AN470" s="28" t="str">
        <f aca="false">IF(A470&gt;=Hip3LaunchDate,"YES","")</f>
        <v/>
      </c>
      <c r="AO470" s="28" t="str">
        <f aca="false">IF(A470&lt;Hip4LaunchDate,"pre-launch","live (zero-fee)")</f>
        <v>pre-launch</v>
      </c>
      <c r="AP470" s="20"/>
      <c r="AQ470" s="20"/>
      <c r="AR470" s="20"/>
    </row>
    <row r="471" customFormat="false" ht="15" hidden="false" customHeight="false" outlineLevel="0" collapsed="false">
      <c r="A471" s="18" t="n">
        <v>45532</v>
      </c>
      <c r="B471" s="19" t="n">
        <v>1528607141.23</v>
      </c>
      <c r="C471" s="19" t="n">
        <v>0</v>
      </c>
      <c r="D471" s="20"/>
      <c r="E471" s="21" t="n">
        <f aca="false">B471+C471</f>
        <v>1528607141.23</v>
      </c>
      <c r="F471" s="21" t="n">
        <f aca="false">E471+D471</f>
        <v>1528607141.23</v>
      </c>
      <c r="G471" s="22" t="n">
        <f aca="false">IFERROR(C471/E471,0)</f>
        <v>0</v>
      </c>
      <c r="H471" s="20"/>
      <c r="I471" s="20"/>
      <c r="J471" s="20"/>
      <c r="K471" s="21" t="n">
        <f aca="false">H471+I471</f>
        <v>0</v>
      </c>
      <c r="L471" s="20"/>
      <c r="M471" s="21" t="n">
        <f aca="false">H471-L471</f>
        <v>0</v>
      </c>
      <c r="N471" s="23" t="n">
        <f aca="false">IFERROR(M471/B471*10000,0)</f>
        <v>0</v>
      </c>
      <c r="O471" s="20"/>
      <c r="P471" s="20"/>
      <c r="Q471" s="21" t="n">
        <f aca="false">O471+P471</f>
        <v>0</v>
      </c>
      <c r="R471" s="22" t="n">
        <f aca="false">IF(A471&lt;HlpChangeDate,HlpSharePre,HlpSharePost)</f>
        <v>0.03</v>
      </c>
      <c r="S471" s="21" t="n">
        <f aca="false">Q471*R471/(1-R471)</f>
        <v>0</v>
      </c>
      <c r="T471" s="20"/>
      <c r="U471" s="21" t="n">
        <f aca="false">S471-T471</f>
        <v>0</v>
      </c>
      <c r="V471" s="21" t="n">
        <f aca="false">Y471-O471*R471/(1-R471)</f>
        <v>0</v>
      </c>
      <c r="W471" s="21" t="n">
        <f aca="false">Z471-P471*R471/(1-R471)</f>
        <v>0</v>
      </c>
      <c r="X471" s="21" t="n">
        <f aca="false">S471+V471+W471</f>
        <v>0</v>
      </c>
      <c r="Y471" s="20"/>
      <c r="Z471" s="20"/>
      <c r="AA471" s="19" t="n">
        <v>0</v>
      </c>
      <c r="AB471" s="20"/>
      <c r="AC471" s="20"/>
      <c r="AD471" s="24" t="n">
        <f aca="false">IFERROR(AA471/AC471,0)</f>
        <v>0</v>
      </c>
      <c r="AE471" s="25" t="n">
        <f aca="false">K471-Q471-X471</f>
        <v>0</v>
      </c>
      <c r="AF471" s="25" t="n">
        <f aca="false">Q471-AA471</f>
        <v>0</v>
      </c>
      <c r="AG471" s="20"/>
      <c r="AH471" s="26" t="n">
        <f aca="false">IFERROR(AG471/Q471,0)</f>
        <v>0</v>
      </c>
      <c r="AI471" s="27" t="n">
        <v>0</v>
      </c>
      <c r="AJ471" s="26" t="n">
        <f aca="false">IF(AI471&gt;0,AprCoef/SQRT(AI471),0)</f>
        <v>0</v>
      </c>
      <c r="AK471" s="24" t="n">
        <f aca="false">AI471*AJ471/365</f>
        <v>0</v>
      </c>
      <c r="AL471" s="24" t="n">
        <f aca="false">AD471</f>
        <v>0</v>
      </c>
      <c r="AM471" s="24" t="n">
        <f aca="false">AK471-AL471</f>
        <v>0</v>
      </c>
      <c r="AN471" s="28" t="str">
        <f aca="false">IF(A471&gt;=Hip3LaunchDate,"YES","")</f>
        <v/>
      </c>
      <c r="AO471" s="28" t="str">
        <f aca="false">IF(A471&lt;Hip4LaunchDate,"pre-launch","live (zero-fee)")</f>
        <v>pre-launch</v>
      </c>
      <c r="AP471" s="20"/>
      <c r="AQ471" s="20"/>
      <c r="AR471" s="20"/>
    </row>
    <row r="472" customFormat="false" ht="15" hidden="false" customHeight="false" outlineLevel="0" collapsed="false">
      <c r="A472" s="18" t="n">
        <v>45533</v>
      </c>
      <c r="B472" s="19" t="n">
        <v>1079357035.89</v>
      </c>
      <c r="C472" s="19" t="n">
        <v>0</v>
      </c>
      <c r="D472" s="20"/>
      <c r="E472" s="21" t="n">
        <f aca="false">B472+C472</f>
        <v>1079357035.89</v>
      </c>
      <c r="F472" s="21" t="n">
        <f aca="false">E472+D472</f>
        <v>1079357035.89</v>
      </c>
      <c r="G472" s="22" t="n">
        <f aca="false">IFERROR(C472/E472,0)</f>
        <v>0</v>
      </c>
      <c r="H472" s="20"/>
      <c r="I472" s="20"/>
      <c r="J472" s="20"/>
      <c r="K472" s="21" t="n">
        <f aca="false">H472+I472</f>
        <v>0</v>
      </c>
      <c r="L472" s="20"/>
      <c r="M472" s="21" t="n">
        <f aca="false">H472-L472</f>
        <v>0</v>
      </c>
      <c r="N472" s="23" t="n">
        <f aca="false">IFERROR(M472/B472*10000,0)</f>
        <v>0</v>
      </c>
      <c r="O472" s="20"/>
      <c r="P472" s="20"/>
      <c r="Q472" s="21" t="n">
        <f aca="false">O472+P472</f>
        <v>0</v>
      </c>
      <c r="R472" s="22" t="n">
        <f aca="false">IF(A472&lt;HlpChangeDate,HlpSharePre,HlpSharePost)</f>
        <v>0.03</v>
      </c>
      <c r="S472" s="21" t="n">
        <f aca="false">Q472*R472/(1-R472)</f>
        <v>0</v>
      </c>
      <c r="T472" s="20"/>
      <c r="U472" s="21" t="n">
        <f aca="false">S472-T472</f>
        <v>0</v>
      </c>
      <c r="V472" s="21" t="n">
        <f aca="false">Y472-O472*R472/(1-R472)</f>
        <v>0</v>
      </c>
      <c r="W472" s="21" t="n">
        <f aca="false">Z472-P472*R472/(1-R472)</f>
        <v>0</v>
      </c>
      <c r="X472" s="21" t="n">
        <f aca="false">S472+V472+W472</f>
        <v>0</v>
      </c>
      <c r="Y472" s="20"/>
      <c r="Z472" s="20"/>
      <c r="AA472" s="19" t="n">
        <v>0</v>
      </c>
      <c r="AB472" s="20"/>
      <c r="AC472" s="20"/>
      <c r="AD472" s="24" t="n">
        <f aca="false">IFERROR(AA472/AC472,0)</f>
        <v>0</v>
      </c>
      <c r="AE472" s="25" t="n">
        <f aca="false">K472-Q472-X472</f>
        <v>0</v>
      </c>
      <c r="AF472" s="25" t="n">
        <f aca="false">Q472-AA472</f>
        <v>0</v>
      </c>
      <c r="AG472" s="20"/>
      <c r="AH472" s="26" t="n">
        <f aca="false">IFERROR(AG472/Q472,0)</f>
        <v>0</v>
      </c>
      <c r="AI472" s="27" t="n">
        <v>0</v>
      </c>
      <c r="AJ472" s="26" t="n">
        <f aca="false">IF(AI472&gt;0,AprCoef/SQRT(AI472),0)</f>
        <v>0</v>
      </c>
      <c r="AK472" s="24" t="n">
        <f aca="false">AI472*AJ472/365</f>
        <v>0</v>
      </c>
      <c r="AL472" s="24" t="n">
        <f aca="false">AD472</f>
        <v>0</v>
      </c>
      <c r="AM472" s="24" t="n">
        <f aca="false">AK472-AL472</f>
        <v>0</v>
      </c>
      <c r="AN472" s="28" t="str">
        <f aca="false">IF(A472&gt;=Hip3LaunchDate,"YES","")</f>
        <v/>
      </c>
      <c r="AO472" s="28" t="str">
        <f aca="false">IF(A472&lt;Hip4LaunchDate,"pre-launch","live (zero-fee)")</f>
        <v>pre-launch</v>
      </c>
      <c r="AP472" s="20"/>
      <c r="AQ472" s="20"/>
      <c r="AR472" s="20"/>
    </row>
    <row r="473" customFormat="false" ht="15" hidden="false" customHeight="false" outlineLevel="0" collapsed="false">
      <c r="A473" s="18" t="n">
        <v>45534</v>
      </c>
      <c r="B473" s="19" t="n">
        <v>1052016850.23</v>
      </c>
      <c r="C473" s="19" t="n">
        <v>0</v>
      </c>
      <c r="D473" s="20"/>
      <c r="E473" s="21" t="n">
        <f aca="false">B473+C473</f>
        <v>1052016850.23</v>
      </c>
      <c r="F473" s="21" t="n">
        <f aca="false">E473+D473</f>
        <v>1052016850.23</v>
      </c>
      <c r="G473" s="22" t="n">
        <f aca="false">IFERROR(C473/E473,0)</f>
        <v>0</v>
      </c>
      <c r="H473" s="20"/>
      <c r="I473" s="20"/>
      <c r="J473" s="20"/>
      <c r="K473" s="21" t="n">
        <f aca="false">H473+I473</f>
        <v>0</v>
      </c>
      <c r="L473" s="20"/>
      <c r="M473" s="21" t="n">
        <f aca="false">H473-L473</f>
        <v>0</v>
      </c>
      <c r="N473" s="23" t="n">
        <f aca="false">IFERROR(M473/B473*10000,0)</f>
        <v>0</v>
      </c>
      <c r="O473" s="20"/>
      <c r="P473" s="20"/>
      <c r="Q473" s="21" t="n">
        <f aca="false">O473+P473</f>
        <v>0</v>
      </c>
      <c r="R473" s="22" t="n">
        <f aca="false">IF(A473&lt;HlpChangeDate,HlpSharePre,HlpSharePost)</f>
        <v>0.03</v>
      </c>
      <c r="S473" s="21" t="n">
        <f aca="false">Q473*R473/(1-R473)</f>
        <v>0</v>
      </c>
      <c r="T473" s="20"/>
      <c r="U473" s="21" t="n">
        <f aca="false">S473-T473</f>
        <v>0</v>
      </c>
      <c r="V473" s="21" t="n">
        <f aca="false">Y473-O473*R473/(1-R473)</f>
        <v>0</v>
      </c>
      <c r="W473" s="21" t="n">
        <f aca="false">Z473-P473*R473/(1-R473)</f>
        <v>0</v>
      </c>
      <c r="X473" s="21" t="n">
        <f aca="false">S473+V473+W473</f>
        <v>0</v>
      </c>
      <c r="Y473" s="20"/>
      <c r="Z473" s="20"/>
      <c r="AA473" s="19" t="n">
        <v>0</v>
      </c>
      <c r="AB473" s="20"/>
      <c r="AC473" s="20"/>
      <c r="AD473" s="24" t="n">
        <f aca="false">IFERROR(AA473/AC473,0)</f>
        <v>0</v>
      </c>
      <c r="AE473" s="25" t="n">
        <f aca="false">K473-Q473-X473</f>
        <v>0</v>
      </c>
      <c r="AF473" s="25" t="n">
        <f aca="false">Q473-AA473</f>
        <v>0</v>
      </c>
      <c r="AG473" s="20"/>
      <c r="AH473" s="26" t="n">
        <f aca="false">IFERROR(AG473/Q473,0)</f>
        <v>0</v>
      </c>
      <c r="AI473" s="27" t="n">
        <v>0</v>
      </c>
      <c r="AJ473" s="26" t="n">
        <f aca="false">IF(AI473&gt;0,AprCoef/SQRT(AI473),0)</f>
        <v>0</v>
      </c>
      <c r="AK473" s="24" t="n">
        <f aca="false">AI473*AJ473/365</f>
        <v>0</v>
      </c>
      <c r="AL473" s="24" t="n">
        <f aca="false">AD473</f>
        <v>0</v>
      </c>
      <c r="AM473" s="24" t="n">
        <f aca="false">AK473-AL473</f>
        <v>0</v>
      </c>
      <c r="AN473" s="28" t="str">
        <f aca="false">IF(A473&gt;=Hip3LaunchDate,"YES","")</f>
        <v/>
      </c>
      <c r="AO473" s="28" t="str">
        <f aca="false">IF(A473&lt;Hip4LaunchDate,"pre-launch","live (zero-fee)")</f>
        <v>pre-launch</v>
      </c>
      <c r="AP473" s="20"/>
      <c r="AQ473" s="20"/>
      <c r="AR473" s="20"/>
    </row>
    <row r="474" customFormat="false" ht="15" hidden="false" customHeight="false" outlineLevel="0" collapsed="false">
      <c r="A474" s="18" t="n">
        <v>45535</v>
      </c>
      <c r="B474" s="19" t="n">
        <v>319840012.79</v>
      </c>
      <c r="C474" s="19" t="n">
        <v>0</v>
      </c>
      <c r="D474" s="20"/>
      <c r="E474" s="21" t="n">
        <f aca="false">B474+C474</f>
        <v>319840012.79</v>
      </c>
      <c r="F474" s="21" t="n">
        <f aca="false">E474+D474</f>
        <v>319840012.79</v>
      </c>
      <c r="G474" s="22" t="n">
        <f aca="false">IFERROR(C474/E474,0)</f>
        <v>0</v>
      </c>
      <c r="H474" s="20"/>
      <c r="I474" s="20"/>
      <c r="J474" s="20"/>
      <c r="K474" s="21" t="n">
        <f aca="false">H474+I474</f>
        <v>0</v>
      </c>
      <c r="L474" s="20"/>
      <c r="M474" s="21" t="n">
        <f aca="false">H474-L474</f>
        <v>0</v>
      </c>
      <c r="N474" s="23" t="n">
        <f aca="false">IFERROR(M474/B474*10000,0)</f>
        <v>0</v>
      </c>
      <c r="O474" s="20"/>
      <c r="P474" s="20"/>
      <c r="Q474" s="21" t="n">
        <f aca="false">O474+P474</f>
        <v>0</v>
      </c>
      <c r="R474" s="22" t="n">
        <f aca="false">IF(A474&lt;HlpChangeDate,HlpSharePre,HlpSharePost)</f>
        <v>0.03</v>
      </c>
      <c r="S474" s="21" t="n">
        <f aca="false">Q474*R474/(1-R474)</f>
        <v>0</v>
      </c>
      <c r="T474" s="20"/>
      <c r="U474" s="21" t="n">
        <f aca="false">S474-T474</f>
        <v>0</v>
      </c>
      <c r="V474" s="21" t="n">
        <f aca="false">Y474-O474*R474/(1-R474)</f>
        <v>0</v>
      </c>
      <c r="W474" s="21" t="n">
        <f aca="false">Z474-P474*R474/(1-R474)</f>
        <v>0</v>
      </c>
      <c r="X474" s="21" t="n">
        <f aca="false">S474+V474+W474</f>
        <v>0</v>
      </c>
      <c r="Y474" s="20"/>
      <c r="Z474" s="20"/>
      <c r="AA474" s="19" t="n">
        <v>0</v>
      </c>
      <c r="AB474" s="20"/>
      <c r="AC474" s="20"/>
      <c r="AD474" s="24" t="n">
        <f aca="false">IFERROR(AA474/AC474,0)</f>
        <v>0</v>
      </c>
      <c r="AE474" s="25" t="n">
        <f aca="false">K474-Q474-X474</f>
        <v>0</v>
      </c>
      <c r="AF474" s="25" t="n">
        <f aca="false">Q474-AA474</f>
        <v>0</v>
      </c>
      <c r="AG474" s="20"/>
      <c r="AH474" s="26" t="n">
        <f aca="false">IFERROR(AG474/Q474,0)</f>
        <v>0</v>
      </c>
      <c r="AI474" s="27" t="n">
        <v>0</v>
      </c>
      <c r="AJ474" s="26" t="n">
        <f aca="false">IF(AI474&gt;0,AprCoef/SQRT(AI474),0)</f>
        <v>0</v>
      </c>
      <c r="AK474" s="24" t="n">
        <f aca="false">AI474*AJ474/365</f>
        <v>0</v>
      </c>
      <c r="AL474" s="24" t="n">
        <f aca="false">AD474</f>
        <v>0</v>
      </c>
      <c r="AM474" s="24" t="n">
        <f aca="false">AK474-AL474</f>
        <v>0</v>
      </c>
      <c r="AN474" s="28" t="str">
        <f aca="false">IF(A474&gt;=Hip3LaunchDate,"YES","")</f>
        <v/>
      </c>
      <c r="AO474" s="28" t="str">
        <f aca="false">IF(A474&lt;Hip4LaunchDate,"pre-launch","live (zero-fee)")</f>
        <v>pre-launch</v>
      </c>
      <c r="AP474" s="20"/>
      <c r="AQ474" s="20"/>
      <c r="AR474" s="20"/>
    </row>
    <row r="475" customFormat="false" ht="15" hidden="false" customHeight="false" outlineLevel="0" collapsed="false">
      <c r="A475" s="18" t="n">
        <v>45536</v>
      </c>
      <c r="B475" s="19" t="n">
        <v>578039498.21</v>
      </c>
      <c r="C475" s="19" t="n">
        <v>0</v>
      </c>
      <c r="D475" s="20"/>
      <c r="E475" s="21" t="n">
        <f aca="false">B475+C475</f>
        <v>578039498.21</v>
      </c>
      <c r="F475" s="21" t="n">
        <f aca="false">E475+D475</f>
        <v>578039498.21</v>
      </c>
      <c r="G475" s="22" t="n">
        <f aca="false">IFERROR(C475/E475,0)</f>
        <v>0</v>
      </c>
      <c r="H475" s="20"/>
      <c r="I475" s="20"/>
      <c r="J475" s="20"/>
      <c r="K475" s="21" t="n">
        <f aca="false">H475+I475</f>
        <v>0</v>
      </c>
      <c r="L475" s="20"/>
      <c r="M475" s="21" t="n">
        <f aca="false">H475-L475</f>
        <v>0</v>
      </c>
      <c r="N475" s="23" t="n">
        <f aca="false">IFERROR(M475/B475*10000,0)</f>
        <v>0</v>
      </c>
      <c r="O475" s="20"/>
      <c r="P475" s="20"/>
      <c r="Q475" s="21" t="n">
        <f aca="false">O475+P475</f>
        <v>0</v>
      </c>
      <c r="R475" s="22" t="n">
        <f aca="false">IF(A475&lt;HlpChangeDate,HlpSharePre,HlpSharePost)</f>
        <v>0.03</v>
      </c>
      <c r="S475" s="21" t="n">
        <f aca="false">Q475*R475/(1-R475)</f>
        <v>0</v>
      </c>
      <c r="T475" s="20"/>
      <c r="U475" s="21" t="n">
        <f aca="false">S475-T475</f>
        <v>0</v>
      </c>
      <c r="V475" s="21" t="n">
        <f aca="false">Y475-O475*R475/(1-R475)</f>
        <v>0</v>
      </c>
      <c r="W475" s="21" t="n">
        <f aca="false">Z475-P475*R475/(1-R475)</f>
        <v>0</v>
      </c>
      <c r="X475" s="21" t="n">
        <f aca="false">S475+V475+W475</f>
        <v>0</v>
      </c>
      <c r="Y475" s="20"/>
      <c r="Z475" s="20"/>
      <c r="AA475" s="19" t="n">
        <v>0</v>
      </c>
      <c r="AB475" s="20"/>
      <c r="AC475" s="20"/>
      <c r="AD475" s="24" t="n">
        <f aca="false">IFERROR(AA475/AC475,0)</f>
        <v>0</v>
      </c>
      <c r="AE475" s="25" t="n">
        <f aca="false">K475-Q475-X475</f>
        <v>0</v>
      </c>
      <c r="AF475" s="25" t="n">
        <f aca="false">Q475-AA475</f>
        <v>0</v>
      </c>
      <c r="AG475" s="20"/>
      <c r="AH475" s="26" t="n">
        <f aca="false">IFERROR(AG475/Q475,0)</f>
        <v>0</v>
      </c>
      <c r="AI475" s="27" t="n">
        <v>0</v>
      </c>
      <c r="AJ475" s="26" t="n">
        <f aca="false">IF(AI475&gt;0,AprCoef/SQRT(AI475),0)</f>
        <v>0</v>
      </c>
      <c r="AK475" s="24" t="n">
        <f aca="false">AI475*AJ475/365</f>
        <v>0</v>
      </c>
      <c r="AL475" s="24" t="n">
        <f aca="false">AD475</f>
        <v>0</v>
      </c>
      <c r="AM475" s="24" t="n">
        <f aca="false">AK475-AL475</f>
        <v>0</v>
      </c>
      <c r="AN475" s="28" t="str">
        <f aca="false">IF(A475&gt;=Hip3LaunchDate,"YES","")</f>
        <v/>
      </c>
      <c r="AO475" s="28" t="str">
        <f aca="false">IF(A475&lt;Hip4LaunchDate,"pre-launch","live (zero-fee)")</f>
        <v>pre-launch</v>
      </c>
      <c r="AP475" s="20"/>
      <c r="AQ475" s="20"/>
      <c r="AR475" s="20"/>
    </row>
    <row r="476" customFormat="false" ht="15" hidden="false" customHeight="false" outlineLevel="0" collapsed="false">
      <c r="A476" s="18" t="n">
        <v>45537</v>
      </c>
      <c r="B476" s="19" t="n">
        <v>846683237.41</v>
      </c>
      <c r="C476" s="19" t="n">
        <v>0</v>
      </c>
      <c r="D476" s="20"/>
      <c r="E476" s="21" t="n">
        <f aca="false">B476+C476</f>
        <v>846683237.41</v>
      </c>
      <c r="F476" s="21" t="n">
        <f aca="false">E476+D476</f>
        <v>846683237.41</v>
      </c>
      <c r="G476" s="22" t="n">
        <f aca="false">IFERROR(C476/E476,0)</f>
        <v>0</v>
      </c>
      <c r="H476" s="20"/>
      <c r="I476" s="20"/>
      <c r="J476" s="20"/>
      <c r="K476" s="21" t="n">
        <f aca="false">H476+I476</f>
        <v>0</v>
      </c>
      <c r="L476" s="20"/>
      <c r="M476" s="21" t="n">
        <f aca="false">H476-L476</f>
        <v>0</v>
      </c>
      <c r="N476" s="23" t="n">
        <f aca="false">IFERROR(M476/B476*10000,0)</f>
        <v>0</v>
      </c>
      <c r="O476" s="20"/>
      <c r="P476" s="20"/>
      <c r="Q476" s="21" t="n">
        <f aca="false">O476+P476</f>
        <v>0</v>
      </c>
      <c r="R476" s="22" t="n">
        <f aca="false">IF(A476&lt;HlpChangeDate,HlpSharePre,HlpSharePost)</f>
        <v>0.03</v>
      </c>
      <c r="S476" s="21" t="n">
        <f aca="false">Q476*R476/(1-R476)</f>
        <v>0</v>
      </c>
      <c r="T476" s="20"/>
      <c r="U476" s="21" t="n">
        <f aca="false">S476-T476</f>
        <v>0</v>
      </c>
      <c r="V476" s="21" t="n">
        <f aca="false">Y476-O476*R476/(1-R476)</f>
        <v>0</v>
      </c>
      <c r="W476" s="21" t="n">
        <f aca="false">Z476-P476*R476/(1-R476)</f>
        <v>0</v>
      </c>
      <c r="X476" s="21" t="n">
        <f aca="false">S476+V476+W476</f>
        <v>0</v>
      </c>
      <c r="Y476" s="20"/>
      <c r="Z476" s="20"/>
      <c r="AA476" s="19" t="n">
        <v>0</v>
      </c>
      <c r="AB476" s="20"/>
      <c r="AC476" s="20"/>
      <c r="AD476" s="24" t="n">
        <f aca="false">IFERROR(AA476/AC476,0)</f>
        <v>0</v>
      </c>
      <c r="AE476" s="25" t="n">
        <f aca="false">K476-Q476-X476</f>
        <v>0</v>
      </c>
      <c r="AF476" s="25" t="n">
        <f aca="false">Q476-AA476</f>
        <v>0</v>
      </c>
      <c r="AG476" s="20"/>
      <c r="AH476" s="26" t="n">
        <f aca="false">IFERROR(AG476/Q476,0)</f>
        <v>0</v>
      </c>
      <c r="AI476" s="27" t="n">
        <v>0</v>
      </c>
      <c r="AJ476" s="26" t="n">
        <f aca="false">IF(AI476&gt;0,AprCoef/SQRT(AI476),0)</f>
        <v>0</v>
      </c>
      <c r="AK476" s="24" t="n">
        <f aca="false">AI476*AJ476/365</f>
        <v>0</v>
      </c>
      <c r="AL476" s="24" t="n">
        <f aca="false">AD476</f>
        <v>0</v>
      </c>
      <c r="AM476" s="24" t="n">
        <f aca="false">AK476-AL476</f>
        <v>0</v>
      </c>
      <c r="AN476" s="28" t="str">
        <f aca="false">IF(A476&gt;=Hip3LaunchDate,"YES","")</f>
        <v/>
      </c>
      <c r="AO476" s="28" t="str">
        <f aca="false">IF(A476&lt;Hip4LaunchDate,"pre-launch","live (zero-fee)")</f>
        <v>pre-launch</v>
      </c>
      <c r="AP476" s="20"/>
      <c r="AQ476" s="20"/>
      <c r="AR476" s="20"/>
    </row>
    <row r="477" customFormat="false" ht="15" hidden="false" customHeight="false" outlineLevel="0" collapsed="false">
      <c r="A477" s="18" t="n">
        <v>45538</v>
      </c>
      <c r="B477" s="19" t="n">
        <v>854238540.1</v>
      </c>
      <c r="C477" s="19" t="n">
        <v>0</v>
      </c>
      <c r="D477" s="20"/>
      <c r="E477" s="21" t="n">
        <f aca="false">B477+C477</f>
        <v>854238540.1</v>
      </c>
      <c r="F477" s="21" t="n">
        <f aca="false">E477+D477</f>
        <v>854238540.1</v>
      </c>
      <c r="G477" s="22" t="n">
        <f aca="false">IFERROR(C477/E477,0)</f>
        <v>0</v>
      </c>
      <c r="H477" s="20"/>
      <c r="I477" s="20"/>
      <c r="J477" s="20"/>
      <c r="K477" s="21" t="n">
        <f aca="false">H477+I477</f>
        <v>0</v>
      </c>
      <c r="L477" s="20"/>
      <c r="M477" s="21" t="n">
        <f aca="false">H477-L477</f>
        <v>0</v>
      </c>
      <c r="N477" s="23" t="n">
        <f aca="false">IFERROR(M477/B477*10000,0)</f>
        <v>0</v>
      </c>
      <c r="O477" s="20"/>
      <c r="P477" s="20"/>
      <c r="Q477" s="21" t="n">
        <f aca="false">O477+P477</f>
        <v>0</v>
      </c>
      <c r="R477" s="22" t="n">
        <f aca="false">IF(A477&lt;HlpChangeDate,HlpSharePre,HlpSharePost)</f>
        <v>0.03</v>
      </c>
      <c r="S477" s="21" t="n">
        <f aca="false">Q477*R477/(1-R477)</f>
        <v>0</v>
      </c>
      <c r="T477" s="20"/>
      <c r="U477" s="21" t="n">
        <f aca="false">S477-T477</f>
        <v>0</v>
      </c>
      <c r="V477" s="21" t="n">
        <f aca="false">Y477-O477*R477/(1-R477)</f>
        <v>0</v>
      </c>
      <c r="W477" s="21" t="n">
        <f aca="false">Z477-P477*R477/(1-R477)</f>
        <v>0</v>
      </c>
      <c r="X477" s="21" t="n">
        <f aca="false">S477+V477+W477</f>
        <v>0</v>
      </c>
      <c r="Y477" s="20"/>
      <c r="Z477" s="20"/>
      <c r="AA477" s="19" t="n">
        <v>0</v>
      </c>
      <c r="AB477" s="20"/>
      <c r="AC477" s="20"/>
      <c r="AD477" s="24" t="n">
        <f aca="false">IFERROR(AA477/AC477,0)</f>
        <v>0</v>
      </c>
      <c r="AE477" s="25" t="n">
        <f aca="false">K477-Q477-X477</f>
        <v>0</v>
      </c>
      <c r="AF477" s="25" t="n">
        <f aca="false">Q477-AA477</f>
        <v>0</v>
      </c>
      <c r="AG477" s="20"/>
      <c r="AH477" s="26" t="n">
        <f aca="false">IFERROR(AG477/Q477,0)</f>
        <v>0</v>
      </c>
      <c r="AI477" s="27" t="n">
        <v>0</v>
      </c>
      <c r="AJ477" s="26" t="n">
        <f aca="false">IF(AI477&gt;0,AprCoef/SQRT(AI477),0)</f>
        <v>0</v>
      </c>
      <c r="AK477" s="24" t="n">
        <f aca="false">AI477*AJ477/365</f>
        <v>0</v>
      </c>
      <c r="AL477" s="24" t="n">
        <f aca="false">AD477</f>
        <v>0</v>
      </c>
      <c r="AM477" s="24" t="n">
        <f aca="false">AK477-AL477</f>
        <v>0</v>
      </c>
      <c r="AN477" s="28" t="str">
        <f aca="false">IF(A477&gt;=Hip3LaunchDate,"YES","")</f>
        <v/>
      </c>
      <c r="AO477" s="28" t="str">
        <f aca="false">IF(A477&lt;Hip4LaunchDate,"pre-launch","live (zero-fee)")</f>
        <v>pre-launch</v>
      </c>
      <c r="AP477" s="20"/>
      <c r="AQ477" s="20"/>
      <c r="AR477" s="20"/>
    </row>
    <row r="478" customFormat="false" ht="15" hidden="false" customHeight="false" outlineLevel="0" collapsed="false">
      <c r="A478" s="18" t="n">
        <v>45539</v>
      </c>
      <c r="B478" s="19" t="n">
        <v>1275862149.84</v>
      </c>
      <c r="C478" s="19" t="n">
        <v>0</v>
      </c>
      <c r="D478" s="20"/>
      <c r="E478" s="21" t="n">
        <f aca="false">B478+C478</f>
        <v>1275862149.84</v>
      </c>
      <c r="F478" s="21" t="n">
        <f aca="false">E478+D478</f>
        <v>1275862149.84</v>
      </c>
      <c r="G478" s="22" t="n">
        <f aca="false">IFERROR(C478/E478,0)</f>
        <v>0</v>
      </c>
      <c r="H478" s="20"/>
      <c r="I478" s="20"/>
      <c r="J478" s="20"/>
      <c r="K478" s="21" t="n">
        <f aca="false">H478+I478</f>
        <v>0</v>
      </c>
      <c r="L478" s="20"/>
      <c r="M478" s="21" t="n">
        <f aca="false">H478-L478</f>
        <v>0</v>
      </c>
      <c r="N478" s="23" t="n">
        <f aca="false">IFERROR(M478/B478*10000,0)</f>
        <v>0</v>
      </c>
      <c r="O478" s="20"/>
      <c r="P478" s="20"/>
      <c r="Q478" s="21" t="n">
        <f aca="false">O478+P478</f>
        <v>0</v>
      </c>
      <c r="R478" s="22" t="n">
        <f aca="false">IF(A478&lt;HlpChangeDate,HlpSharePre,HlpSharePost)</f>
        <v>0.03</v>
      </c>
      <c r="S478" s="21" t="n">
        <f aca="false">Q478*R478/(1-R478)</f>
        <v>0</v>
      </c>
      <c r="T478" s="20"/>
      <c r="U478" s="21" t="n">
        <f aca="false">S478-T478</f>
        <v>0</v>
      </c>
      <c r="V478" s="21" t="n">
        <f aca="false">Y478-O478*R478/(1-R478)</f>
        <v>0</v>
      </c>
      <c r="W478" s="21" t="n">
        <f aca="false">Z478-P478*R478/(1-R478)</f>
        <v>0</v>
      </c>
      <c r="X478" s="21" t="n">
        <f aca="false">S478+V478+W478</f>
        <v>0</v>
      </c>
      <c r="Y478" s="20"/>
      <c r="Z478" s="20"/>
      <c r="AA478" s="19" t="n">
        <v>0</v>
      </c>
      <c r="AB478" s="20"/>
      <c r="AC478" s="20"/>
      <c r="AD478" s="24" t="n">
        <f aca="false">IFERROR(AA478/AC478,0)</f>
        <v>0</v>
      </c>
      <c r="AE478" s="25" t="n">
        <f aca="false">K478-Q478-X478</f>
        <v>0</v>
      </c>
      <c r="AF478" s="25" t="n">
        <f aca="false">Q478-AA478</f>
        <v>0</v>
      </c>
      <c r="AG478" s="20"/>
      <c r="AH478" s="26" t="n">
        <f aca="false">IFERROR(AG478/Q478,0)</f>
        <v>0</v>
      </c>
      <c r="AI478" s="27" t="n">
        <v>0</v>
      </c>
      <c r="AJ478" s="26" t="n">
        <f aca="false">IF(AI478&gt;0,AprCoef/SQRT(AI478),0)</f>
        <v>0</v>
      </c>
      <c r="AK478" s="24" t="n">
        <f aca="false">AI478*AJ478/365</f>
        <v>0</v>
      </c>
      <c r="AL478" s="24" t="n">
        <f aca="false">AD478</f>
        <v>0</v>
      </c>
      <c r="AM478" s="24" t="n">
        <f aca="false">AK478-AL478</f>
        <v>0</v>
      </c>
      <c r="AN478" s="28" t="str">
        <f aca="false">IF(A478&gt;=Hip3LaunchDate,"YES","")</f>
        <v/>
      </c>
      <c r="AO478" s="28" t="str">
        <f aca="false">IF(A478&lt;Hip4LaunchDate,"pre-launch","live (zero-fee)")</f>
        <v>pre-launch</v>
      </c>
      <c r="AP478" s="20"/>
      <c r="AQ478" s="20"/>
      <c r="AR478" s="20"/>
    </row>
    <row r="479" customFormat="false" ht="15" hidden="false" customHeight="false" outlineLevel="0" collapsed="false">
      <c r="A479" s="18" t="n">
        <v>45540</v>
      </c>
      <c r="B479" s="19" t="n">
        <v>878894865.77</v>
      </c>
      <c r="C479" s="19" t="n">
        <v>0</v>
      </c>
      <c r="D479" s="20"/>
      <c r="E479" s="21" t="n">
        <f aca="false">B479+C479</f>
        <v>878894865.77</v>
      </c>
      <c r="F479" s="21" t="n">
        <f aca="false">E479+D479</f>
        <v>878894865.77</v>
      </c>
      <c r="G479" s="22" t="n">
        <f aca="false">IFERROR(C479/E479,0)</f>
        <v>0</v>
      </c>
      <c r="H479" s="20"/>
      <c r="I479" s="20"/>
      <c r="J479" s="20"/>
      <c r="K479" s="21" t="n">
        <f aca="false">H479+I479</f>
        <v>0</v>
      </c>
      <c r="L479" s="20"/>
      <c r="M479" s="21" t="n">
        <f aca="false">H479-L479</f>
        <v>0</v>
      </c>
      <c r="N479" s="23" t="n">
        <f aca="false">IFERROR(M479/B479*10000,0)</f>
        <v>0</v>
      </c>
      <c r="O479" s="20"/>
      <c r="P479" s="20"/>
      <c r="Q479" s="21" t="n">
        <f aca="false">O479+P479</f>
        <v>0</v>
      </c>
      <c r="R479" s="22" t="n">
        <f aca="false">IF(A479&lt;HlpChangeDate,HlpSharePre,HlpSharePost)</f>
        <v>0.03</v>
      </c>
      <c r="S479" s="21" t="n">
        <f aca="false">Q479*R479/(1-R479)</f>
        <v>0</v>
      </c>
      <c r="T479" s="20"/>
      <c r="U479" s="21" t="n">
        <f aca="false">S479-T479</f>
        <v>0</v>
      </c>
      <c r="V479" s="21" t="n">
        <f aca="false">Y479-O479*R479/(1-R479)</f>
        <v>0</v>
      </c>
      <c r="W479" s="21" t="n">
        <f aca="false">Z479-P479*R479/(1-R479)</f>
        <v>0</v>
      </c>
      <c r="X479" s="21" t="n">
        <f aca="false">S479+V479+W479</f>
        <v>0</v>
      </c>
      <c r="Y479" s="20"/>
      <c r="Z479" s="20"/>
      <c r="AA479" s="19" t="n">
        <v>0</v>
      </c>
      <c r="AB479" s="20"/>
      <c r="AC479" s="20"/>
      <c r="AD479" s="24" t="n">
        <f aca="false">IFERROR(AA479/AC479,0)</f>
        <v>0</v>
      </c>
      <c r="AE479" s="25" t="n">
        <f aca="false">K479-Q479-X479</f>
        <v>0</v>
      </c>
      <c r="AF479" s="25" t="n">
        <f aca="false">Q479-AA479</f>
        <v>0</v>
      </c>
      <c r="AG479" s="20"/>
      <c r="AH479" s="26" t="n">
        <f aca="false">IFERROR(AG479/Q479,0)</f>
        <v>0</v>
      </c>
      <c r="AI479" s="27" t="n">
        <v>0</v>
      </c>
      <c r="AJ479" s="26" t="n">
        <f aca="false">IF(AI479&gt;0,AprCoef/SQRT(AI479),0)</f>
        <v>0</v>
      </c>
      <c r="AK479" s="24" t="n">
        <f aca="false">AI479*AJ479/365</f>
        <v>0</v>
      </c>
      <c r="AL479" s="24" t="n">
        <f aca="false">AD479</f>
        <v>0</v>
      </c>
      <c r="AM479" s="24" t="n">
        <f aca="false">AK479-AL479</f>
        <v>0</v>
      </c>
      <c r="AN479" s="28" t="str">
        <f aca="false">IF(A479&gt;=Hip3LaunchDate,"YES","")</f>
        <v/>
      </c>
      <c r="AO479" s="28" t="str">
        <f aca="false">IF(A479&lt;Hip4LaunchDate,"pre-launch","live (zero-fee)")</f>
        <v>pre-launch</v>
      </c>
      <c r="AP479" s="20"/>
      <c r="AQ479" s="20"/>
      <c r="AR479" s="20"/>
    </row>
    <row r="480" customFormat="false" ht="15" hidden="false" customHeight="false" outlineLevel="0" collapsed="false">
      <c r="A480" s="18" t="n">
        <v>45541</v>
      </c>
      <c r="B480" s="19" t="n">
        <v>1433256773.81</v>
      </c>
      <c r="C480" s="19" t="n">
        <v>0</v>
      </c>
      <c r="D480" s="20"/>
      <c r="E480" s="21" t="n">
        <f aca="false">B480+C480</f>
        <v>1433256773.81</v>
      </c>
      <c r="F480" s="21" t="n">
        <f aca="false">E480+D480</f>
        <v>1433256773.81</v>
      </c>
      <c r="G480" s="22" t="n">
        <f aca="false">IFERROR(C480/E480,0)</f>
        <v>0</v>
      </c>
      <c r="H480" s="20"/>
      <c r="I480" s="20"/>
      <c r="J480" s="20"/>
      <c r="K480" s="21" t="n">
        <f aca="false">H480+I480</f>
        <v>0</v>
      </c>
      <c r="L480" s="20"/>
      <c r="M480" s="21" t="n">
        <f aca="false">H480-L480</f>
        <v>0</v>
      </c>
      <c r="N480" s="23" t="n">
        <f aca="false">IFERROR(M480/B480*10000,0)</f>
        <v>0</v>
      </c>
      <c r="O480" s="20"/>
      <c r="P480" s="20"/>
      <c r="Q480" s="21" t="n">
        <f aca="false">O480+P480</f>
        <v>0</v>
      </c>
      <c r="R480" s="22" t="n">
        <f aca="false">IF(A480&lt;HlpChangeDate,HlpSharePre,HlpSharePost)</f>
        <v>0.03</v>
      </c>
      <c r="S480" s="21" t="n">
        <f aca="false">Q480*R480/(1-R480)</f>
        <v>0</v>
      </c>
      <c r="T480" s="20"/>
      <c r="U480" s="21" t="n">
        <f aca="false">S480-T480</f>
        <v>0</v>
      </c>
      <c r="V480" s="21" t="n">
        <f aca="false">Y480-O480*R480/(1-R480)</f>
        <v>0</v>
      </c>
      <c r="W480" s="21" t="n">
        <f aca="false">Z480-P480*R480/(1-R480)</f>
        <v>0</v>
      </c>
      <c r="X480" s="21" t="n">
        <f aca="false">S480+V480+W480</f>
        <v>0</v>
      </c>
      <c r="Y480" s="20"/>
      <c r="Z480" s="20"/>
      <c r="AA480" s="19" t="n">
        <v>0</v>
      </c>
      <c r="AB480" s="20"/>
      <c r="AC480" s="20"/>
      <c r="AD480" s="24" t="n">
        <f aca="false">IFERROR(AA480/AC480,0)</f>
        <v>0</v>
      </c>
      <c r="AE480" s="25" t="n">
        <f aca="false">K480-Q480-X480</f>
        <v>0</v>
      </c>
      <c r="AF480" s="25" t="n">
        <f aca="false">Q480-AA480</f>
        <v>0</v>
      </c>
      <c r="AG480" s="20"/>
      <c r="AH480" s="26" t="n">
        <f aca="false">IFERROR(AG480/Q480,0)</f>
        <v>0</v>
      </c>
      <c r="AI480" s="27" t="n">
        <v>0</v>
      </c>
      <c r="AJ480" s="26" t="n">
        <f aca="false">IF(AI480&gt;0,AprCoef/SQRT(AI480),0)</f>
        <v>0</v>
      </c>
      <c r="AK480" s="24" t="n">
        <f aca="false">AI480*AJ480/365</f>
        <v>0</v>
      </c>
      <c r="AL480" s="24" t="n">
        <f aca="false">AD480</f>
        <v>0</v>
      </c>
      <c r="AM480" s="24" t="n">
        <f aca="false">AK480-AL480</f>
        <v>0</v>
      </c>
      <c r="AN480" s="28" t="str">
        <f aca="false">IF(A480&gt;=Hip3LaunchDate,"YES","")</f>
        <v/>
      </c>
      <c r="AO480" s="28" t="str">
        <f aca="false">IF(A480&lt;Hip4LaunchDate,"pre-launch","live (zero-fee)")</f>
        <v>pre-launch</v>
      </c>
      <c r="AP480" s="20"/>
      <c r="AQ480" s="20"/>
      <c r="AR480" s="20"/>
    </row>
    <row r="481" customFormat="false" ht="15" hidden="false" customHeight="false" outlineLevel="0" collapsed="false">
      <c r="A481" s="18" t="n">
        <v>45542</v>
      </c>
      <c r="B481" s="19" t="n">
        <v>513991172.76</v>
      </c>
      <c r="C481" s="19" t="n">
        <v>0</v>
      </c>
      <c r="D481" s="20"/>
      <c r="E481" s="21" t="n">
        <f aca="false">B481+C481</f>
        <v>513991172.76</v>
      </c>
      <c r="F481" s="21" t="n">
        <f aca="false">E481+D481</f>
        <v>513991172.76</v>
      </c>
      <c r="G481" s="22" t="n">
        <f aca="false">IFERROR(C481/E481,0)</f>
        <v>0</v>
      </c>
      <c r="H481" s="20"/>
      <c r="I481" s="20"/>
      <c r="J481" s="20"/>
      <c r="K481" s="21" t="n">
        <f aca="false">H481+I481</f>
        <v>0</v>
      </c>
      <c r="L481" s="20"/>
      <c r="M481" s="21" t="n">
        <f aca="false">H481-L481</f>
        <v>0</v>
      </c>
      <c r="N481" s="23" t="n">
        <f aca="false">IFERROR(M481/B481*10000,0)</f>
        <v>0</v>
      </c>
      <c r="O481" s="20"/>
      <c r="P481" s="20"/>
      <c r="Q481" s="21" t="n">
        <f aca="false">O481+P481</f>
        <v>0</v>
      </c>
      <c r="R481" s="22" t="n">
        <f aca="false">IF(A481&lt;HlpChangeDate,HlpSharePre,HlpSharePost)</f>
        <v>0.03</v>
      </c>
      <c r="S481" s="21" t="n">
        <f aca="false">Q481*R481/(1-R481)</f>
        <v>0</v>
      </c>
      <c r="T481" s="20"/>
      <c r="U481" s="21" t="n">
        <f aca="false">S481-T481</f>
        <v>0</v>
      </c>
      <c r="V481" s="21" t="n">
        <f aca="false">Y481-O481*R481/(1-R481)</f>
        <v>0</v>
      </c>
      <c r="W481" s="21" t="n">
        <f aca="false">Z481-P481*R481/(1-R481)</f>
        <v>0</v>
      </c>
      <c r="X481" s="21" t="n">
        <f aca="false">S481+V481+W481</f>
        <v>0</v>
      </c>
      <c r="Y481" s="20"/>
      <c r="Z481" s="20"/>
      <c r="AA481" s="19" t="n">
        <v>0</v>
      </c>
      <c r="AB481" s="20"/>
      <c r="AC481" s="20"/>
      <c r="AD481" s="24" t="n">
        <f aca="false">IFERROR(AA481/AC481,0)</f>
        <v>0</v>
      </c>
      <c r="AE481" s="25" t="n">
        <f aca="false">K481-Q481-X481</f>
        <v>0</v>
      </c>
      <c r="AF481" s="25" t="n">
        <f aca="false">Q481-AA481</f>
        <v>0</v>
      </c>
      <c r="AG481" s="20"/>
      <c r="AH481" s="26" t="n">
        <f aca="false">IFERROR(AG481/Q481,0)</f>
        <v>0</v>
      </c>
      <c r="AI481" s="27" t="n">
        <v>0</v>
      </c>
      <c r="AJ481" s="26" t="n">
        <f aca="false">IF(AI481&gt;0,AprCoef/SQRT(AI481),0)</f>
        <v>0</v>
      </c>
      <c r="AK481" s="24" t="n">
        <f aca="false">AI481*AJ481/365</f>
        <v>0</v>
      </c>
      <c r="AL481" s="24" t="n">
        <f aca="false">AD481</f>
        <v>0</v>
      </c>
      <c r="AM481" s="24" t="n">
        <f aca="false">AK481-AL481</f>
        <v>0</v>
      </c>
      <c r="AN481" s="28" t="str">
        <f aca="false">IF(A481&gt;=Hip3LaunchDate,"YES","")</f>
        <v/>
      </c>
      <c r="AO481" s="28" t="str">
        <f aca="false">IF(A481&lt;Hip4LaunchDate,"pre-launch","live (zero-fee)")</f>
        <v>pre-launch</v>
      </c>
      <c r="AP481" s="20"/>
      <c r="AQ481" s="20"/>
      <c r="AR481" s="20"/>
    </row>
    <row r="482" customFormat="false" ht="15" hidden="false" customHeight="false" outlineLevel="0" collapsed="false">
      <c r="A482" s="18" t="n">
        <v>45543</v>
      </c>
      <c r="B482" s="19" t="n">
        <v>598642025.44</v>
      </c>
      <c r="C482" s="19" t="n">
        <v>0</v>
      </c>
      <c r="D482" s="20"/>
      <c r="E482" s="21" t="n">
        <f aca="false">B482+C482</f>
        <v>598642025.44</v>
      </c>
      <c r="F482" s="21" t="n">
        <f aca="false">E482+D482</f>
        <v>598642025.44</v>
      </c>
      <c r="G482" s="22" t="n">
        <f aca="false">IFERROR(C482/E482,0)</f>
        <v>0</v>
      </c>
      <c r="H482" s="20"/>
      <c r="I482" s="20"/>
      <c r="J482" s="20"/>
      <c r="K482" s="21" t="n">
        <f aca="false">H482+I482</f>
        <v>0</v>
      </c>
      <c r="L482" s="20"/>
      <c r="M482" s="21" t="n">
        <f aca="false">H482-L482</f>
        <v>0</v>
      </c>
      <c r="N482" s="23" t="n">
        <f aca="false">IFERROR(M482/B482*10000,0)</f>
        <v>0</v>
      </c>
      <c r="O482" s="20"/>
      <c r="P482" s="20"/>
      <c r="Q482" s="21" t="n">
        <f aca="false">O482+P482</f>
        <v>0</v>
      </c>
      <c r="R482" s="22" t="n">
        <f aca="false">IF(A482&lt;HlpChangeDate,HlpSharePre,HlpSharePost)</f>
        <v>0.03</v>
      </c>
      <c r="S482" s="21" t="n">
        <f aca="false">Q482*R482/(1-R482)</f>
        <v>0</v>
      </c>
      <c r="T482" s="20"/>
      <c r="U482" s="21" t="n">
        <f aca="false">S482-T482</f>
        <v>0</v>
      </c>
      <c r="V482" s="21" t="n">
        <f aca="false">Y482-O482*R482/(1-R482)</f>
        <v>0</v>
      </c>
      <c r="W482" s="21" t="n">
        <f aca="false">Z482-P482*R482/(1-R482)</f>
        <v>0</v>
      </c>
      <c r="X482" s="21" t="n">
        <f aca="false">S482+V482+W482</f>
        <v>0</v>
      </c>
      <c r="Y482" s="20"/>
      <c r="Z482" s="20"/>
      <c r="AA482" s="19" t="n">
        <v>0</v>
      </c>
      <c r="AB482" s="20"/>
      <c r="AC482" s="20"/>
      <c r="AD482" s="24" t="n">
        <f aca="false">IFERROR(AA482/AC482,0)</f>
        <v>0</v>
      </c>
      <c r="AE482" s="25" t="n">
        <f aca="false">K482-Q482-X482</f>
        <v>0</v>
      </c>
      <c r="AF482" s="25" t="n">
        <f aca="false">Q482-AA482</f>
        <v>0</v>
      </c>
      <c r="AG482" s="20"/>
      <c r="AH482" s="26" t="n">
        <f aca="false">IFERROR(AG482/Q482,0)</f>
        <v>0</v>
      </c>
      <c r="AI482" s="27" t="n">
        <v>0</v>
      </c>
      <c r="AJ482" s="26" t="n">
        <f aca="false">IF(AI482&gt;0,AprCoef/SQRT(AI482),0)</f>
        <v>0</v>
      </c>
      <c r="AK482" s="24" t="n">
        <f aca="false">AI482*AJ482/365</f>
        <v>0</v>
      </c>
      <c r="AL482" s="24" t="n">
        <f aca="false">AD482</f>
        <v>0</v>
      </c>
      <c r="AM482" s="24" t="n">
        <f aca="false">AK482-AL482</f>
        <v>0</v>
      </c>
      <c r="AN482" s="28" t="str">
        <f aca="false">IF(A482&gt;=Hip3LaunchDate,"YES","")</f>
        <v/>
      </c>
      <c r="AO482" s="28" t="str">
        <f aca="false">IF(A482&lt;Hip4LaunchDate,"pre-launch","live (zero-fee)")</f>
        <v>pre-launch</v>
      </c>
      <c r="AP482" s="20"/>
      <c r="AQ482" s="20"/>
      <c r="AR482" s="20"/>
    </row>
    <row r="483" customFormat="false" ht="15" hidden="false" customHeight="false" outlineLevel="0" collapsed="false">
      <c r="A483" s="18" t="n">
        <v>45544</v>
      </c>
      <c r="B483" s="19" t="n">
        <v>1074233987.36</v>
      </c>
      <c r="C483" s="19" t="n">
        <v>0</v>
      </c>
      <c r="D483" s="20"/>
      <c r="E483" s="21" t="n">
        <f aca="false">B483+C483</f>
        <v>1074233987.36</v>
      </c>
      <c r="F483" s="21" t="n">
        <f aca="false">E483+D483</f>
        <v>1074233987.36</v>
      </c>
      <c r="G483" s="22" t="n">
        <f aca="false">IFERROR(C483/E483,0)</f>
        <v>0</v>
      </c>
      <c r="H483" s="20"/>
      <c r="I483" s="20"/>
      <c r="J483" s="20"/>
      <c r="K483" s="21" t="n">
        <f aca="false">H483+I483</f>
        <v>0</v>
      </c>
      <c r="L483" s="20"/>
      <c r="M483" s="21" t="n">
        <f aca="false">H483-L483</f>
        <v>0</v>
      </c>
      <c r="N483" s="23" t="n">
        <f aca="false">IFERROR(M483/B483*10000,0)</f>
        <v>0</v>
      </c>
      <c r="O483" s="20"/>
      <c r="P483" s="20"/>
      <c r="Q483" s="21" t="n">
        <f aca="false">O483+P483</f>
        <v>0</v>
      </c>
      <c r="R483" s="22" t="n">
        <f aca="false">IF(A483&lt;HlpChangeDate,HlpSharePre,HlpSharePost)</f>
        <v>0.03</v>
      </c>
      <c r="S483" s="21" t="n">
        <f aca="false">Q483*R483/(1-R483)</f>
        <v>0</v>
      </c>
      <c r="T483" s="20"/>
      <c r="U483" s="21" t="n">
        <f aca="false">S483-T483</f>
        <v>0</v>
      </c>
      <c r="V483" s="21" t="n">
        <f aca="false">Y483-O483*R483/(1-R483)</f>
        <v>0</v>
      </c>
      <c r="W483" s="21" t="n">
        <f aca="false">Z483-P483*R483/(1-R483)</f>
        <v>0</v>
      </c>
      <c r="X483" s="21" t="n">
        <f aca="false">S483+V483+W483</f>
        <v>0</v>
      </c>
      <c r="Y483" s="20"/>
      <c r="Z483" s="20"/>
      <c r="AA483" s="19" t="n">
        <v>0</v>
      </c>
      <c r="AB483" s="20"/>
      <c r="AC483" s="20"/>
      <c r="AD483" s="24" t="n">
        <f aca="false">IFERROR(AA483/AC483,0)</f>
        <v>0</v>
      </c>
      <c r="AE483" s="25" t="n">
        <f aca="false">K483-Q483-X483</f>
        <v>0</v>
      </c>
      <c r="AF483" s="25" t="n">
        <f aca="false">Q483-AA483</f>
        <v>0</v>
      </c>
      <c r="AG483" s="20"/>
      <c r="AH483" s="26" t="n">
        <f aca="false">IFERROR(AG483/Q483,0)</f>
        <v>0</v>
      </c>
      <c r="AI483" s="27" t="n">
        <v>0</v>
      </c>
      <c r="AJ483" s="26" t="n">
        <f aca="false">IF(AI483&gt;0,AprCoef/SQRT(AI483),0)</f>
        <v>0</v>
      </c>
      <c r="AK483" s="24" t="n">
        <f aca="false">AI483*AJ483/365</f>
        <v>0</v>
      </c>
      <c r="AL483" s="24" t="n">
        <f aca="false">AD483</f>
        <v>0</v>
      </c>
      <c r="AM483" s="24" t="n">
        <f aca="false">AK483-AL483</f>
        <v>0</v>
      </c>
      <c r="AN483" s="28" t="str">
        <f aca="false">IF(A483&gt;=Hip3LaunchDate,"YES","")</f>
        <v/>
      </c>
      <c r="AO483" s="28" t="str">
        <f aca="false">IF(A483&lt;Hip4LaunchDate,"pre-launch","live (zero-fee)")</f>
        <v>pre-launch</v>
      </c>
      <c r="AP483" s="20"/>
      <c r="AQ483" s="20"/>
      <c r="AR483" s="20"/>
    </row>
    <row r="484" customFormat="false" ht="15" hidden="false" customHeight="false" outlineLevel="0" collapsed="false">
      <c r="A484" s="18" t="n">
        <v>45545</v>
      </c>
      <c r="B484" s="19" t="n">
        <v>855579277.11</v>
      </c>
      <c r="C484" s="19" t="n">
        <v>0</v>
      </c>
      <c r="D484" s="20"/>
      <c r="E484" s="21" t="n">
        <f aca="false">B484+C484</f>
        <v>855579277.11</v>
      </c>
      <c r="F484" s="21" t="n">
        <f aca="false">E484+D484</f>
        <v>855579277.11</v>
      </c>
      <c r="G484" s="22" t="n">
        <f aca="false">IFERROR(C484/E484,0)</f>
        <v>0</v>
      </c>
      <c r="H484" s="20"/>
      <c r="I484" s="20"/>
      <c r="J484" s="20"/>
      <c r="K484" s="21" t="n">
        <f aca="false">H484+I484</f>
        <v>0</v>
      </c>
      <c r="L484" s="20"/>
      <c r="M484" s="21" t="n">
        <f aca="false">H484-L484</f>
        <v>0</v>
      </c>
      <c r="N484" s="23" t="n">
        <f aca="false">IFERROR(M484/B484*10000,0)</f>
        <v>0</v>
      </c>
      <c r="O484" s="20"/>
      <c r="P484" s="20"/>
      <c r="Q484" s="21" t="n">
        <f aca="false">O484+P484</f>
        <v>0</v>
      </c>
      <c r="R484" s="22" t="n">
        <f aca="false">IF(A484&lt;HlpChangeDate,HlpSharePre,HlpSharePost)</f>
        <v>0.03</v>
      </c>
      <c r="S484" s="21" t="n">
        <f aca="false">Q484*R484/(1-R484)</f>
        <v>0</v>
      </c>
      <c r="T484" s="20"/>
      <c r="U484" s="21" t="n">
        <f aca="false">S484-T484</f>
        <v>0</v>
      </c>
      <c r="V484" s="21" t="n">
        <f aca="false">Y484-O484*R484/(1-R484)</f>
        <v>0</v>
      </c>
      <c r="W484" s="21" t="n">
        <f aca="false">Z484-P484*R484/(1-R484)</f>
        <v>0</v>
      </c>
      <c r="X484" s="21" t="n">
        <f aca="false">S484+V484+W484</f>
        <v>0</v>
      </c>
      <c r="Y484" s="20"/>
      <c r="Z484" s="20"/>
      <c r="AA484" s="19" t="n">
        <v>0</v>
      </c>
      <c r="AB484" s="20"/>
      <c r="AC484" s="20"/>
      <c r="AD484" s="24" t="n">
        <f aca="false">IFERROR(AA484/AC484,0)</f>
        <v>0</v>
      </c>
      <c r="AE484" s="25" t="n">
        <f aca="false">K484-Q484-X484</f>
        <v>0</v>
      </c>
      <c r="AF484" s="25" t="n">
        <f aca="false">Q484-AA484</f>
        <v>0</v>
      </c>
      <c r="AG484" s="20"/>
      <c r="AH484" s="26" t="n">
        <f aca="false">IFERROR(AG484/Q484,0)</f>
        <v>0</v>
      </c>
      <c r="AI484" s="27" t="n">
        <v>0</v>
      </c>
      <c r="AJ484" s="26" t="n">
        <f aca="false">IF(AI484&gt;0,AprCoef/SQRT(AI484),0)</f>
        <v>0</v>
      </c>
      <c r="AK484" s="24" t="n">
        <f aca="false">AI484*AJ484/365</f>
        <v>0</v>
      </c>
      <c r="AL484" s="24" t="n">
        <f aca="false">AD484</f>
        <v>0</v>
      </c>
      <c r="AM484" s="24" t="n">
        <f aca="false">AK484-AL484</f>
        <v>0</v>
      </c>
      <c r="AN484" s="28" t="str">
        <f aca="false">IF(A484&gt;=Hip3LaunchDate,"YES","")</f>
        <v/>
      </c>
      <c r="AO484" s="28" t="str">
        <f aca="false">IF(A484&lt;Hip4LaunchDate,"pre-launch","live (zero-fee)")</f>
        <v>pre-launch</v>
      </c>
      <c r="AP484" s="20"/>
      <c r="AQ484" s="20"/>
      <c r="AR484" s="20"/>
    </row>
    <row r="485" customFormat="false" ht="15" hidden="false" customHeight="false" outlineLevel="0" collapsed="false">
      <c r="A485" s="18" t="n">
        <v>45546</v>
      </c>
      <c r="B485" s="19" t="n">
        <v>1041841157.59</v>
      </c>
      <c r="C485" s="19" t="n">
        <v>0</v>
      </c>
      <c r="D485" s="20"/>
      <c r="E485" s="21" t="n">
        <f aca="false">B485+C485</f>
        <v>1041841157.59</v>
      </c>
      <c r="F485" s="21" t="n">
        <f aca="false">E485+D485</f>
        <v>1041841157.59</v>
      </c>
      <c r="G485" s="22" t="n">
        <f aca="false">IFERROR(C485/E485,0)</f>
        <v>0</v>
      </c>
      <c r="H485" s="20"/>
      <c r="I485" s="20"/>
      <c r="J485" s="20"/>
      <c r="K485" s="21" t="n">
        <f aca="false">H485+I485</f>
        <v>0</v>
      </c>
      <c r="L485" s="20"/>
      <c r="M485" s="21" t="n">
        <f aca="false">H485-L485</f>
        <v>0</v>
      </c>
      <c r="N485" s="23" t="n">
        <f aca="false">IFERROR(M485/B485*10000,0)</f>
        <v>0</v>
      </c>
      <c r="O485" s="20"/>
      <c r="P485" s="20"/>
      <c r="Q485" s="21" t="n">
        <f aca="false">O485+P485</f>
        <v>0</v>
      </c>
      <c r="R485" s="22" t="n">
        <f aca="false">IF(A485&lt;HlpChangeDate,HlpSharePre,HlpSharePost)</f>
        <v>0.03</v>
      </c>
      <c r="S485" s="21" t="n">
        <f aca="false">Q485*R485/(1-R485)</f>
        <v>0</v>
      </c>
      <c r="T485" s="20"/>
      <c r="U485" s="21" t="n">
        <f aca="false">S485-T485</f>
        <v>0</v>
      </c>
      <c r="V485" s="21" t="n">
        <f aca="false">Y485-O485*R485/(1-R485)</f>
        <v>0</v>
      </c>
      <c r="W485" s="21" t="n">
        <f aca="false">Z485-P485*R485/(1-R485)</f>
        <v>0</v>
      </c>
      <c r="X485" s="21" t="n">
        <f aca="false">S485+V485+W485</f>
        <v>0</v>
      </c>
      <c r="Y485" s="20"/>
      <c r="Z485" s="20"/>
      <c r="AA485" s="19" t="n">
        <v>0</v>
      </c>
      <c r="AB485" s="20"/>
      <c r="AC485" s="20"/>
      <c r="AD485" s="24" t="n">
        <f aca="false">IFERROR(AA485/AC485,0)</f>
        <v>0</v>
      </c>
      <c r="AE485" s="25" t="n">
        <f aca="false">K485-Q485-X485</f>
        <v>0</v>
      </c>
      <c r="AF485" s="25" t="n">
        <f aca="false">Q485-AA485</f>
        <v>0</v>
      </c>
      <c r="AG485" s="20"/>
      <c r="AH485" s="26" t="n">
        <f aca="false">IFERROR(AG485/Q485,0)</f>
        <v>0</v>
      </c>
      <c r="AI485" s="27" t="n">
        <v>0</v>
      </c>
      <c r="AJ485" s="26" t="n">
        <f aca="false">IF(AI485&gt;0,AprCoef/SQRT(AI485),0)</f>
        <v>0</v>
      </c>
      <c r="AK485" s="24" t="n">
        <f aca="false">AI485*AJ485/365</f>
        <v>0</v>
      </c>
      <c r="AL485" s="24" t="n">
        <f aca="false">AD485</f>
        <v>0</v>
      </c>
      <c r="AM485" s="24" t="n">
        <f aca="false">AK485-AL485</f>
        <v>0</v>
      </c>
      <c r="AN485" s="28" t="str">
        <f aca="false">IF(A485&gt;=Hip3LaunchDate,"YES","")</f>
        <v/>
      </c>
      <c r="AO485" s="28" t="str">
        <f aca="false">IF(A485&lt;Hip4LaunchDate,"pre-launch","live (zero-fee)")</f>
        <v>pre-launch</v>
      </c>
      <c r="AP485" s="20"/>
      <c r="AQ485" s="20"/>
      <c r="AR485" s="20"/>
    </row>
    <row r="486" customFormat="false" ht="15" hidden="false" customHeight="false" outlineLevel="0" collapsed="false">
      <c r="A486" s="18" t="n">
        <v>45547</v>
      </c>
      <c r="B486" s="19" t="n">
        <v>919048081.64</v>
      </c>
      <c r="C486" s="19" t="n">
        <v>0</v>
      </c>
      <c r="D486" s="20"/>
      <c r="E486" s="21" t="n">
        <f aca="false">B486+C486</f>
        <v>919048081.64</v>
      </c>
      <c r="F486" s="21" t="n">
        <f aca="false">E486+D486</f>
        <v>919048081.64</v>
      </c>
      <c r="G486" s="22" t="n">
        <f aca="false">IFERROR(C486/E486,0)</f>
        <v>0</v>
      </c>
      <c r="H486" s="20"/>
      <c r="I486" s="20"/>
      <c r="J486" s="20"/>
      <c r="K486" s="21" t="n">
        <f aca="false">H486+I486</f>
        <v>0</v>
      </c>
      <c r="L486" s="20"/>
      <c r="M486" s="21" t="n">
        <f aca="false">H486-L486</f>
        <v>0</v>
      </c>
      <c r="N486" s="23" t="n">
        <f aca="false">IFERROR(M486/B486*10000,0)</f>
        <v>0</v>
      </c>
      <c r="O486" s="20"/>
      <c r="P486" s="20"/>
      <c r="Q486" s="21" t="n">
        <f aca="false">O486+P486</f>
        <v>0</v>
      </c>
      <c r="R486" s="22" t="n">
        <f aca="false">IF(A486&lt;HlpChangeDate,HlpSharePre,HlpSharePost)</f>
        <v>0.03</v>
      </c>
      <c r="S486" s="21" t="n">
        <f aca="false">Q486*R486/(1-R486)</f>
        <v>0</v>
      </c>
      <c r="T486" s="20"/>
      <c r="U486" s="21" t="n">
        <f aca="false">S486-T486</f>
        <v>0</v>
      </c>
      <c r="V486" s="21" t="n">
        <f aca="false">Y486-O486*R486/(1-R486)</f>
        <v>0</v>
      </c>
      <c r="W486" s="21" t="n">
        <f aca="false">Z486-P486*R486/(1-R486)</f>
        <v>0</v>
      </c>
      <c r="X486" s="21" t="n">
        <f aca="false">S486+V486+W486</f>
        <v>0</v>
      </c>
      <c r="Y486" s="20"/>
      <c r="Z486" s="20"/>
      <c r="AA486" s="19" t="n">
        <v>0</v>
      </c>
      <c r="AB486" s="20"/>
      <c r="AC486" s="20"/>
      <c r="AD486" s="24" t="n">
        <f aca="false">IFERROR(AA486/AC486,0)</f>
        <v>0</v>
      </c>
      <c r="AE486" s="25" t="n">
        <f aca="false">K486-Q486-X486</f>
        <v>0</v>
      </c>
      <c r="AF486" s="25" t="n">
        <f aca="false">Q486-AA486</f>
        <v>0</v>
      </c>
      <c r="AG486" s="20"/>
      <c r="AH486" s="26" t="n">
        <f aca="false">IFERROR(AG486/Q486,0)</f>
        <v>0</v>
      </c>
      <c r="AI486" s="27" t="n">
        <v>0</v>
      </c>
      <c r="AJ486" s="26" t="n">
        <f aca="false">IF(AI486&gt;0,AprCoef/SQRT(AI486),0)</f>
        <v>0</v>
      </c>
      <c r="AK486" s="24" t="n">
        <f aca="false">AI486*AJ486/365</f>
        <v>0</v>
      </c>
      <c r="AL486" s="24" t="n">
        <f aca="false">AD486</f>
        <v>0</v>
      </c>
      <c r="AM486" s="24" t="n">
        <f aca="false">AK486-AL486</f>
        <v>0</v>
      </c>
      <c r="AN486" s="28" t="str">
        <f aca="false">IF(A486&gt;=Hip3LaunchDate,"YES","")</f>
        <v/>
      </c>
      <c r="AO486" s="28" t="str">
        <f aca="false">IF(A486&lt;Hip4LaunchDate,"pre-launch","live (zero-fee)")</f>
        <v>pre-launch</v>
      </c>
      <c r="AP486" s="20"/>
      <c r="AQ486" s="20"/>
      <c r="AR486" s="20"/>
    </row>
    <row r="487" customFormat="false" ht="15" hidden="false" customHeight="false" outlineLevel="0" collapsed="false">
      <c r="A487" s="18" t="n">
        <v>45548</v>
      </c>
      <c r="B487" s="19" t="n">
        <v>880311427.97</v>
      </c>
      <c r="C487" s="19" t="n">
        <v>0</v>
      </c>
      <c r="D487" s="20"/>
      <c r="E487" s="21" t="n">
        <f aca="false">B487+C487</f>
        <v>880311427.97</v>
      </c>
      <c r="F487" s="21" t="n">
        <f aca="false">E487+D487</f>
        <v>880311427.97</v>
      </c>
      <c r="G487" s="22" t="n">
        <f aca="false">IFERROR(C487/E487,0)</f>
        <v>0</v>
      </c>
      <c r="H487" s="20"/>
      <c r="I487" s="20"/>
      <c r="J487" s="20"/>
      <c r="K487" s="21" t="n">
        <f aca="false">H487+I487</f>
        <v>0</v>
      </c>
      <c r="L487" s="20"/>
      <c r="M487" s="21" t="n">
        <f aca="false">H487-L487</f>
        <v>0</v>
      </c>
      <c r="N487" s="23" t="n">
        <f aca="false">IFERROR(M487/B487*10000,0)</f>
        <v>0</v>
      </c>
      <c r="O487" s="20"/>
      <c r="P487" s="20"/>
      <c r="Q487" s="21" t="n">
        <f aca="false">O487+P487</f>
        <v>0</v>
      </c>
      <c r="R487" s="22" t="n">
        <f aca="false">IF(A487&lt;HlpChangeDate,HlpSharePre,HlpSharePost)</f>
        <v>0.03</v>
      </c>
      <c r="S487" s="21" t="n">
        <f aca="false">Q487*R487/(1-R487)</f>
        <v>0</v>
      </c>
      <c r="T487" s="20"/>
      <c r="U487" s="21" t="n">
        <f aca="false">S487-T487</f>
        <v>0</v>
      </c>
      <c r="V487" s="21" t="n">
        <f aca="false">Y487-O487*R487/(1-R487)</f>
        <v>0</v>
      </c>
      <c r="W487" s="21" t="n">
        <f aca="false">Z487-P487*R487/(1-R487)</f>
        <v>0</v>
      </c>
      <c r="X487" s="21" t="n">
        <f aca="false">S487+V487+W487</f>
        <v>0</v>
      </c>
      <c r="Y487" s="20"/>
      <c r="Z487" s="20"/>
      <c r="AA487" s="19" t="n">
        <v>0</v>
      </c>
      <c r="AB487" s="20"/>
      <c r="AC487" s="20"/>
      <c r="AD487" s="24" t="n">
        <f aca="false">IFERROR(AA487/AC487,0)</f>
        <v>0</v>
      </c>
      <c r="AE487" s="25" t="n">
        <f aca="false">K487-Q487-X487</f>
        <v>0</v>
      </c>
      <c r="AF487" s="25" t="n">
        <f aca="false">Q487-AA487</f>
        <v>0</v>
      </c>
      <c r="AG487" s="20"/>
      <c r="AH487" s="26" t="n">
        <f aca="false">IFERROR(AG487/Q487,0)</f>
        <v>0</v>
      </c>
      <c r="AI487" s="27" t="n">
        <v>0</v>
      </c>
      <c r="AJ487" s="26" t="n">
        <f aca="false">IF(AI487&gt;0,AprCoef/SQRT(AI487),0)</f>
        <v>0</v>
      </c>
      <c r="AK487" s="24" t="n">
        <f aca="false">AI487*AJ487/365</f>
        <v>0</v>
      </c>
      <c r="AL487" s="24" t="n">
        <f aca="false">AD487</f>
        <v>0</v>
      </c>
      <c r="AM487" s="24" t="n">
        <f aca="false">AK487-AL487</f>
        <v>0</v>
      </c>
      <c r="AN487" s="28" t="str">
        <f aca="false">IF(A487&gt;=Hip3LaunchDate,"YES","")</f>
        <v/>
      </c>
      <c r="AO487" s="28" t="str">
        <f aca="false">IF(A487&lt;Hip4LaunchDate,"pre-launch","live (zero-fee)")</f>
        <v>pre-launch</v>
      </c>
      <c r="AP487" s="20"/>
      <c r="AQ487" s="20"/>
      <c r="AR487" s="20"/>
    </row>
    <row r="488" customFormat="false" ht="15" hidden="false" customHeight="false" outlineLevel="0" collapsed="false">
      <c r="A488" s="18" t="n">
        <v>45549</v>
      </c>
      <c r="B488" s="19" t="n">
        <v>401818945.81</v>
      </c>
      <c r="C488" s="19" t="n">
        <v>0</v>
      </c>
      <c r="D488" s="20"/>
      <c r="E488" s="21" t="n">
        <f aca="false">B488+C488</f>
        <v>401818945.81</v>
      </c>
      <c r="F488" s="21" t="n">
        <f aca="false">E488+D488</f>
        <v>401818945.81</v>
      </c>
      <c r="G488" s="22" t="n">
        <f aca="false">IFERROR(C488/E488,0)</f>
        <v>0</v>
      </c>
      <c r="H488" s="20"/>
      <c r="I488" s="20"/>
      <c r="J488" s="20"/>
      <c r="K488" s="21" t="n">
        <f aca="false">H488+I488</f>
        <v>0</v>
      </c>
      <c r="L488" s="20"/>
      <c r="M488" s="21" t="n">
        <f aca="false">H488-L488</f>
        <v>0</v>
      </c>
      <c r="N488" s="23" t="n">
        <f aca="false">IFERROR(M488/B488*10000,0)</f>
        <v>0</v>
      </c>
      <c r="O488" s="20"/>
      <c r="P488" s="20"/>
      <c r="Q488" s="21" t="n">
        <f aca="false">O488+P488</f>
        <v>0</v>
      </c>
      <c r="R488" s="22" t="n">
        <f aca="false">IF(A488&lt;HlpChangeDate,HlpSharePre,HlpSharePost)</f>
        <v>0.03</v>
      </c>
      <c r="S488" s="21" t="n">
        <f aca="false">Q488*R488/(1-R488)</f>
        <v>0</v>
      </c>
      <c r="T488" s="20"/>
      <c r="U488" s="21" t="n">
        <f aca="false">S488-T488</f>
        <v>0</v>
      </c>
      <c r="V488" s="21" t="n">
        <f aca="false">Y488-O488*R488/(1-R488)</f>
        <v>0</v>
      </c>
      <c r="W488" s="21" t="n">
        <f aca="false">Z488-P488*R488/(1-R488)</f>
        <v>0</v>
      </c>
      <c r="X488" s="21" t="n">
        <f aca="false">S488+V488+W488</f>
        <v>0</v>
      </c>
      <c r="Y488" s="20"/>
      <c r="Z488" s="20"/>
      <c r="AA488" s="19" t="n">
        <v>0</v>
      </c>
      <c r="AB488" s="20"/>
      <c r="AC488" s="20"/>
      <c r="AD488" s="24" t="n">
        <f aca="false">IFERROR(AA488/AC488,0)</f>
        <v>0</v>
      </c>
      <c r="AE488" s="25" t="n">
        <f aca="false">K488-Q488-X488</f>
        <v>0</v>
      </c>
      <c r="AF488" s="25" t="n">
        <f aca="false">Q488-AA488</f>
        <v>0</v>
      </c>
      <c r="AG488" s="20"/>
      <c r="AH488" s="26" t="n">
        <f aca="false">IFERROR(AG488/Q488,0)</f>
        <v>0</v>
      </c>
      <c r="AI488" s="27" t="n">
        <v>0</v>
      </c>
      <c r="AJ488" s="26" t="n">
        <f aca="false">IF(AI488&gt;0,AprCoef/SQRT(AI488),0)</f>
        <v>0</v>
      </c>
      <c r="AK488" s="24" t="n">
        <f aca="false">AI488*AJ488/365</f>
        <v>0</v>
      </c>
      <c r="AL488" s="24" t="n">
        <f aca="false">AD488</f>
        <v>0</v>
      </c>
      <c r="AM488" s="24" t="n">
        <f aca="false">AK488-AL488</f>
        <v>0</v>
      </c>
      <c r="AN488" s="28" t="str">
        <f aca="false">IF(A488&gt;=Hip3LaunchDate,"YES","")</f>
        <v/>
      </c>
      <c r="AO488" s="28" t="str">
        <f aca="false">IF(A488&lt;Hip4LaunchDate,"pre-launch","live (zero-fee)")</f>
        <v>pre-launch</v>
      </c>
      <c r="AP488" s="20"/>
      <c r="AQ488" s="20"/>
      <c r="AR488" s="20"/>
    </row>
    <row r="489" customFormat="false" ht="15" hidden="false" customHeight="false" outlineLevel="0" collapsed="false">
      <c r="A489" s="18" t="n">
        <v>45550</v>
      </c>
      <c r="B489" s="19" t="n">
        <v>567993219.75</v>
      </c>
      <c r="C489" s="19" t="n">
        <v>0</v>
      </c>
      <c r="D489" s="20"/>
      <c r="E489" s="21" t="n">
        <f aca="false">B489+C489</f>
        <v>567993219.75</v>
      </c>
      <c r="F489" s="21" t="n">
        <f aca="false">E489+D489</f>
        <v>567993219.75</v>
      </c>
      <c r="G489" s="22" t="n">
        <f aca="false">IFERROR(C489/E489,0)</f>
        <v>0</v>
      </c>
      <c r="H489" s="20"/>
      <c r="I489" s="20"/>
      <c r="J489" s="20"/>
      <c r="K489" s="21" t="n">
        <f aca="false">H489+I489</f>
        <v>0</v>
      </c>
      <c r="L489" s="20"/>
      <c r="M489" s="21" t="n">
        <f aca="false">H489-L489</f>
        <v>0</v>
      </c>
      <c r="N489" s="23" t="n">
        <f aca="false">IFERROR(M489/B489*10000,0)</f>
        <v>0</v>
      </c>
      <c r="O489" s="20"/>
      <c r="P489" s="20"/>
      <c r="Q489" s="21" t="n">
        <f aca="false">O489+P489</f>
        <v>0</v>
      </c>
      <c r="R489" s="22" t="n">
        <f aca="false">IF(A489&lt;HlpChangeDate,HlpSharePre,HlpSharePost)</f>
        <v>0.03</v>
      </c>
      <c r="S489" s="21" t="n">
        <f aca="false">Q489*R489/(1-R489)</f>
        <v>0</v>
      </c>
      <c r="T489" s="20"/>
      <c r="U489" s="21" t="n">
        <f aca="false">S489-T489</f>
        <v>0</v>
      </c>
      <c r="V489" s="21" t="n">
        <f aca="false">Y489-O489*R489/(1-R489)</f>
        <v>0</v>
      </c>
      <c r="W489" s="21" t="n">
        <f aca="false">Z489-P489*R489/(1-R489)</f>
        <v>0</v>
      </c>
      <c r="X489" s="21" t="n">
        <f aca="false">S489+V489+W489</f>
        <v>0</v>
      </c>
      <c r="Y489" s="20"/>
      <c r="Z489" s="20"/>
      <c r="AA489" s="19" t="n">
        <v>0</v>
      </c>
      <c r="AB489" s="20"/>
      <c r="AC489" s="20"/>
      <c r="AD489" s="24" t="n">
        <f aca="false">IFERROR(AA489/AC489,0)</f>
        <v>0</v>
      </c>
      <c r="AE489" s="25" t="n">
        <f aca="false">K489-Q489-X489</f>
        <v>0</v>
      </c>
      <c r="AF489" s="25" t="n">
        <f aca="false">Q489-AA489</f>
        <v>0</v>
      </c>
      <c r="AG489" s="20"/>
      <c r="AH489" s="26" t="n">
        <f aca="false">IFERROR(AG489/Q489,0)</f>
        <v>0</v>
      </c>
      <c r="AI489" s="27" t="n">
        <v>0</v>
      </c>
      <c r="AJ489" s="26" t="n">
        <f aca="false">IF(AI489&gt;0,AprCoef/SQRT(AI489),0)</f>
        <v>0</v>
      </c>
      <c r="AK489" s="24" t="n">
        <f aca="false">AI489*AJ489/365</f>
        <v>0</v>
      </c>
      <c r="AL489" s="24" t="n">
        <f aca="false">AD489</f>
        <v>0</v>
      </c>
      <c r="AM489" s="24" t="n">
        <f aca="false">AK489-AL489</f>
        <v>0</v>
      </c>
      <c r="AN489" s="28" t="str">
        <f aca="false">IF(A489&gt;=Hip3LaunchDate,"YES","")</f>
        <v/>
      </c>
      <c r="AO489" s="28" t="str">
        <f aca="false">IF(A489&lt;Hip4LaunchDate,"pre-launch","live (zero-fee)")</f>
        <v>pre-launch</v>
      </c>
      <c r="AP489" s="20"/>
      <c r="AQ489" s="20"/>
      <c r="AR489" s="20"/>
    </row>
    <row r="490" customFormat="false" ht="15" hidden="false" customHeight="false" outlineLevel="0" collapsed="false">
      <c r="A490" s="18" t="n">
        <v>45551</v>
      </c>
      <c r="B490" s="19" t="n">
        <v>1079725569.06</v>
      </c>
      <c r="C490" s="19" t="n">
        <v>0</v>
      </c>
      <c r="D490" s="20"/>
      <c r="E490" s="21" t="n">
        <f aca="false">B490+C490</f>
        <v>1079725569.06</v>
      </c>
      <c r="F490" s="21" t="n">
        <f aca="false">E490+D490</f>
        <v>1079725569.06</v>
      </c>
      <c r="G490" s="22" t="n">
        <f aca="false">IFERROR(C490/E490,0)</f>
        <v>0</v>
      </c>
      <c r="H490" s="20"/>
      <c r="I490" s="20"/>
      <c r="J490" s="20"/>
      <c r="K490" s="21" t="n">
        <f aca="false">H490+I490</f>
        <v>0</v>
      </c>
      <c r="L490" s="20"/>
      <c r="M490" s="21" t="n">
        <f aca="false">H490-L490</f>
        <v>0</v>
      </c>
      <c r="N490" s="23" t="n">
        <f aca="false">IFERROR(M490/B490*10000,0)</f>
        <v>0</v>
      </c>
      <c r="O490" s="20"/>
      <c r="P490" s="20"/>
      <c r="Q490" s="21" t="n">
        <f aca="false">O490+P490</f>
        <v>0</v>
      </c>
      <c r="R490" s="22" t="n">
        <f aca="false">IF(A490&lt;HlpChangeDate,HlpSharePre,HlpSharePost)</f>
        <v>0.03</v>
      </c>
      <c r="S490" s="21" t="n">
        <f aca="false">Q490*R490/(1-R490)</f>
        <v>0</v>
      </c>
      <c r="T490" s="20"/>
      <c r="U490" s="21" t="n">
        <f aca="false">S490-T490</f>
        <v>0</v>
      </c>
      <c r="V490" s="21" t="n">
        <f aca="false">Y490-O490*R490/(1-R490)</f>
        <v>0</v>
      </c>
      <c r="W490" s="21" t="n">
        <f aca="false">Z490-P490*R490/(1-R490)</f>
        <v>0</v>
      </c>
      <c r="X490" s="21" t="n">
        <f aca="false">S490+V490+W490</f>
        <v>0</v>
      </c>
      <c r="Y490" s="20"/>
      <c r="Z490" s="20"/>
      <c r="AA490" s="19" t="n">
        <v>0</v>
      </c>
      <c r="AB490" s="20"/>
      <c r="AC490" s="20"/>
      <c r="AD490" s="24" t="n">
        <f aca="false">IFERROR(AA490/AC490,0)</f>
        <v>0</v>
      </c>
      <c r="AE490" s="25" t="n">
        <f aca="false">K490-Q490-X490</f>
        <v>0</v>
      </c>
      <c r="AF490" s="25" t="n">
        <f aca="false">Q490-AA490</f>
        <v>0</v>
      </c>
      <c r="AG490" s="20"/>
      <c r="AH490" s="26" t="n">
        <f aca="false">IFERROR(AG490/Q490,0)</f>
        <v>0</v>
      </c>
      <c r="AI490" s="27" t="n">
        <v>0</v>
      </c>
      <c r="AJ490" s="26" t="n">
        <f aca="false">IF(AI490&gt;0,AprCoef/SQRT(AI490),0)</f>
        <v>0</v>
      </c>
      <c r="AK490" s="24" t="n">
        <f aca="false">AI490*AJ490/365</f>
        <v>0</v>
      </c>
      <c r="AL490" s="24" t="n">
        <f aca="false">AD490</f>
        <v>0</v>
      </c>
      <c r="AM490" s="24" t="n">
        <f aca="false">AK490-AL490</f>
        <v>0</v>
      </c>
      <c r="AN490" s="28" t="str">
        <f aca="false">IF(A490&gt;=Hip3LaunchDate,"YES","")</f>
        <v/>
      </c>
      <c r="AO490" s="28" t="str">
        <f aca="false">IF(A490&lt;Hip4LaunchDate,"pre-launch","live (zero-fee)")</f>
        <v>pre-launch</v>
      </c>
      <c r="AP490" s="20"/>
      <c r="AQ490" s="20"/>
      <c r="AR490" s="20"/>
    </row>
    <row r="491" customFormat="false" ht="15" hidden="false" customHeight="false" outlineLevel="0" collapsed="false">
      <c r="A491" s="18" t="n">
        <v>45552</v>
      </c>
      <c r="B491" s="19" t="n">
        <v>1028171990.64</v>
      </c>
      <c r="C491" s="19" t="n">
        <v>0</v>
      </c>
      <c r="D491" s="20"/>
      <c r="E491" s="21" t="n">
        <f aca="false">B491+C491</f>
        <v>1028171990.64</v>
      </c>
      <c r="F491" s="21" t="n">
        <f aca="false">E491+D491</f>
        <v>1028171990.64</v>
      </c>
      <c r="G491" s="22" t="n">
        <f aca="false">IFERROR(C491/E491,0)</f>
        <v>0</v>
      </c>
      <c r="H491" s="20"/>
      <c r="I491" s="20"/>
      <c r="J491" s="20"/>
      <c r="K491" s="21" t="n">
        <f aca="false">H491+I491</f>
        <v>0</v>
      </c>
      <c r="L491" s="20"/>
      <c r="M491" s="21" t="n">
        <f aca="false">H491-L491</f>
        <v>0</v>
      </c>
      <c r="N491" s="23" t="n">
        <f aca="false">IFERROR(M491/B491*10000,0)</f>
        <v>0</v>
      </c>
      <c r="O491" s="20"/>
      <c r="P491" s="20"/>
      <c r="Q491" s="21" t="n">
        <f aca="false">O491+P491</f>
        <v>0</v>
      </c>
      <c r="R491" s="22" t="n">
        <f aca="false">IF(A491&lt;HlpChangeDate,HlpSharePre,HlpSharePost)</f>
        <v>0.03</v>
      </c>
      <c r="S491" s="21" t="n">
        <f aca="false">Q491*R491/(1-R491)</f>
        <v>0</v>
      </c>
      <c r="T491" s="20"/>
      <c r="U491" s="21" t="n">
        <f aca="false">S491-T491</f>
        <v>0</v>
      </c>
      <c r="V491" s="21" t="n">
        <f aca="false">Y491-O491*R491/(1-R491)</f>
        <v>0</v>
      </c>
      <c r="W491" s="21" t="n">
        <f aca="false">Z491-P491*R491/(1-R491)</f>
        <v>0</v>
      </c>
      <c r="X491" s="21" t="n">
        <f aca="false">S491+V491+W491</f>
        <v>0</v>
      </c>
      <c r="Y491" s="20"/>
      <c r="Z491" s="20"/>
      <c r="AA491" s="19" t="n">
        <v>0</v>
      </c>
      <c r="AB491" s="20"/>
      <c r="AC491" s="20"/>
      <c r="AD491" s="24" t="n">
        <f aca="false">IFERROR(AA491/AC491,0)</f>
        <v>0</v>
      </c>
      <c r="AE491" s="25" t="n">
        <f aca="false">K491-Q491-X491</f>
        <v>0</v>
      </c>
      <c r="AF491" s="25" t="n">
        <f aca="false">Q491-AA491</f>
        <v>0</v>
      </c>
      <c r="AG491" s="20"/>
      <c r="AH491" s="26" t="n">
        <f aca="false">IFERROR(AG491/Q491,0)</f>
        <v>0</v>
      </c>
      <c r="AI491" s="27" t="n">
        <v>0</v>
      </c>
      <c r="AJ491" s="26" t="n">
        <f aca="false">IF(AI491&gt;0,AprCoef/SQRT(AI491),0)</f>
        <v>0</v>
      </c>
      <c r="AK491" s="24" t="n">
        <f aca="false">AI491*AJ491/365</f>
        <v>0</v>
      </c>
      <c r="AL491" s="24" t="n">
        <f aca="false">AD491</f>
        <v>0</v>
      </c>
      <c r="AM491" s="24" t="n">
        <f aca="false">AK491-AL491</f>
        <v>0</v>
      </c>
      <c r="AN491" s="28" t="str">
        <f aca="false">IF(A491&gt;=Hip3LaunchDate,"YES","")</f>
        <v/>
      </c>
      <c r="AO491" s="28" t="str">
        <f aca="false">IF(A491&lt;Hip4LaunchDate,"pre-launch","live (zero-fee)")</f>
        <v>pre-launch</v>
      </c>
      <c r="AP491" s="20"/>
      <c r="AQ491" s="20"/>
      <c r="AR491" s="20"/>
    </row>
    <row r="492" customFormat="false" ht="15" hidden="false" customHeight="false" outlineLevel="0" collapsed="false">
      <c r="A492" s="18" t="n">
        <v>45553</v>
      </c>
      <c r="B492" s="19" t="n">
        <v>1309839931.91</v>
      </c>
      <c r="C492" s="19" t="n">
        <v>0</v>
      </c>
      <c r="D492" s="20"/>
      <c r="E492" s="21" t="n">
        <f aca="false">B492+C492</f>
        <v>1309839931.91</v>
      </c>
      <c r="F492" s="21" t="n">
        <f aca="false">E492+D492</f>
        <v>1309839931.91</v>
      </c>
      <c r="G492" s="22" t="n">
        <f aca="false">IFERROR(C492/E492,0)</f>
        <v>0</v>
      </c>
      <c r="H492" s="20"/>
      <c r="I492" s="20"/>
      <c r="J492" s="20"/>
      <c r="K492" s="21" t="n">
        <f aca="false">H492+I492</f>
        <v>0</v>
      </c>
      <c r="L492" s="20"/>
      <c r="M492" s="21" t="n">
        <f aca="false">H492-L492</f>
        <v>0</v>
      </c>
      <c r="N492" s="23" t="n">
        <f aca="false">IFERROR(M492/B492*10000,0)</f>
        <v>0</v>
      </c>
      <c r="O492" s="20"/>
      <c r="P492" s="20"/>
      <c r="Q492" s="21" t="n">
        <f aca="false">O492+P492</f>
        <v>0</v>
      </c>
      <c r="R492" s="22" t="n">
        <f aca="false">IF(A492&lt;HlpChangeDate,HlpSharePre,HlpSharePost)</f>
        <v>0.03</v>
      </c>
      <c r="S492" s="21" t="n">
        <f aca="false">Q492*R492/(1-R492)</f>
        <v>0</v>
      </c>
      <c r="T492" s="20"/>
      <c r="U492" s="21" t="n">
        <f aca="false">S492-T492</f>
        <v>0</v>
      </c>
      <c r="V492" s="21" t="n">
        <f aca="false">Y492-O492*R492/(1-R492)</f>
        <v>0</v>
      </c>
      <c r="W492" s="21" t="n">
        <f aca="false">Z492-P492*R492/(1-R492)</f>
        <v>0</v>
      </c>
      <c r="X492" s="21" t="n">
        <f aca="false">S492+V492+W492</f>
        <v>0</v>
      </c>
      <c r="Y492" s="20"/>
      <c r="Z492" s="20"/>
      <c r="AA492" s="19" t="n">
        <v>0</v>
      </c>
      <c r="AB492" s="20"/>
      <c r="AC492" s="20"/>
      <c r="AD492" s="24" t="n">
        <f aca="false">IFERROR(AA492/AC492,0)</f>
        <v>0</v>
      </c>
      <c r="AE492" s="25" t="n">
        <f aca="false">K492-Q492-X492</f>
        <v>0</v>
      </c>
      <c r="AF492" s="25" t="n">
        <f aca="false">Q492-AA492</f>
        <v>0</v>
      </c>
      <c r="AG492" s="20"/>
      <c r="AH492" s="26" t="n">
        <f aca="false">IFERROR(AG492/Q492,0)</f>
        <v>0</v>
      </c>
      <c r="AI492" s="27" t="n">
        <v>0</v>
      </c>
      <c r="AJ492" s="26" t="n">
        <f aca="false">IF(AI492&gt;0,AprCoef/SQRT(AI492),0)</f>
        <v>0</v>
      </c>
      <c r="AK492" s="24" t="n">
        <f aca="false">AI492*AJ492/365</f>
        <v>0</v>
      </c>
      <c r="AL492" s="24" t="n">
        <f aca="false">AD492</f>
        <v>0</v>
      </c>
      <c r="AM492" s="24" t="n">
        <f aca="false">AK492-AL492</f>
        <v>0</v>
      </c>
      <c r="AN492" s="28" t="str">
        <f aca="false">IF(A492&gt;=Hip3LaunchDate,"YES","")</f>
        <v/>
      </c>
      <c r="AO492" s="28" t="str">
        <f aca="false">IF(A492&lt;Hip4LaunchDate,"pre-launch","live (zero-fee)")</f>
        <v>pre-launch</v>
      </c>
      <c r="AP492" s="20"/>
      <c r="AQ492" s="20"/>
      <c r="AR492" s="20"/>
    </row>
    <row r="493" customFormat="false" ht="15" hidden="false" customHeight="false" outlineLevel="0" collapsed="false">
      <c r="A493" s="18" t="n">
        <v>45554</v>
      </c>
      <c r="B493" s="19" t="n">
        <v>1761952193.8</v>
      </c>
      <c r="C493" s="19" t="n">
        <v>0</v>
      </c>
      <c r="D493" s="19" t="n">
        <v>3260099</v>
      </c>
      <c r="E493" s="21" t="n">
        <f aca="false">B493+C493</f>
        <v>1761952193.8</v>
      </c>
      <c r="F493" s="21" t="n">
        <f aca="false">E493+D493</f>
        <v>1765212292.8</v>
      </c>
      <c r="G493" s="22" t="n">
        <f aca="false">IFERROR(C493/E493,0)</f>
        <v>0</v>
      </c>
      <c r="H493" s="20"/>
      <c r="I493" s="20"/>
      <c r="J493" s="20"/>
      <c r="K493" s="21" t="n">
        <f aca="false">H493+I493</f>
        <v>0</v>
      </c>
      <c r="L493" s="20"/>
      <c r="M493" s="21" t="n">
        <f aca="false">H493-L493</f>
        <v>0</v>
      </c>
      <c r="N493" s="23" t="n">
        <f aca="false">IFERROR(M493/B493*10000,0)</f>
        <v>0</v>
      </c>
      <c r="O493" s="20"/>
      <c r="P493" s="20"/>
      <c r="Q493" s="21" t="n">
        <f aca="false">O493+P493</f>
        <v>0</v>
      </c>
      <c r="R493" s="22" t="n">
        <f aca="false">IF(A493&lt;HlpChangeDate,HlpSharePre,HlpSharePost)</f>
        <v>0.03</v>
      </c>
      <c r="S493" s="21" t="n">
        <f aca="false">Q493*R493/(1-R493)</f>
        <v>0</v>
      </c>
      <c r="T493" s="20"/>
      <c r="U493" s="21" t="n">
        <f aca="false">S493-T493</f>
        <v>0</v>
      </c>
      <c r="V493" s="21" t="n">
        <f aca="false">Y493-O493*R493/(1-R493)</f>
        <v>0</v>
      </c>
      <c r="W493" s="21" t="n">
        <f aca="false">Z493-P493*R493/(1-R493)</f>
        <v>0</v>
      </c>
      <c r="X493" s="21" t="n">
        <f aca="false">S493+V493+W493</f>
        <v>0</v>
      </c>
      <c r="Y493" s="20"/>
      <c r="Z493" s="20"/>
      <c r="AA493" s="19" t="n">
        <v>0</v>
      </c>
      <c r="AB493" s="20"/>
      <c r="AC493" s="20"/>
      <c r="AD493" s="24" t="n">
        <f aca="false">IFERROR(AA493/AC493,0)</f>
        <v>0</v>
      </c>
      <c r="AE493" s="25" t="n">
        <f aca="false">K493-Q493-X493</f>
        <v>0</v>
      </c>
      <c r="AF493" s="25" t="n">
        <f aca="false">Q493-AA493</f>
        <v>0</v>
      </c>
      <c r="AG493" s="20"/>
      <c r="AH493" s="26" t="n">
        <f aca="false">IFERROR(AG493/Q493,0)</f>
        <v>0</v>
      </c>
      <c r="AI493" s="27" t="n">
        <v>0</v>
      </c>
      <c r="AJ493" s="26" t="n">
        <f aca="false">IF(AI493&gt;0,AprCoef/SQRT(AI493),0)</f>
        <v>0</v>
      </c>
      <c r="AK493" s="24" t="n">
        <f aca="false">AI493*AJ493/365</f>
        <v>0</v>
      </c>
      <c r="AL493" s="24" t="n">
        <f aca="false">AD493</f>
        <v>0</v>
      </c>
      <c r="AM493" s="24" t="n">
        <f aca="false">AK493-AL493</f>
        <v>0</v>
      </c>
      <c r="AN493" s="28" t="str">
        <f aca="false">IF(A493&gt;=Hip3LaunchDate,"YES","")</f>
        <v/>
      </c>
      <c r="AO493" s="28" t="str">
        <f aca="false">IF(A493&lt;Hip4LaunchDate,"pre-launch","live (zero-fee)")</f>
        <v>pre-launch</v>
      </c>
      <c r="AP493" s="20"/>
      <c r="AQ493" s="20"/>
      <c r="AR493" s="20"/>
    </row>
    <row r="494" customFormat="false" ht="15" hidden="false" customHeight="false" outlineLevel="0" collapsed="false">
      <c r="A494" s="18" t="n">
        <v>45555</v>
      </c>
      <c r="B494" s="19" t="n">
        <v>1160346606.4</v>
      </c>
      <c r="C494" s="19" t="n">
        <v>0</v>
      </c>
      <c r="D494" s="19" t="n">
        <v>4801770</v>
      </c>
      <c r="E494" s="21" t="n">
        <f aca="false">B494+C494</f>
        <v>1160346606.4</v>
      </c>
      <c r="F494" s="21" t="n">
        <f aca="false">E494+D494</f>
        <v>1165148376.4</v>
      </c>
      <c r="G494" s="22" t="n">
        <f aca="false">IFERROR(C494/E494,0)</f>
        <v>0</v>
      </c>
      <c r="H494" s="20"/>
      <c r="I494" s="20"/>
      <c r="J494" s="20"/>
      <c r="K494" s="21" t="n">
        <f aca="false">H494+I494</f>
        <v>0</v>
      </c>
      <c r="L494" s="20"/>
      <c r="M494" s="21" t="n">
        <f aca="false">H494-L494</f>
        <v>0</v>
      </c>
      <c r="N494" s="23" t="n">
        <f aca="false">IFERROR(M494/B494*10000,0)</f>
        <v>0</v>
      </c>
      <c r="O494" s="20"/>
      <c r="P494" s="20"/>
      <c r="Q494" s="21" t="n">
        <f aca="false">O494+P494</f>
        <v>0</v>
      </c>
      <c r="R494" s="22" t="n">
        <f aca="false">IF(A494&lt;HlpChangeDate,HlpSharePre,HlpSharePost)</f>
        <v>0.03</v>
      </c>
      <c r="S494" s="21" t="n">
        <f aca="false">Q494*R494/(1-R494)</f>
        <v>0</v>
      </c>
      <c r="T494" s="20"/>
      <c r="U494" s="21" t="n">
        <f aca="false">S494-T494</f>
        <v>0</v>
      </c>
      <c r="V494" s="21" t="n">
        <f aca="false">Y494-O494*R494/(1-R494)</f>
        <v>0</v>
      </c>
      <c r="W494" s="21" t="n">
        <f aca="false">Z494-P494*R494/(1-R494)</f>
        <v>0</v>
      </c>
      <c r="X494" s="21" t="n">
        <f aca="false">S494+V494+W494</f>
        <v>0</v>
      </c>
      <c r="Y494" s="20"/>
      <c r="Z494" s="20"/>
      <c r="AA494" s="19" t="n">
        <v>0</v>
      </c>
      <c r="AB494" s="20"/>
      <c r="AC494" s="20"/>
      <c r="AD494" s="24" t="n">
        <f aca="false">IFERROR(AA494/AC494,0)</f>
        <v>0</v>
      </c>
      <c r="AE494" s="25" t="n">
        <f aca="false">K494-Q494-X494</f>
        <v>0</v>
      </c>
      <c r="AF494" s="25" t="n">
        <f aca="false">Q494-AA494</f>
        <v>0</v>
      </c>
      <c r="AG494" s="20"/>
      <c r="AH494" s="26" t="n">
        <f aca="false">IFERROR(AG494/Q494,0)</f>
        <v>0</v>
      </c>
      <c r="AI494" s="27" t="n">
        <v>0</v>
      </c>
      <c r="AJ494" s="26" t="n">
        <f aca="false">IF(AI494&gt;0,AprCoef/SQRT(AI494),0)</f>
        <v>0</v>
      </c>
      <c r="AK494" s="24" t="n">
        <f aca="false">AI494*AJ494/365</f>
        <v>0</v>
      </c>
      <c r="AL494" s="24" t="n">
        <f aca="false">AD494</f>
        <v>0</v>
      </c>
      <c r="AM494" s="24" t="n">
        <f aca="false">AK494-AL494</f>
        <v>0</v>
      </c>
      <c r="AN494" s="28" t="str">
        <f aca="false">IF(A494&gt;=Hip3LaunchDate,"YES","")</f>
        <v/>
      </c>
      <c r="AO494" s="28" t="str">
        <f aca="false">IF(A494&lt;Hip4LaunchDate,"pre-launch","live (zero-fee)")</f>
        <v>pre-launch</v>
      </c>
      <c r="AP494" s="20"/>
      <c r="AQ494" s="20"/>
      <c r="AR494" s="20"/>
    </row>
    <row r="495" customFormat="false" ht="15" hidden="false" customHeight="false" outlineLevel="0" collapsed="false">
      <c r="A495" s="18" t="n">
        <v>45556</v>
      </c>
      <c r="B495" s="19" t="n">
        <v>451676835.01</v>
      </c>
      <c r="C495" s="19" t="n">
        <v>0</v>
      </c>
      <c r="D495" s="19" t="n">
        <v>4983173</v>
      </c>
      <c r="E495" s="21" t="n">
        <f aca="false">B495+C495</f>
        <v>451676835.01</v>
      </c>
      <c r="F495" s="21" t="n">
        <f aca="false">E495+D495</f>
        <v>456660008.01</v>
      </c>
      <c r="G495" s="22" t="n">
        <f aca="false">IFERROR(C495/E495,0)</f>
        <v>0</v>
      </c>
      <c r="H495" s="20"/>
      <c r="I495" s="20"/>
      <c r="J495" s="20"/>
      <c r="K495" s="21" t="n">
        <f aca="false">H495+I495</f>
        <v>0</v>
      </c>
      <c r="L495" s="20"/>
      <c r="M495" s="21" t="n">
        <f aca="false">H495-L495</f>
        <v>0</v>
      </c>
      <c r="N495" s="23" t="n">
        <f aca="false">IFERROR(M495/B495*10000,0)</f>
        <v>0</v>
      </c>
      <c r="O495" s="20"/>
      <c r="P495" s="20"/>
      <c r="Q495" s="21" t="n">
        <f aca="false">O495+P495</f>
        <v>0</v>
      </c>
      <c r="R495" s="22" t="n">
        <f aca="false">IF(A495&lt;HlpChangeDate,HlpSharePre,HlpSharePost)</f>
        <v>0.03</v>
      </c>
      <c r="S495" s="21" t="n">
        <f aca="false">Q495*R495/(1-R495)</f>
        <v>0</v>
      </c>
      <c r="T495" s="20"/>
      <c r="U495" s="21" t="n">
        <f aca="false">S495-T495</f>
        <v>0</v>
      </c>
      <c r="V495" s="21" t="n">
        <f aca="false">Y495-O495*R495/(1-R495)</f>
        <v>0</v>
      </c>
      <c r="W495" s="21" t="n">
        <f aca="false">Z495-P495*R495/(1-R495)</f>
        <v>0</v>
      </c>
      <c r="X495" s="21" t="n">
        <f aca="false">S495+V495+W495</f>
        <v>0</v>
      </c>
      <c r="Y495" s="20"/>
      <c r="Z495" s="20"/>
      <c r="AA495" s="19" t="n">
        <v>0</v>
      </c>
      <c r="AB495" s="20"/>
      <c r="AC495" s="20"/>
      <c r="AD495" s="24" t="n">
        <f aca="false">IFERROR(AA495/AC495,0)</f>
        <v>0</v>
      </c>
      <c r="AE495" s="25" t="n">
        <f aca="false">K495-Q495-X495</f>
        <v>0</v>
      </c>
      <c r="AF495" s="25" t="n">
        <f aca="false">Q495-AA495</f>
        <v>0</v>
      </c>
      <c r="AG495" s="20"/>
      <c r="AH495" s="26" t="n">
        <f aca="false">IFERROR(AG495/Q495,0)</f>
        <v>0</v>
      </c>
      <c r="AI495" s="27" t="n">
        <v>0</v>
      </c>
      <c r="AJ495" s="26" t="n">
        <f aca="false">IF(AI495&gt;0,AprCoef/SQRT(AI495),0)</f>
        <v>0</v>
      </c>
      <c r="AK495" s="24" t="n">
        <f aca="false">AI495*AJ495/365</f>
        <v>0</v>
      </c>
      <c r="AL495" s="24" t="n">
        <f aca="false">AD495</f>
        <v>0</v>
      </c>
      <c r="AM495" s="24" t="n">
        <f aca="false">AK495-AL495</f>
        <v>0</v>
      </c>
      <c r="AN495" s="28" t="str">
        <f aca="false">IF(A495&gt;=Hip3LaunchDate,"YES","")</f>
        <v/>
      </c>
      <c r="AO495" s="28" t="str">
        <f aca="false">IF(A495&lt;Hip4LaunchDate,"pre-launch","live (zero-fee)")</f>
        <v>pre-launch</v>
      </c>
      <c r="AP495" s="20"/>
      <c r="AQ495" s="20"/>
      <c r="AR495" s="20"/>
    </row>
    <row r="496" customFormat="false" ht="15" hidden="false" customHeight="false" outlineLevel="0" collapsed="false">
      <c r="A496" s="18" t="n">
        <v>45557</v>
      </c>
      <c r="B496" s="19" t="n">
        <v>669725868.33</v>
      </c>
      <c r="C496" s="19" t="n">
        <v>0</v>
      </c>
      <c r="D496" s="19" t="n">
        <v>4441106</v>
      </c>
      <c r="E496" s="21" t="n">
        <f aca="false">B496+C496</f>
        <v>669725868.33</v>
      </c>
      <c r="F496" s="21" t="n">
        <f aca="false">E496+D496</f>
        <v>674166974.33</v>
      </c>
      <c r="G496" s="22" t="n">
        <f aca="false">IFERROR(C496/E496,0)</f>
        <v>0</v>
      </c>
      <c r="H496" s="20"/>
      <c r="I496" s="20"/>
      <c r="J496" s="20"/>
      <c r="K496" s="21" t="n">
        <f aca="false">H496+I496</f>
        <v>0</v>
      </c>
      <c r="L496" s="20"/>
      <c r="M496" s="21" t="n">
        <f aca="false">H496-L496</f>
        <v>0</v>
      </c>
      <c r="N496" s="23" t="n">
        <f aca="false">IFERROR(M496/B496*10000,0)</f>
        <v>0</v>
      </c>
      <c r="O496" s="20"/>
      <c r="P496" s="20"/>
      <c r="Q496" s="21" t="n">
        <f aca="false">O496+P496</f>
        <v>0</v>
      </c>
      <c r="R496" s="22" t="n">
        <f aca="false">IF(A496&lt;HlpChangeDate,HlpSharePre,HlpSharePost)</f>
        <v>0.03</v>
      </c>
      <c r="S496" s="21" t="n">
        <f aca="false">Q496*R496/(1-R496)</f>
        <v>0</v>
      </c>
      <c r="T496" s="20"/>
      <c r="U496" s="21" t="n">
        <f aca="false">S496-T496</f>
        <v>0</v>
      </c>
      <c r="V496" s="21" t="n">
        <f aca="false">Y496-O496*R496/(1-R496)</f>
        <v>0</v>
      </c>
      <c r="W496" s="21" t="n">
        <f aca="false">Z496-P496*R496/(1-R496)</f>
        <v>0</v>
      </c>
      <c r="X496" s="21" t="n">
        <f aca="false">S496+V496+W496</f>
        <v>0</v>
      </c>
      <c r="Y496" s="20"/>
      <c r="Z496" s="20"/>
      <c r="AA496" s="19" t="n">
        <v>0</v>
      </c>
      <c r="AB496" s="20"/>
      <c r="AC496" s="20"/>
      <c r="AD496" s="24" t="n">
        <f aca="false">IFERROR(AA496/AC496,0)</f>
        <v>0</v>
      </c>
      <c r="AE496" s="25" t="n">
        <f aca="false">K496-Q496-X496</f>
        <v>0</v>
      </c>
      <c r="AF496" s="25" t="n">
        <f aca="false">Q496-AA496</f>
        <v>0</v>
      </c>
      <c r="AG496" s="20"/>
      <c r="AH496" s="26" t="n">
        <f aca="false">IFERROR(AG496/Q496,0)</f>
        <v>0</v>
      </c>
      <c r="AI496" s="27" t="n">
        <v>0</v>
      </c>
      <c r="AJ496" s="26" t="n">
        <f aca="false">IF(AI496&gt;0,AprCoef/SQRT(AI496),0)</f>
        <v>0</v>
      </c>
      <c r="AK496" s="24" t="n">
        <f aca="false">AI496*AJ496/365</f>
        <v>0</v>
      </c>
      <c r="AL496" s="24" t="n">
        <f aca="false">AD496</f>
        <v>0</v>
      </c>
      <c r="AM496" s="24" t="n">
        <f aca="false">AK496-AL496</f>
        <v>0</v>
      </c>
      <c r="AN496" s="28" t="str">
        <f aca="false">IF(A496&gt;=Hip3LaunchDate,"YES","")</f>
        <v/>
      </c>
      <c r="AO496" s="28" t="str">
        <f aca="false">IF(A496&lt;Hip4LaunchDate,"pre-launch","live (zero-fee)")</f>
        <v>pre-launch</v>
      </c>
      <c r="AP496" s="20"/>
      <c r="AQ496" s="20"/>
      <c r="AR496" s="20"/>
    </row>
    <row r="497" customFormat="false" ht="15" hidden="false" customHeight="false" outlineLevel="0" collapsed="false">
      <c r="A497" s="18" t="n">
        <v>45558</v>
      </c>
      <c r="B497" s="19" t="n">
        <v>1426457872.23</v>
      </c>
      <c r="C497" s="19" t="n">
        <v>0</v>
      </c>
      <c r="D497" s="19" t="n">
        <v>9787031</v>
      </c>
      <c r="E497" s="21" t="n">
        <f aca="false">B497+C497</f>
        <v>1426457872.23</v>
      </c>
      <c r="F497" s="21" t="n">
        <f aca="false">E497+D497</f>
        <v>1436244903.23</v>
      </c>
      <c r="G497" s="22" t="n">
        <f aca="false">IFERROR(C497/E497,0)</f>
        <v>0</v>
      </c>
      <c r="H497" s="20"/>
      <c r="I497" s="20"/>
      <c r="J497" s="20"/>
      <c r="K497" s="21" t="n">
        <f aca="false">H497+I497</f>
        <v>0</v>
      </c>
      <c r="L497" s="20"/>
      <c r="M497" s="21" t="n">
        <f aca="false">H497-L497</f>
        <v>0</v>
      </c>
      <c r="N497" s="23" t="n">
        <f aca="false">IFERROR(M497/B497*10000,0)</f>
        <v>0</v>
      </c>
      <c r="O497" s="20"/>
      <c r="P497" s="20"/>
      <c r="Q497" s="21" t="n">
        <f aca="false">O497+P497</f>
        <v>0</v>
      </c>
      <c r="R497" s="22" t="n">
        <f aca="false">IF(A497&lt;HlpChangeDate,HlpSharePre,HlpSharePost)</f>
        <v>0.03</v>
      </c>
      <c r="S497" s="21" t="n">
        <f aca="false">Q497*R497/(1-R497)</f>
        <v>0</v>
      </c>
      <c r="T497" s="20"/>
      <c r="U497" s="21" t="n">
        <f aca="false">S497-T497</f>
        <v>0</v>
      </c>
      <c r="V497" s="21" t="n">
        <f aca="false">Y497-O497*R497/(1-R497)</f>
        <v>0</v>
      </c>
      <c r="W497" s="21" t="n">
        <f aca="false">Z497-P497*R497/(1-R497)</f>
        <v>0</v>
      </c>
      <c r="X497" s="21" t="n">
        <f aca="false">S497+V497+W497</f>
        <v>0</v>
      </c>
      <c r="Y497" s="20"/>
      <c r="Z497" s="20"/>
      <c r="AA497" s="19" t="n">
        <v>0</v>
      </c>
      <c r="AB497" s="20"/>
      <c r="AC497" s="20"/>
      <c r="AD497" s="24" t="n">
        <f aca="false">IFERROR(AA497/AC497,0)</f>
        <v>0</v>
      </c>
      <c r="AE497" s="25" t="n">
        <f aca="false">K497-Q497-X497</f>
        <v>0</v>
      </c>
      <c r="AF497" s="25" t="n">
        <f aca="false">Q497-AA497</f>
        <v>0</v>
      </c>
      <c r="AG497" s="20"/>
      <c r="AH497" s="26" t="n">
        <f aca="false">IFERROR(AG497/Q497,0)</f>
        <v>0</v>
      </c>
      <c r="AI497" s="27" t="n">
        <v>0</v>
      </c>
      <c r="AJ497" s="26" t="n">
        <f aca="false">IF(AI497&gt;0,AprCoef/SQRT(AI497),0)</f>
        <v>0</v>
      </c>
      <c r="AK497" s="24" t="n">
        <f aca="false">AI497*AJ497/365</f>
        <v>0</v>
      </c>
      <c r="AL497" s="24" t="n">
        <f aca="false">AD497</f>
        <v>0</v>
      </c>
      <c r="AM497" s="24" t="n">
        <f aca="false">AK497-AL497</f>
        <v>0</v>
      </c>
      <c r="AN497" s="28" t="str">
        <f aca="false">IF(A497&gt;=Hip3LaunchDate,"YES","")</f>
        <v/>
      </c>
      <c r="AO497" s="28" t="str">
        <f aca="false">IF(A497&lt;Hip4LaunchDate,"pre-launch","live (zero-fee)")</f>
        <v>pre-launch</v>
      </c>
      <c r="AP497" s="20"/>
      <c r="AQ497" s="20"/>
      <c r="AR497" s="20"/>
    </row>
    <row r="498" customFormat="false" ht="15" hidden="false" customHeight="false" outlineLevel="0" collapsed="false">
      <c r="A498" s="18" t="n">
        <v>45559</v>
      </c>
      <c r="B498" s="19" t="n">
        <v>1219415265.45</v>
      </c>
      <c r="C498" s="19" t="n">
        <v>0</v>
      </c>
      <c r="D498" s="19" t="n">
        <v>4003448</v>
      </c>
      <c r="E498" s="21" t="n">
        <f aca="false">B498+C498</f>
        <v>1219415265.45</v>
      </c>
      <c r="F498" s="21" t="n">
        <f aca="false">E498+D498</f>
        <v>1223418713.45</v>
      </c>
      <c r="G498" s="22" t="n">
        <f aca="false">IFERROR(C498/E498,0)</f>
        <v>0</v>
      </c>
      <c r="H498" s="20"/>
      <c r="I498" s="20"/>
      <c r="J498" s="20"/>
      <c r="K498" s="21" t="n">
        <f aca="false">H498+I498</f>
        <v>0</v>
      </c>
      <c r="L498" s="20"/>
      <c r="M498" s="21" t="n">
        <f aca="false">H498-L498</f>
        <v>0</v>
      </c>
      <c r="N498" s="23" t="n">
        <f aca="false">IFERROR(M498/B498*10000,0)</f>
        <v>0</v>
      </c>
      <c r="O498" s="20"/>
      <c r="P498" s="20"/>
      <c r="Q498" s="21" t="n">
        <f aca="false">O498+P498</f>
        <v>0</v>
      </c>
      <c r="R498" s="22" t="n">
        <f aca="false">IF(A498&lt;HlpChangeDate,HlpSharePre,HlpSharePost)</f>
        <v>0.03</v>
      </c>
      <c r="S498" s="21" t="n">
        <f aca="false">Q498*R498/(1-R498)</f>
        <v>0</v>
      </c>
      <c r="T498" s="20"/>
      <c r="U498" s="21" t="n">
        <f aca="false">S498-T498</f>
        <v>0</v>
      </c>
      <c r="V498" s="21" t="n">
        <f aca="false">Y498-O498*R498/(1-R498)</f>
        <v>0</v>
      </c>
      <c r="W498" s="21" t="n">
        <f aca="false">Z498-P498*R498/(1-R498)</f>
        <v>0</v>
      </c>
      <c r="X498" s="21" t="n">
        <f aca="false">S498+V498+W498</f>
        <v>0</v>
      </c>
      <c r="Y498" s="20"/>
      <c r="Z498" s="20"/>
      <c r="AA498" s="19" t="n">
        <v>0</v>
      </c>
      <c r="AB498" s="20"/>
      <c r="AC498" s="20"/>
      <c r="AD498" s="24" t="n">
        <f aca="false">IFERROR(AA498/AC498,0)</f>
        <v>0</v>
      </c>
      <c r="AE498" s="25" t="n">
        <f aca="false">K498-Q498-X498</f>
        <v>0</v>
      </c>
      <c r="AF498" s="25" t="n">
        <f aca="false">Q498-AA498</f>
        <v>0</v>
      </c>
      <c r="AG498" s="20"/>
      <c r="AH498" s="26" t="n">
        <f aca="false">IFERROR(AG498/Q498,0)</f>
        <v>0</v>
      </c>
      <c r="AI498" s="27" t="n">
        <v>0</v>
      </c>
      <c r="AJ498" s="26" t="n">
        <f aca="false">IF(AI498&gt;0,AprCoef/SQRT(AI498),0)</f>
        <v>0</v>
      </c>
      <c r="AK498" s="24" t="n">
        <f aca="false">AI498*AJ498/365</f>
        <v>0</v>
      </c>
      <c r="AL498" s="24" t="n">
        <f aca="false">AD498</f>
        <v>0</v>
      </c>
      <c r="AM498" s="24" t="n">
        <f aca="false">AK498-AL498</f>
        <v>0</v>
      </c>
      <c r="AN498" s="28" t="str">
        <f aca="false">IF(A498&gt;=Hip3LaunchDate,"YES","")</f>
        <v/>
      </c>
      <c r="AO498" s="28" t="str">
        <f aca="false">IF(A498&lt;Hip4LaunchDate,"pre-launch","live (zero-fee)")</f>
        <v>pre-launch</v>
      </c>
      <c r="AP498" s="20"/>
      <c r="AQ498" s="20"/>
      <c r="AR498" s="20"/>
    </row>
    <row r="499" customFormat="false" ht="15" hidden="false" customHeight="false" outlineLevel="0" collapsed="false">
      <c r="A499" s="18" t="n">
        <v>45560</v>
      </c>
      <c r="B499" s="19" t="n">
        <v>1206077012.65</v>
      </c>
      <c r="C499" s="19" t="n">
        <v>0</v>
      </c>
      <c r="D499" s="19" t="n">
        <v>4050062</v>
      </c>
      <c r="E499" s="21" t="n">
        <f aca="false">B499+C499</f>
        <v>1206077012.65</v>
      </c>
      <c r="F499" s="21" t="n">
        <f aca="false">E499+D499</f>
        <v>1210127074.65</v>
      </c>
      <c r="G499" s="22" t="n">
        <f aca="false">IFERROR(C499/E499,0)</f>
        <v>0</v>
      </c>
      <c r="H499" s="20"/>
      <c r="I499" s="20"/>
      <c r="J499" s="20"/>
      <c r="K499" s="21" t="n">
        <f aca="false">H499+I499</f>
        <v>0</v>
      </c>
      <c r="L499" s="20"/>
      <c r="M499" s="21" t="n">
        <f aca="false">H499-L499</f>
        <v>0</v>
      </c>
      <c r="N499" s="23" t="n">
        <f aca="false">IFERROR(M499/B499*10000,0)</f>
        <v>0</v>
      </c>
      <c r="O499" s="20"/>
      <c r="P499" s="20"/>
      <c r="Q499" s="21" t="n">
        <f aca="false">O499+P499</f>
        <v>0</v>
      </c>
      <c r="R499" s="22" t="n">
        <f aca="false">IF(A499&lt;HlpChangeDate,HlpSharePre,HlpSharePost)</f>
        <v>0.03</v>
      </c>
      <c r="S499" s="21" t="n">
        <f aca="false">Q499*R499/(1-R499)</f>
        <v>0</v>
      </c>
      <c r="T499" s="20"/>
      <c r="U499" s="21" t="n">
        <f aca="false">S499-T499</f>
        <v>0</v>
      </c>
      <c r="V499" s="21" t="n">
        <f aca="false">Y499-O499*R499/(1-R499)</f>
        <v>0</v>
      </c>
      <c r="W499" s="21" t="n">
        <f aca="false">Z499-P499*R499/(1-R499)</f>
        <v>0</v>
      </c>
      <c r="X499" s="21" t="n">
        <f aca="false">S499+V499+W499</f>
        <v>0</v>
      </c>
      <c r="Y499" s="20"/>
      <c r="Z499" s="20"/>
      <c r="AA499" s="19" t="n">
        <v>0</v>
      </c>
      <c r="AB499" s="20"/>
      <c r="AC499" s="20"/>
      <c r="AD499" s="24" t="n">
        <f aca="false">IFERROR(AA499/AC499,0)</f>
        <v>0</v>
      </c>
      <c r="AE499" s="25" t="n">
        <f aca="false">K499-Q499-X499</f>
        <v>0</v>
      </c>
      <c r="AF499" s="25" t="n">
        <f aca="false">Q499-AA499</f>
        <v>0</v>
      </c>
      <c r="AG499" s="20"/>
      <c r="AH499" s="26" t="n">
        <f aca="false">IFERROR(AG499/Q499,0)</f>
        <v>0</v>
      </c>
      <c r="AI499" s="27" t="n">
        <v>0</v>
      </c>
      <c r="AJ499" s="26" t="n">
        <f aca="false">IF(AI499&gt;0,AprCoef/SQRT(AI499),0)</f>
        <v>0</v>
      </c>
      <c r="AK499" s="24" t="n">
        <f aca="false">AI499*AJ499/365</f>
        <v>0</v>
      </c>
      <c r="AL499" s="24" t="n">
        <f aca="false">AD499</f>
        <v>0</v>
      </c>
      <c r="AM499" s="24" t="n">
        <f aca="false">AK499-AL499</f>
        <v>0</v>
      </c>
      <c r="AN499" s="28" t="str">
        <f aca="false">IF(A499&gt;=Hip3LaunchDate,"YES","")</f>
        <v/>
      </c>
      <c r="AO499" s="28" t="str">
        <f aca="false">IF(A499&lt;Hip4LaunchDate,"pre-launch","live (zero-fee)")</f>
        <v>pre-launch</v>
      </c>
      <c r="AP499" s="20"/>
      <c r="AQ499" s="20"/>
      <c r="AR499" s="20"/>
    </row>
    <row r="500" customFormat="false" ht="15" hidden="false" customHeight="false" outlineLevel="0" collapsed="false">
      <c r="A500" s="18" t="n">
        <v>45561</v>
      </c>
      <c r="B500" s="19" t="n">
        <v>1652072513.35</v>
      </c>
      <c r="C500" s="19" t="n">
        <v>0</v>
      </c>
      <c r="D500" s="19" t="n">
        <v>2720909</v>
      </c>
      <c r="E500" s="21" t="n">
        <f aca="false">B500+C500</f>
        <v>1652072513.35</v>
      </c>
      <c r="F500" s="21" t="n">
        <f aca="false">E500+D500</f>
        <v>1654793422.35</v>
      </c>
      <c r="G500" s="22" t="n">
        <f aca="false">IFERROR(C500/E500,0)</f>
        <v>0</v>
      </c>
      <c r="H500" s="20"/>
      <c r="I500" s="20"/>
      <c r="J500" s="20"/>
      <c r="K500" s="21" t="n">
        <f aca="false">H500+I500</f>
        <v>0</v>
      </c>
      <c r="L500" s="20"/>
      <c r="M500" s="21" t="n">
        <f aca="false">H500-L500</f>
        <v>0</v>
      </c>
      <c r="N500" s="23" t="n">
        <f aca="false">IFERROR(M500/B500*10000,0)</f>
        <v>0</v>
      </c>
      <c r="O500" s="20"/>
      <c r="P500" s="20"/>
      <c r="Q500" s="21" t="n">
        <f aca="false">O500+P500</f>
        <v>0</v>
      </c>
      <c r="R500" s="22" t="n">
        <f aca="false">IF(A500&lt;HlpChangeDate,HlpSharePre,HlpSharePost)</f>
        <v>0.03</v>
      </c>
      <c r="S500" s="21" t="n">
        <f aca="false">Q500*R500/(1-R500)</f>
        <v>0</v>
      </c>
      <c r="T500" s="20"/>
      <c r="U500" s="21" t="n">
        <f aca="false">S500-T500</f>
        <v>0</v>
      </c>
      <c r="V500" s="21" t="n">
        <f aca="false">Y500-O500*R500/(1-R500)</f>
        <v>0</v>
      </c>
      <c r="W500" s="21" t="n">
        <f aca="false">Z500-P500*R500/(1-R500)</f>
        <v>0</v>
      </c>
      <c r="X500" s="21" t="n">
        <f aca="false">S500+V500+W500</f>
        <v>0</v>
      </c>
      <c r="Y500" s="20"/>
      <c r="Z500" s="20"/>
      <c r="AA500" s="19" t="n">
        <v>0</v>
      </c>
      <c r="AB500" s="20"/>
      <c r="AC500" s="20"/>
      <c r="AD500" s="24" t="n">
        <f aca="false">IFERROR(AA500/AC500,0)</f>
        <v>0</v>
      </c>
      <c r="AE500" s="25" t="n">
        <f aca="false">K500-Q500-X500</f>
        <v>0</v>
      </c>
      <c r="AF500" s="25" t="n">
        <f aca="false">Q500-AA500</f>
        <v>0</v>
      </c>
      <c r="AG500" s="20"/>
      <c r="AH500" s="26" t="n">
        <f aca="false">IFERROR(AG500/Q500,0)</f>
        <v>0</v>
      </c>
      <c r="AI500" s="27" t="n">
        <v>0</v>
      </c>
      <c r="AJ500" s="26" t="n">
        <f aca="false">IF(AI500&gt;0,AprCoef/SQRT(AI500),0)</f>
        <v>0</v>
      </c>
      <c r="AK500" s="24" t="n">
        <f aca="false">AI500*AJ500/365</f>
        <v>0</v>
      </c>
      <c r="AL500" s="24" t="n">
        <f aca="false">AD500</f>
        <v>0</v>
      </c>
      <c r="AM500" s="24" t="n">
        <f aca="false">AK500-AL500</f>
        <v>0</v>
      </c>
      <c r="AN500" s="28" t="str">
        <f aca="false">IF(A500&gt;=Hip3LaunchDate,"YES","")</f>
        <v/>
      </c>
      <c r="AO500" s="28" t="str">
        <f aca="false">IF(A500&lt;Hip4LaunchDate,"pre-launch","live (zero-fee)")</f>
        <v>pre-launch</v>
      </c>
      <c r="AP500" s="20"/>
      <c r="AQ500" s="20"/>
      <c r="AR500" s="20"/>
    </row>
    <row r="501" customFormat="false" ht="15" hidden="false" customHeight="false" outlineLevel="0" collapsed="false">
      <c r="A501" s="18" t="n">
        <v>45562</v>
      </c>
      <c r="B501" s="19" t="n">
        <v>1360871284.69</v>
      </c>
      <c r="C501" s="19" t="n">
        <v>0</v>
      </c>
      <c r="D501" s="19" t="n">
        <v>3014452</v>
      </c>
      <c r="E501" s="21" t="n">
        <f aca="false">B501+C501</f>
        <v>1360871284.69</v>
      </c>
      <c r="F501" s="21" t="n">
        <f aca="false">E501+D501</f>
        <v>1363885736.69</v>
      </c>
      <c r="G501" s="22" t="n">
        <f aca="false">IFERROR(C501/E501,0)</f>
        <v>0</v>
      </c>
      <c r="H501" s="20"/>
      <c r="I501" s="20"/>
      <c r="J501" s="20"/>
      <c r="K501" s="21" t="n">
        <f aca="false">H501+I501</f>
        <v>0</v>
      </c>
      <c r="L501" s="20"/>
      <c r="M501" s="21" t="n">
        <f aca="false">H501-L501</f>
        <v>0</v>
      </c>
      <c r="N501" s="23" t="n">
        <f aca="false">IFERROR(M501/B501*10000,0)</f>
        <v>0</v>
      </c>
      <c r="O501" s="20"/>
      <c r="P501" s="20"/>
      <c r="Q501" s="21" t="n">
        <f aca="false">O501+P501</f>
        <v>0</v>
      </c>
      <c r="R501" s="22" t="n">
        <f aca="false">IF(A501&lt;HlpChangeDate,HlpSharePre,HlpSharePost)</f>
        <v>0.03</v>
      </c>
      <c r="S501" s="21" t="n">
        <f aca="false">Q501*R501/(1-R501)</f>
        <v>0</v>
      </c>
      <c r="T501" s="20"/>
      <c r="U501" s="21" t="n">
        <f aca="false">S501-T501</f>
        <v>0</v>
      </c>
      <c r="V501" s="21" t="n">
        <f aca="false">Y501-O501*R501/(1-R501)</f>
        <v>0</v>
      </c>
      <c r="W501" s="21" t="n">
        <f aca="false">Z501-P501*R501/(1-R501)</f>
        <v>0</v>
      </c>
      <c r="X501" s="21" t="n">
        <f aca="false">S501+V501+W501</f>
        <v>0</v>
      </c>
      <c r="Y501" s="20"/>
      <c r="Z501" s="20"/>
      <c r="AA501" s="19" t="n">
        <v>0</v>
      </c>
      <c r="AB501" s="20"/>
      <c r="AC501" s="20"/>
      <c r="AD501" s="24" t="n">
        <f aca="false">IFERROR(AA501/AC501,0)</f>
        <v>0</v>
      </c>
      <c r="AE501" s="25" t="n">
        <f aca="false">K501-Q501-X501</f>
        <v>0</v>
      </c>
      <c r="AF501" s="25" t="n">
        <f aca="false">Q501-AA501</f>
        <v>0</v>
      </c>
      <c r="AG501" s="20"/>
      <c r="AH501" s="26" t="n">
        <f aca="false">IFERROR(AG501/Q501,0)</f>
        <v>0</v>
      </c>
      <c r="AI501" s="27" t="n">
        <v>0</v>
      </c>
      <c r="AJ501" s="26" t="n">
        <f aca="false">IF(AI501&gt;0,AprCoef/SQRT(AI501),0)</f>
        <v>0</v>
      </c>
      <c r="AK501" s="24" t="n">
        <f aca="false">AI501*AJ501/365</f>
        <v>0</v>
      </c>
      <c r="AL501" s="24" t="n">
        <f aca="false">AD501</f>
        <v>0</v>
      </c>
      <c r="AM501" s="24" t="n">
        <f aca="false">AK501-AL501</f>
        <v>0</v>
      </c>
      <c r="AN501" s="28" t="str">
        <f aca="false">IF(A501&gt;=Hip3LaunchDate,"YES","")</f>
        <v/>
      </c>
      <c r="AO501" s="28" t="str">
        <f aca="false">IF(A501&lt;Hip4LaunchDate,"pre-launch","live (zero-fee)")</f>
        <v>pre-launch</v>
      </c>
      <c r="AP501" s="20"/>
      <c r="AQ501" s="20"/>
      <c r="AR501" s="20"/>
    </row>
    <row r="502" customFormat="false" ht="15" hidden="false" customHeight="false" outlineLevel="0" collapsed="false">
      <c r="A502" s="18" t="n">
        <v>45563</v>
      </c>
      <c r="B502" s="19" t="n">
        <v>625879224.56</v>
      </c>
      <c r="C502" s="19" t="n">
        <v>0</v>
      </c>
      <c r="D502" s="19" t="n">
        <v>2447124</v>
      </c>
      <c r="E502" s="21" t="n">
        <f aca="false">B502+C502</f>
        <v>625879224.56</v>
      </c>
      <c r="F502" s="21" t="n">
        <f aca="false">E502+D502</f>
        <v>628326348.56</v>
      </c>
      <c r="G502" s="22" t="n">
        <f aca="false">IFERROR(C502/E502,0)</f>
        <v>0</v>
      </c>
      <c r="H502" s="20"/>
      <c r="I502" s="20"/>
      <c r="J502" s="20"/>
      <c r="K502" s="21" t="n">
        <f aca="false">H502+I502</f>
        <v>0</v>
      </c>
      <c r="L502" s="20"/>
      <c r="M502" s="21" t="n">
        <f aca="false">H502-L502</f>
        <v>0</v>
      </c>
      <c r="N502" s="23" t="n">
        <f aca="false">IFERROR(M502/B502*10000,0)</f>
        <v>0</v>
      </c>
      <c r="O502" s="20"/>
      <c r="P502" s="20"/>
      <c r="Q502" s="21" t="n">
        <f aca="false">O502+P502</f>
        <v>0</v>
      </c>
      <c r="R502" s="22" t="n">
        <f aca="false">IF(A502&lt;HlpChangeDate,HlpSharePre,HlpSharePost)</f>
        <v>0.03</v>
      </c>
      <c r="S502" s="21" t="n">
        <f aca="false">Q502*R502/(1-R502)</f>
        <v>0</v>
      </c>
      <c r="T502" s="20"/>
      <c r="U502" s="21" t="n">
        <f aca="false">S502-T502</f>
        <v>0</v>
      </c>
      <c r="V502" s="21" t="n">
        <f aca="false">Y502-O502*R502/(1-R502)</f>
        <v>0</v>
      </c>
      <c r="W502" s="21" t="n">
        <f aca="false">Z502-P502*R502/(1-R502)</f>
        <v>0</v>
      </c>
      <c r="X502" s="21" t="n">
        <f aca="false">S502+V502+W502</f>
        <v>0</v>
      </c>
      <c r="Y502" s="20"/>
      <c r="Z502" s="20"/>
      <c r="AA502" s="19" t="n">
        <v>0</v>
      </c>
      <c r="AB502" s="20"/>
      <c r="AC502" s="20"/>
      <c r="AD502" s="24" t="n">
        <f aca="false">IFERROR(AA502/AC502,0)</f>
        <v>0</v>
      </c>
      <c r="AE502" s="25" t="n">
        <f aca="false">K502-Q502-X502</f>
        <v>0</v>
      </c>
      <c r="AF502" s="25" t="n">
        <f aca="false">Q502-AA502</f>
        <v>0</v>
      </c>
      <c r="AG502" s="20"/>
      <c r="AH502" s="26" t="n">
        <f aca="false">IFERROR(AG502/Q502,0)</f>
        <v>0</v>
      </c>
      <c r="AI502" s="27" t="n">
        <v>0</v>
      </c>
      <c r="AJ502" s="26" t="n">
        <f aca="false">IF(AI502&gt;0,AprCoef/SQRT(AI502),0)</f>
        <v>0</v>
      </c>
      <c r="AK502" s="24" t="n">
        <f aca="false">AI502*AJ502/365</f>
        <v>0</v>
      </c>
      <c r="AL502" s="24" t="n">
        <f aca="false">AD502</f>
        <v>0</v>
      </c>
      <c r="AM502" s="24" t="n">
        <f aca="false">AK502-AL502</f>
        <v>0</v>
      </c>
      <c r="AN502" s="28" t="str">
        <f aca="false">IF(A502&gt;=Hip3LaunchDate,"YES","")</f>
        <v/>
      </c>
      <c r="AO502" s="28" t="str">
        <f aca="false">IF(A502&lt;Hip4LaunchDate,"pre-launch","live (zero-fee)")</f>
        <v>pre-launch</v>
      </c>
      <c r="AP502" s="20"/>
      <c r="AQ502" s="20"/>
      <c r="AR502" s="20"/>
    </row>
    <row r="503" customFormat="false" ht="15" hidden="false" customHeight="false" outlineLevel="0" collapsed="false">
      <c r="A503" s="18" t="n">
        <v>45564</v>
      </c>
      <c r="B503" s="19" t="n">
        <v>566532655.25</v>
      </c>
      <c r="C503" s="19" t="n">
        <v>0</v>
      </c>
      <c r="D503" s="19" t="n">
        <v>1971820</v>
      </c>
      <c r="E503" s="21" t="n">
        <f aca="false">B503+C503</f>
        <v>566532655.25</v>
      </c>
      <c r="F503" s="21" t="n">
        <f aca="false">E503+D503</f>
        <v>568504475.25</v>
      </c>
      <c r="G503" s="22" t="n">
        <f aca="false">IFERROR(C503/E503,0)</f>
        <v>0</v>
      </c>
      <c r="H503" s="20"/>
      <c r="I503" s="20"/>
      <c r="J503" s="20"/>
      <c r="K503" s="21" t="n">
        <f aca="false">H503+I503</f>
        <v>0</v>
      </c>
      <c r="L503" s="20"/>
      <c r="M503" s="21" t="n">
        <f aca="false">H503-L503</f>
        <v>0</v>
      </c>
      <c r="N503" s="23" t="n">
        <f aca="false">IFERROR(M503/B503*10000,0)</f>
        <v>0</v>
      </c>
      <c r="O503" s="20"/>
      <c r="P503" s="20"/>
      <c r="Q503" s="21" t="n">
        <f aca="false">O503+P503</f>
        <v>0</v>
      </c>
      <c r="R503" s="22" t="n">
        <f aca="false">IF(A503&lt;HlpChangeDate,HlpSharePre,HlpSharePost)</f>
        <v>0.03</v>
      </c>
      <c r="S503" s="21" t="n">
        <f aca="false">Q503*R503/(1-R503)</f>
        <v>0</v>
      </c>
      <c r="T503" s="20"/>
      <c r="U503" s="21" t="n">
        <f aca="false">S503-T503</f>
        <v>0</v>
      </c>
      <c r="V503" s="21" t="n">
        <f aca="false">Y503-O503*R503/(1-R503)</f>
        <v>0</v>
      </c>
      <c r="W503" s="21" t="n">
        <f aca="false">Z503-P503*R503/(1-R503)</f>
        <v>0</v>
      </c>
      <c r="X503" s="21" t="n">
        <f aca="false">S503+V503+W503</f>
        <v>0</v>
      </c>
      <c r="Y503" s="20"/>
      <c r="Z503" s="20"/>
      <c r="AA503" s="19" t="n">
        <v>0</v>
      </c>
      <c r="AB503" s="20"/>
      <c r="AC503" s="20"/>
      <c r="AD503" s="24" t="n">
        <f aca="false">IFERROR(AA503/AC503,0)</f>
        <v>0</v>
      </c>
      <c r="AE503" s="25" t="n">
        <f aca="false">K503-Q503-X503</f>
        <v>0</v>
      </c>
      <c r="AF503" s="25" t="n">
        <f aca="false">Q503-AA503</f>
        <v>0</v>
      </c>
      <c r="AG503" s="20"/>
      <c r="AH503" s="26" t="n">
        <f aca="false">IFERROR(AG503/Q503,0)</f>
        <v>0</v>
      </c>
      <c r="AI503" s="27" t="n">
        <v>0</v>
      </c>
      <c r="AJ503" s="26" t="n">
        <f aca="false">IF(AI503&gt;0,AprCoef/SQRT(AI503),0)</f>
        <v>0</v>
      </c>
      <c r="AK503" s="24" t="n">
        <f aca="false">AI503*AJ503/365</f>
        <v>0</v>
      </c>
      <c r="AL503" s="24" t="n">
        <f aca="false">AD503</f>
        <v>0</v>
      </c>
      <c r="AM503" s="24" t="n">
        <f aca="false">AK503-AL503</f>
        <v>0</v>
      </c>
      <c r="AN503" s="28" t="str">
        <f aca="false">IF(A503&gt;=Hip3LaunchDate,"YES","")</f>
        <v/>
      </c>
      <c r="AO503" s="28" t="str">
        <f aca="false">IF(A503&lt;Hip4LaunchDate,"pre-launch","live (zero-fee)")</f>
        <v>pre-launch</v>
      </c>
      <c r="AP503" s="20"/>
      <c r="AQ503" s="20"/>
      <c r="AR503" s="20"/>
    </row>
    <row r="504" customFormat="false" ht="15" hidden="false" customHeight="false" outlineLevel="0" collapsed="false">
      <c r="A504" s="18" t="n">
        <v>45565</v>
      </c>
      <c r="B504" s="19" t="n">
        <v>1441213199.68</v>
      </c>
      <c r="C504" s="19" t="n">
        <v>0</v>
      </c>
      <c r="D504" s="19" t="n">
        <v>2992524</v>
      </c>
      <c r="E504" s="21" t="n">
        <f aca="false">B504+C504</f>
        <v>1441213199.68</v>
      </c>
      <c r="F504" s="21" t="n">
        <f aca="false">E504+D504</f>
        <v>1444205723.68</v>
      </c>
      <c r="G504" s="22" t="n">
        <f aca="false">IFERROR(C504/E504,0)</f>
        <v>0</v>
      </c>
      <c r="H504" s="20"/>
      <c r="I504" s="20"/>
      <c r="J504" s="20"/>
      <c r="K504" s="21" t="n">
        <f aca="false">H504+I504</f>
        <v>0</v>
      </c>
      <c r="L504" s="20"/>
      <c r="M504" s="21" t="n">
        <f aca="false">H504-L504</f>
        <v>0</v>
      </c>
      <c r="N504" s="23" t="n">
        <f aca="false">IFERROR(M504/B504*10000,0)</f>
        <v>0</v>
      </c>
      <c r="O504" s="20"/>
      <c r="P504" s="20"/>
      <c r="Q504" s="21" t="n">
        <f aca="false">O504+P504</f>
        <v>0</v>
      </c>
      <c r="R504" s="22" t="n">
        <f aca="false">IF(A504&lt;HlpChangeDate,HlpSharePre,HlpSharePost)</f>
        <v>0.03</v>
      </c>
      <c r="S504" s="21" t="n">
        <f aca="false">Q504*R504/(1-R504)</f>
        <v>0</v>
      </c>
      <c r="T504" s="20"/>
      <c r="U504" s="21" t="n">
        <f aca="false">S504-T504</f>
        <v>0</v>
      </c>
      <c r="V504" s="21" t="n">
        <f aca="false">Y504-O504*R504/(1-R504)</f>
        <v>0</v>
      </c>
      <c r="W504" s="21" t="n">
        <f aca="false">Z504-P504*R504/(1-R504)</f>
        <v>0</v>
      </c>
      <c r="X504" s="21" t="n">
        <f aca="false">S504+V504+W504</f>
        <v>0</v>
      </c>
      <c r="Y504" s="20"/>
      <c r="Z504" s="20"/>
      <c r="AA504" s="19" t="n">
        <v>0</v>
      </c>
      <c r="AB504" s="20"/>
      <c r="AC504" s="20"/>
      <c r="AD504" s="24" t="n">
        <f aca="false">IFERROR(AA504/AC504,0)</f>
        <v>0</v>
      </c>
      <c r="AE504" s="25" t="n">
        <f aca="false">K504-Q504-X504</f>
        <v>0</v>
      </c>
      <c r="AF504" s="25" t="n">
        <f aca="false">Q504-AA504</f>
        <v>0</v>
      </c>
      <c r="AG504" s="20"/>
      <c r="AH504" s="26" t="n">
        <f aca="false">IFERROR(AG504/Q504,0)</f>
        <v>0</v>
      </c>
      <c r="AI504" s="27" t="n">
        <v>0</v>
      </c>
      <c r="AJ504" s="26" t="n">
        <f aca="false">IF(AI504&gt;0,AprCoef/SQRT(AI504),0)</f>
        <v>0</v>
      </c>
      <c r="AK504" s="24" t="n">
        <f aca="false">AI504*AJ504/365</f>
        <v>0</v>
      </c>
      <c r="AL504" s="24" t="n">
        <f aca="false">AD504</f>
        <v>0</v>
      </c>
      <c r="AM504" s="24" t="n">
        <f aca="false">AK504-AL504</f>
        <v>0</v>
      </c>
      <c r="AN504" s="28" t="str">
        <f aca="false">IF(A504&gt;=Hip3LaunchDate,"YES","")</f>
        <v/>
      </c>
      <c r="AO504" s="28" t="str">
        <f aca="false">IF(A504&lt;Hip4LaunchDate,"pre-launch","live (zero-fee)")</f>
        <v>pre-launch</v>
      </c>
      <c r="AP504" s="20"/>
      <c r="AQ504" s="20"/>
      <c r="AR504" s="20"/>
    </row>
    <row r="505" customFormat="false" ht="15" hidden="false" customHeight="false" outlineLevel="0" collapsed="false">
      <c r="A505" s="18" t="n">
        <v>45566</v>
      </c>
      <c r="B505" s="19" t="n">
        <v>3030524021.24</v>
      </c>
      <c r="C505" s="19" t="n">
        <v>0</v>
      </c>
      <c r="D505" s="19" t="n">
        <v>4385358</v>
      </c>
      <c r="E505" s="21" t="n">
        <f aca="false">B505+C505</f>
        <v>3030524021.24</v>
      </c>
      <c r="F505" s="21" t="n">
        <f aca="false">E505+D505</f>
        <v>3034909379.24</v>
      </c>
      <c r="G505" s="22" t="n">
        <f aca="false">IFERROR(C505/E505,0)</f>
        <v>0</v>
      </c>
      <c r="H505" s="20"/>
      <c r="I505" s="20"/>
      <c r="J505" s="20"/>
      <c r="K505" s="21" t="n">
        <f aca="false">H505+I505</f>
        <v>0</v>
      </c>
      <c r="L505" s="20"/>
      <c r="M505" s="21" t="n">
        <f aca="false">H505-L505</f>
        <v>0</v>
      </c>
      <c r="N505" s="23" t="n">
        <f aca="false">IFERROR(M505/B505*10000,0)</f>
        <v>0</v>
      </c>
      <c r="O505" s="20"/>
      <c r="P505" s="20"/>
      <c r="Q505" s="21" t="n">
        <f aca="false">O505+P505</f>
        <v>0</v>
      </c>
      <c r="R505" s="22" t="n">
        <f aca="false">IF(A505&lt;HlpChangeDate,HlpSharePre,HlpSharePost)</f>
        <v>0.03</v>
      </c>
      <c r="S505" s="21" t="n">
        <f aca="false">Q505*R505/(1-R505)</f>
        <v>0</v>
      </c>
      <c r="T505" s="20"/>
      <c r="U505" s="21" t="n">
        <f aca="false">S505-T505</f>
        <v>0</v>
      </c>
      <c r="V505" s="21" t="n">
        <f aca="false">Y505-O505*R505/(1-R505)</f>
        <v>0</v>
      </c>
      <c r="W505" s="21" t="n">
        <f aca="false">Z505-P505*R505/(1-R505)</f>
        <v>0</v>
      </c>
      <c r="X505" s="21" t="n">
        <f aca="false">S505+V505+W505</f>
        <v>0</v>
      </c>
      <c r="Y505" s="20"/>
      <c r="Z505" s="20"/>
      <c r="AA505" s="19" t="n">
        <v>0</v>
      </c>
      <c r="AB505" s="20"/>
      <c r="AC505" s="20"/>
      <c r="AD505" s="24" t="n">
        <f aca="false">IFERROR(AA505/AC505,0)</f>
        <v>0</v>
      </c>
      <c r="AE505" s="25" t="n">
        <f aca="false">K505-Q505-X505</f>
        <v>0</v>
      </c>
      <c r="AF505" s="25" t="n">
        <f aca="false">Q505-AA505</f>
        <v>0</v>
      </c>
      <c r="AG505" s="20"/>
      <c r="AH505" s="26" t="n">
        <f aca="false">IFERROR(AG505/Q505,0)</f>
        <v>0</v>
      </c>
      <c r="AI505" s="27" t="n">
        <v>0</v>
      </c>
      <c r="AJ505" s="26" t="n">
        <f aca="false">IF(AI505&gt;0,AprCoef/SQRT(AI505),0)</f>
        <v>0</v>
      </c>
      <c r="AK505" s="24" t="n">
        <f aca="false">AI505*AJ505/365</f>
        <v>0</v>
      </c>
      <c r="AL505" s="24" t="n">
        <f aca="false">AD505</f>
        <v>0</v>
      </c>
      <c r="AM505" s="24" t="n">
        <f aca="false">AK505-AL505</f>
        <v>0</v>
      </c>
      <c r="AN505" s="28" t="str">
        <f aca="false">IF(A505&gt;=Hip3LaunchDate,"YES","")</f>
        <v/>
      </c>
      <c r="AO505" s="28" t="str">
        <f aca="false">IF(A505&lt;Hip4LaunchDate,"pre-launch","live (zero-fee)")</f>
        <v>pre-launch</v>
      </c>
      <c r="AP505" s="20"/>
      <c r="AQ505" s="20"/>
      <c r="AR505" s="20"/>
    </row>
    <row r="506" customFormat="false" ht="15" hidden="false" customHeight="false" outlineLevel="0" collapsed="false">
      <c r="A506" s="18" t="n">
        <v>45567</v>
      </c>
      <c r="B506" s="19" t="n">
        <v>1714483327.24</v>
      </c>
      <c r="C506" s="19" t="n">
        <v>0</v>
      </c>
      <c r="D506" s="19" t="n">
        <v>2766600</v>
      </c>
      <c r="E506" s="21" t="n">
        <f aca="false">B506+C506</f>
        <v>1714483327.24</v>
      </c>
      <c r="F506" s="21" t="n">
        <f aca="false">E506+D506</f>
        <v>1717249927.24</v>
      </c>
      <c r="G506" s="22" t="n">
        <f aca="false">IFERROR(C506/E506,0)</f>
        <v>0</v>
      </c>
      <c r="H506" s="20"/>
      <c r="I506" s="20"/>
      <c r="J506" s="20"/>
      <c r="K506" s="21" t="n">
        <f aca="false">H506+I506</f>
        <v>0</v>
      </c>
      <c r="L506" s="20"/>
      <c r="M506" s="21" t="n">
        <f aca="false">H506-L506</f>
        <v>0</v>
      </c>
      <c r="N506" s="23" t="n">
        <f aca="false">IFERROR(M506/B506*10000,0)</f>
        <v>0</v>
      </c>
      <c r="O506" s="20"/>
      <c r="P506" s="20"/>
      <c r="Q506" s="21" t="n">
        <f aca="false">O506+P506</f>
        <v>0</v>
      </c>
      <c r="R506" s="22" t="n">
        <f aca="false">IF(A506&lt;HlpChangeDate,HlpSharePre,HlpSharePost)</f>
        <v>0.03</v>
      </c>
      <c r="S506" s="21" t="n">
        <f aca="false">Q506*R506/(1-R506)</f>
        <v>0</v>
      </c>
      <c r="T506" s="20"/>
      <c r="U506" s="21" t="n">
        <f aca="false">S506-T506</f>
        <v>0</v>
      </c>
      <c r="V506" s="21" t="n">
        <f aca="false">Y506-O506*R506/(1-R506)</f>
        <v>0</v>
      </c>
      <c r="W506" s="21" t="n">
        <f aca="false">Z506-P506*R506/(1-R506)</f>
        <v>0</v>
      </c>
      <c r="X506" s="21" t="n">
        <f aca="false">S506+V506+W506</f>
        <v>0</v>
      </c>
      <c r="Y506" s="20"/>
      <c r="Z506" s="20"/>
      <c r="AA506" s="19" t="n">
        <v>0</v>
      </c>
      <c r="AB506" s="20"/>
      <c r="AC506" s="20"/>
      <c r="AD506" s="24" t="n">
        <f aca="false">IFERROR(AA506/AC506,0)</f>
        <v>0</v>
      </c>
      <c r="AE506" s="25" t="n">
        <f aca="false">K506-Q506-X506</f>
        <v>0</v>
      </c>
      <c r="AF506" s="25" t="n">
        <f aca="false">Q506-AA506</f>
        <v>0</v>
      </c>
      <c r="AG506" s="20"/>
      <c r="AH506" s="26" t="n">
        <f aca="false">IFERROR(AG506/Q506,0)</f>
        <v>0</v>
      </c>
      <c r="AI506" s="27" t="n">
        <v>0</v>
      </c>
      <c r="AJ506" s="26" t="n">
        <f aca="false">IF(AI506&gt;0,AprCoef/SQRT(AI506),0)</f>
        <v>0</v>
      </c>
      <c r="AK506" s="24" t="n">
        <f aca="false">AI506*AJ506/365</f>
        <v>0</v>
      </c>
      <c r="AL506" s="24" t="n">
        <f aca="false">AD506</f>
        <v>0</v>
      </c>
      <c r="AM506" s="24" t="n">
        <f aca="false">AK506-AL506</f>
        <v>0</v>
      </c>
      <c r="AN506" s="28" t="str">
        <f aca="false">IF(A506&gt;=Hip3LaunchDate,"YES","")</f>
        <v/>
      </c>
      <c r="AO506" s="28" t="str">
        <f aca="false">IF(A506&lt;Hip4LaunchDate,"pre-launch","live (zero-fee)")</f>
        <v>pre-launch</v>
      </c>
      <c r="AP506" s="20"/>
      <c r="AQ506" s="20"/>
      <c r="AR506" s="20"/>
    </row>
    <row r="507" customFormat="false" ht="15" hidden="false" customHeight="false" outlineLevel="0" collapsed="false">
      <c r="A507" s="18" t="n">
        <v>45568</v>
      </c>
      <c r="B507" s="19" t="n">
        <v>1954885565.74</v>
      </c>
      <c r="C507" s="19" t="n">
        <v>0</v>
      </c>
      <c r="D507" s="19" t="n">
        <v>1033881</v>
      </c>
      <c r="E507" s="21" t="n">
        <f aca="false">B507+C507</f>
        <v>1954885565.74</v>
      </c>
      <c r="F507" s="21" t="n">
        <f aca="false">E507+D507</f>
        <v>1955919446.74</v>
      </c>
      <c r="G507" s="22" t="n">
        <f aca="false">IFERROR(C507/E507,0)</f>
        <v>0</v>
      </c>
      <c r="H507" s="20"/>
      <c r="I507" s="20"/>
      <c r="J507" s="20"/>
      <c r="K507" s="21" t="n">
        <f aca="false">H507+I507</f>
        <v>0</v>
      </c>
      <c r="L507" s="20"/>
      <c r="M507" s="21" t="n">
        <f aca="false">H507-L507</f>
        <v>0</v>
      </c>
      <c r="N507" s="23" t="n">
        <f aca="false">IFERROR(M507/B507*10000,0)</f>
        <v>0</v>
      </c>
      <c r="O507" s="20"/>
      <c r="P507" s="20"/>
      <c r="Q507" s="21" t="n">
        <f aca="false">O507+P507</f>
        <v>0</v>
      </c>
      <c r="R507" s="22" t="n">
        <f aca="false">IF(A507&lt;HlpChangeDate,HlpSharePre,HlpSharePost)</f>
        <v>0.03</v>
      </c>
      <c r="S507" s="21" t="n">
        <f aca="false">Q507*R507/(1-R507)</f>
        <v>0</v>
      </c>
      <c r="T507" s="20"/>
      <c r="U507" s="21" t="n">
        <f aca="false">S507-T507</f>
        <v>0</v>
      </c>
      <c r="V507" s="21" t="n">
        <f aca="false">Y507-O507*R507/(1-R507)</f>
        <v>0</v>
      </c>
      <c r="W507" s="21" t="n">
        <f aca="false">Z507-P507*R507/(1-R507)</f>
        <v>0</v>
      </c>
      <c r="X507" s="21" t="n">
        <f aca="false">S507+V507+W507</f>
        <v>0</v>
      </c>
      <c r="Y507" s="20"/>
      <c r="Z507" s="20"/>
      <c r="AA507" s="19" t="n">
        <v>0</v>
      </c>
      <c r="AB507" s="20"/>
      <c r="AC507" s="20"/>
      <c r="AD507" s="24" t="n">
        <f aca="false">IFERROR(AA507/AC507,0)</f>
        <v>0</v>
      </c>
      <c r="AE507" s="25" t="n">
        <f aca="false">K507-Q507-X507</f>
        <v>0</v>
      </c>
      <c r="AF507" s="25" t="n">
        <f aca="false">Q507-AA507</f>
        <v>0</v>
      </c>
      <c r="AG507" s="20"/>
      <c r="AH507" s="26" t="n">
        <f aca="false">IFERROR(AG507/Q507,0)</f>
        <v>0</v>
      </c>
      <c r="AI507" s="27" t="n">
        <v>0</v>
      </c>
      <c r="AJ507" s="26" t="n">
        <f aca="false">IF(AI507&gt;0,AprCoef/SQRT(AI507),0)</f>
        <v>0</v>
      </c>
      <c r="AK507" s="24" t="n">
        <f aca="false">AI507*AJ507/365</f>
        <v>0</v>
      </c>
      <c r="AL507" s="24" t="n">
        <f aca="false">AD507</f>
        <v>0</v>
      </c>
      <c r="AM507" s="24" t="n">
        <f aca="false">AK507-AL507</f>
        <v>0</v>
      </c>
      <c r="AN507" s="28" t="str">
        <f aca="false">IF(A507&gt;=Hip3LaunchDate,"YES","")</f>
        <v/>
      </c>
      <c r="AO507" s="28" t="str">
        <f aca="false">IF(A507&lt;Hip4LaunchDate,"pre-launch","live (zero-fee)")</f>
        <v>pre-launch</v>
      </c>
      <c r="AP507" s="20"/>
      <c r="AQ507" s="20"/>
      <c r="AR507" s="20"/>
    </row>
    <row r="508" customFormat="false" ht="15" hidden="false" customHeight="false" outlineLevel="0" collapsed="false">
      <c r="A508" s="18" t="n">
        <v>45569</v>
      </c>
      <c r="B508" s="19" t="n">
        <v>1095521303.85</v>
      </c>
      <c r="C508" s="19" t="n">
        <v>0</v>
      </c>
      <c r="D508" s="19" t="n">
        <v>2839854</v>
      </c>
      <c r="E508" s="21" t="n">
        <f aca="false">B508+C508</f>
        <v>1095521303.85</v>
      </c>
      <c r="F508" s="21" t="n">
        <f aca="false">E508+D508</f>
        <v>1098361157.85</v>
      </c>
      <c r="G508" s="22" t="n">
        <f aca="false">IFERROR(C508/E508,0)</f>
        <v>0</v>
      </c>
      <c r="H508" s="20"/>
      <c r="I508" s="20"/>
      <c r="J508" s="20"/>
      <c r="K508" s="21" t="n">
        <f aca="false">H508+I508</f>
        <v>0</v>
      </c>
      <c r="L508" s="20"/>
      <c r="M508" s="21" t="n">
        <f aca="false">H508-L508</f>
        <v>0</v>
      </c>
      <c r="N508" s="23" t="n">
        <f aca="false">IFERROR(M508/B508*10000,0)</f>
        <v>0</v>
      </c>
      <c r="O508" s="20"/>
      <c r="P508" s="20"/>
      <c r="Q508" s="21" t="n">
        <f aca="false">O508+P508</f>
        <v>0</v>
      </c>
      <c r="R508" s="22" t="n">
        <f aca="false">IF(A508&lt;HlpChangeDate,HlpSharePre,HlpSharePost)</f>
        <v>0.03</v>
      </c>
      <c r="S508" s="21" t="n">
        <f aca="false">Q508*R508/(1-R508)</f>
        <v>0</v>
      </c>
      <c r="T508" s="20"/>
      <c r="U508" s="21" t="n">
        <f aca="false">S508-T508</f>
        <v>0</v>
      </c>
      <c r="V508" s="21" t="n">
        <f aca="false">Y508-O508*R508/(1-R508)</f>
        <v>0</v>
      </c>
      <c r="W508" s="21" t="n">
        <f aca="false">Z508-P508*R508/(1-R508)</f>
        <v>0</v>
      </c>
      <c r="X508" s="21" t="n">
        <f aca="false">S508+V508+W508</f>
        <v>0</v>
      </c>
      <c r="Y508" s="20"/>
      <c r="Z508" s="20"/>
      <c r="AA508" s="19" t="n">
        <v>0</v>
      </c>
      <c r="AB508" s="20"/>
      <c r="AC508" s="20"/>
      <c r="AD508" s="24" t="n">
        <f aca="false">IFERROR(AA508/AC508,0)</f>
        <v>0</v>
      </c>
      <c r="AE508" s="25" t="n">
        <f aca="false">K508-Q508-X508</f>
        <v>0</v>
      </c>
      <c r="AF508" s="25" t="n">
        <f aca="false">Q508-AA508</f>
        <v>0</v>
      </c>
      <c r="AG508" s="20"/>
      <c r="AH508" s="26" t="n">
        <f aca="false">IFERROR(AG508/Q508,0)</f>
        <v>0</v>
      </c>
      <c r="AI508" s="27" t="n">
        <v>0</v>
      </c>
      <c r="AJ508" s="26" t="n">
        <f aca="false">IF(AI508&gt;0,AprCoef/SQRT(AI508),0)</f>
        <v>0</v>
      </c>
      <c r="AK508" s="24" t="n">
        <f aca="false">AI508*AJ508/365</f>
        <v>0</v>
      </c>
      <c r="AL508" s="24" t="n">
        <f aca="false">AD508</f>
        <v>0</v>
      </c>
      <c r="AM508" s="24" t="n">
        <f aca="false">AK508-AL508</f>
        <v>0</v>
      </c>
      <c r="AN508" s="28" t="str">
        <f aca="false">IF(A508&gt;=Hip3LaunchDate,"YES","")</f>
        <v/>
      </c>
      <c r="AO508" s="28" t="str">
        <f aca="false">IF(A508&lt;Hip4LaunchDate,"pre-launch","live (zero-fee)")</f>
        <v>pre-launch</v>
      </c>
      <c r="AP508" s="20"/>
      <c r="AQ508" s="20"/>
      <c r="AR508" s="20"/>
    </row>
    <row r="509" customFormat="false" ht="15" hidden="false" customHeight="false" outlineLevel="0" collapsed="false">
      <c r="A509" s="18" t="n">
        <v>45570</v>
      </c>
      <c r="B509" s="19" t="n">
        <v>464723672.2</v>
      </c>
      <c r="C509" s="19" t="n">
        <v>0</v>
      </c>
      <c r="D509" s="19" t="n">
        <v>729557</v>
      </c>
      <c r="E509" s="21" t="n">
        <f aca="false">B509+C509</f>
        <v>464723672.2</v>
      </c>
      <c r="F509" s="21" t="n">
        <f aca="false">E509+D509</f>
        <v>465453229.2</v>
      </c>
      <c r="G509" s="22" t="n">
        <f aca="false">IFERROR(C509/E509,0)</f>
        <v>0</v>
      </c>
      <c r="H509" s="20"/>
      <c r="I509" s="20"/>
      <c r="J509" s="20"/>
      <c r="K509" s="21" t="n">
        <f aca="false">H509+I509</f>
        <v>0</v>
      </c>
      <c r="L509" s="20"/>
      <c r="M509" s="21" t="n">
        <f aca="false">H509-L509</f>
        <v>0</v>
      </c>
      <c r="N509" s="23" t="n">
        <f aca="false">IFERROR(M509/B509*10000,0)</f>
        <v>0</v>
      </c>
      <c r="O509" s="20"/>
      <c r="P509" s="20"/>
      <c r="Q509" s="21" t="n">
        <f aca="false">O509+P509</f>
        <v>0</v>
      </c>
      <c r="R509" s="22" t="n">
        <f aca="false">IF(A509&lt;HlpChangeDate,HlpSharePre,HlpSharePost)</f>
        <v>0.03</v>
      </c>
      <c r="S509" s="21" t="n">
        <f aca="false">Q509*R509/(1-R509)</f>
        <v>0</v>
      </c>
      <c r="T509" s="20"/>
      <c r="U509" s="21" t="n">
        <f aca="false">S509-T509</f>
        <v>0</v>
      </c>
      <c r="V509" s="21" t="n">
        <f aca="false">Y509-O509*R509/(1-R509)</f>
        <v>0</v>
      </c>
      <c r="W509" s="21" t="n">
        <f aca="false">Z509-P509*R509/(1-R509)</f>
        <v>0</v>
      </c>
      <c r="X509" s="21" t="n">
        <f aca="false">S509+V509+W509</f>
        <v>0</v>
      </c>
      <c r="Y509" s="20"/>
      <c r="Z509" s="20"/>
      <c r="AA509" s="19" t="n">
        <v>0</v>
      </c>
      <c r="AB509" s="20"/>
      <c r="AC509" s="20"/>
      <c r="AD509" s="24" t="n">
        <f aca="false">IFERROR(AA509/AC509,0)</f>
        <v>0</v>
      </c>
      <c r="AE509" s="25" t="n">
        <f aca="false">K509-Q509-X509</f>
        <v>0</v>
      </c>
      <c r="AF509" s="25" t="n">
        <f aca="false">Q509-AA509</f>
        <v>0</v>
      </c>
      <c r="AG509" s="20"/>
      <c r="AH509" s="26" t="n">
        <f aca="false">IFERROR(AG509/Q509,0)</f>
        <v>0</v>
      </c>
      <c r="AI509" s="27" t="n">
        <v>0</v>
      </c>
      <c r="AJ509" s="26" t="n">
        <f aca="false">IF(AI509&gt;0,AprCoef/SQRT(AI509),0)</f>
        <v>0</v>
      </c>
      <c r="AK509" s="24" t="n">
        <f aca="false">AI509*AJ509/365</f>
        <v>0</v>
      </c>
      <c r="AL509" s="24" t="n">
        <f aca="false">AD509</f>
        <v>0</v>
      </c>
      <c r="AM509" s="24" t="n">
        <f aca="false">AK509-AL509</f>
        <v>0</v>
      </c>
      <c r="AN509" s="28" t="str">
        <f aca="false">IF(A509&gt;=Hip3LaunchDate,"YES","")</f>
        <v/>
      </c>
      <c r="AO509" s="28" t="str">
        <f aca="false">IF(A509&lt;Hip4LaunchDate,"pre-launch","live (zero-fee)")</f>
        <v>pre-launch</v>
      </c>
      <c r="AP509" s="20"/>
      <c r="AQ509" s="20"/>
      <c r="AR509" s="20"/>
    </row>
    <row r="510" customFormat="false" ht="15" hidden="false" customHeight="false" outlineLevel="0" collapsed="false">
      <c r="A510" s="18" t="n">
        <v>45571</v>
      </c>
      <c r="B510" s="19" t="n">
        <v>562267864.48</v>
      </c>
      <c r="C510" s="19" t="n">
        <v>0</v>
      </c>
      <c r="D510" s="19" t="n">
        <v>716965</v>
      </c>
      <c r="E510" s="21" t="n">
        <f aca="false">B510+C510</f>
        <v>562267864.48</v>
      </c>
      <c r="F510" s="21" t="n">
        <f aca="false">E510+D510</f>
        <v>562984829.48</v>
      </c>
      <c r="G510" s="22" t="n">
        <f aca="false">IFERROR(C510/E510,0)</f>
        <v>0</v>
      </c>
      <c r="H510" s="20"/>
      <c r="I510" s="20"/>
      <c r="J510" s="20"/>
      <c r="K510" s="21" t="n">
        <f aca="false">H510+I510</f>
        <v>0</v>
      </c>
      <c r="L510" s="20"/>
      <c r="M510" s="21" t="n">
        <f aca="false">H510-L510</f>
        <v>0</v>
      </c>
      <c r="N510" s="23" t="n">
        <f aca="false">IFERROR(M510/B510*10000,0)</f>
        <v>0</v>
      </c>
      <c r="O510" s="20"/>
      <c r="P510" s="20"/>
      <c r="Q510" s="21" t="n">
        <f aca="false">O510+P510</f>
        <v>0</v>
      </c>
      <c r="R510" s="22" t="n">
        <f aca="false">IF(A510&lt;HlpChangeDate,HlpSharePre,HlpSharePost)</f>
        <v>0.03</v>
      </c>
      <c r="S510" s="21" t="n">
        <f aca="false">Q510*R510/(1-R510)</f>
        <v>0</v>
      </c>
      <c r="T510" s="20"/>
      <c r="U510" s="21" t="n">
        <f aca="false">S510-T510</f>
        <v>0</v>
      </c>
      <c r="V510" s="21" t="n">
        <f aca="false">Y510-O510*R510/(1-R510)</f>
        <v>0</v>
      </c>
      <c r="W510" s="21" t="n">
        <f aca="false">Z510-P510*R510/(1-R510)</f>
        <v>0</v>
      </c>
      <c r="X510" s="21" t="n">
        <f aca="false">S510+V510+W510</f>
        <v>0</v>
      </c>
      <c r="Y510" s="20"/>
      <c r="Z510" s="20"/>
      <c r="AA510" s="19" t="n">
        <v>0</v>
      </c>
      <c r="AB510" s="20"/>
      <c r="AC510" s="20"/>
      <c r="AD510" s="24" t="n">
        <f aca="false">IFERROR(AA510/AC510,0)</f>
        <v>0</v>
      </c>
      <c r="AE510" s="25" t="n">
        <f aca="false">K510-Q510-X510</f>
        <v>0</v>
      </c>
      <c r="AF510" s="25" t="n">
        <f aca="false">Q510-AA510</f>
        <v>0</v>
      </c>
      <c r="AG510" s="20"/>
      <c r="AH510" s="26" t="n">
        <f aca="false">IFERROR(AG510/Q510,0)</f>
        <v>0</v>
      </c>
      <c r="AI510" s="27" t="n">
        <v>0</v>
      </c>
      <c r="AJ510" s="26" t="n">
        <f aca="false">IF(AI510&gt;0,AprCoef/SQRT(AI510),0)</f>
        <v>0</v>
      </c>
      <c r="AK510" s="24" t="n">
        <f aca="false">AI510*AJ510/365</f>
        <v>0</v>
      </c>
      <c r="AL510" s="24" t="n">
        <f aca="false">AD510</f>
        <v>0</v>
      </c>
      <c r="AM510" s="24" t="n">
        <f aca="false">AK510-AL510</f>
        <v>0</v>
      </c>
      <c r="AN510" s="28" t="str">
        <f aca="false">IF(A510&gt;=Hip3LaunchDate,"YES","")</f>
        <v/>
      </c>
      <c r="AO510" s="28" t="str">
        <f aca="false">IF(A510&lt;Hip4LaunchDate,"pre-launch","live (zero-fee)")</f>
        <v>pre-launch</v>
      </c>
      <c r="AP510" s="20"/>
      <c r="AQ510" s="20"/>
      <c r="AR510" s="20"/>
    </row>
    <row r="511" customFormat="false" ht="15" hidden="false" customHeight="false" outlineLevel="0" collapsed="false">
      <c r="A511" s="18" t="n">
        <v>45572</v>
      </c>
      <c r="B511" s="19" t="n">
        <v>1093912855.72</v>
      </c>
      <c r="C511" s="19" t="n">
        <v>0</v>
      </c>
      <c r="D511" s="19" t="n">
        <v>1688548</v>
      </c>
      <c r="E511" s="21" t="n">
        <f aca="false">B511+C511</f>
        <v>1093912855.72</v>
      </c>
      <c r="F511" s="21" t="n">
        <f aca="false">E511+D511</f>
        <v>1095601403.72</v>
      </c>
      <c r="G511" s="22" t="n">
        <f aca="false">IFERROR(C511/E511,0)</f>
        <v>0</v>
      </c>
      <c r="H511" s="20"/>
      <c r="I511" s="20"/>
      <c r="J511" s="20"/>
      <c r="K511" s="21" t="n">
        <f aca="false">H511+I511</f>
        <v>0</v>
      </c>
      <c r="L511" s="20"/>
      <c r="M511" s="21" t="n">
        <f aca="false">H511-L511</f>
        <v>0</v>
      </c>
      <c r="N511" s="23" t="n">
        <f aca="false">IFERROR(M511/B511*10000,0)</f>
        <v>0</v>
      </c>
      <c r="O511" s="20"/>
      <c r="P511" s="20"/>
      <c r="Q511" s="21" t="n">
        <f aca="false">O511+P511</f>
        <v>0</v>
      </c>
      <c r="R511" s="22" t="n">
        <f aca="false">IF(A511&lt;HlpChangeDate,HlpSharePre,HlpSharePost)</f>
        <v>0.03</v>
      </c>
      <c r="S511" s="21" t="n">
        <f aca="false">Q511*R511/(1-R511)</f>
        <v>0</v>
      </c>
      <c r="T511" s="20"/>
      <c r="U511" s="21" t="n">
        <f aca="false">S511-T511</f>
        <v>0</v>
      </c>
      <c r="V511" s="21" t="n">
        <f aca="false">Y511-O511*R511/(1-R511)</f>
        <v>0</v>
      </c>
      <c r="W511" s="21" t="n">
        <f aca="false">Z511-P511*R511/(1-R511)</f>
        <v>0</v>
      </c>
      <c r="X511" s="21" t="n">
        <f aca="false">S511+V511+W511</f>
        <v>0</v>
      </c>
      <c r="Y511" s="20"/>
      <c r="Z511" s="20"/>
      <c r="AA511" s="19" t="n">
        <v>0</v>
      </c>
      <c r="AB511" s="20"/>
      <c r="AC511" s="20"/>
      <c r="AD511" s="24" t="n">
        <f aca="false">IFERROR(AA511/AC511,0)</f>
        <v>0</v>
      </c>
      <c r="AE511" s="25" t="n">
        <f aca="false">K511-Q511-X511</f>
        <v>0</v>
      </c>
      <c r="AF511" s="25" t="n">
        <f aca="false">Q511-AA511</f>
        <v>0</v>
      </c>
      <c r="AG511" s="20"/>
      <c r="AH511" s="26" t="n">
        <f aca="false">IFERROR(AG511/Q511,0)</f>
        <v>0</v>
      </c>
      <c r="AI511" s="27" t="n">
        <v>0</v>
      </c>
      <c r="AJ511" s="26" t="n">
        <f aca="false">IF(AI511&gt;0,AprCoef/SQRT(AI511),0)</f>
        <v>0</v>
      </c>
      <c r="AK511" s="24" t="n">
        <f aca="false">AI511*AJ511/365</f>
        <v>0</v>
      </c>
      <c r="AL511" s="24" t="n">
        <f aca="false">AD511</f>
        <v>0</v>
      </c>
      <c r="AM511" s="24" t="n">
        <f aca="false">AK511-AL511</f>
        <v>0</v>
      </c>
      <c r="AN511" s="28" t="str">
        <f aca="false">IF(A511&gt;=Hip3LaunchDate,"YES","")</f>
        <v/>
      </c>
      <c r="AO511" s="28" t="str">
        <f aca="false">IF(A511&lt;Hip4LaunchDate,"pre-launch","live (zero-fee)")</f>
        <v>pre-launch</v>
      </c>
      <c r="AP511" s="20"/>
      <c r="AQ511" s="20"/>
      <c r="AR511" s="20"/>
    </row>
    <row r="512" customFormat="false" ht="15" hidden="false" customHeight="false" outlineLevel="0" collapsed="false">
      <c r="A512" s="18" t="n">
        <v>45573</v>
      </c>
      <c r="B512" s="19" t="n">
        <v>1217819875.48</v>
      </c>
      <c r="C512" s="19" t="n">
        <v>0</v>
      </c>
      <c r="D512" s="19" t="n">
        <v>1807968</v>
      </c>
      <c r="E512" s="21" t="n">
        <f aca="false">B512+C512</f>
        <v>1217819875.48</v>
      </c>
      <c r="F512" s="21" t="n">
        <f aca="false">E512+D512</f>
        <v>1219627843.48</v>
      </c>
      <c r="G512" s="22" t="n">
        <f aca="false">IFERROR(C512/E512,0)</f>
        <v>0</v>
      </c>
      <c r="H512" s="20"/>
      <c r="I512" s="20"/>
      <c r="J512" s="20"/>
      <c r="K512" s="21" t="n">
        <f aca="false">H512+I512</f>
        <v>0</v>
      </c>
      <c r="L512" s="20"/>
      <c r="M512" s="21" t="n">
        <f aca="false">H512-L512</f>
        <v>0</v>
      </c>
      <c r="N512" s="23" t="n">
        <f aca="false">IFERROR(M512/B512*10000,0)</f>
        <v>0</v>
      </c>
      <c r="O512" s="20"/>
      <c r="P512" s="20"/>
      <c r="Q512" s="21" t="n">
        <f aca="false">O512+P512</f>
        <v>0</v>
      </c>
      <c r="R512" s="22" t="n">
        <f aca="false">IF(A512&lt;HlpChangeDate,HlpSharePre,HlpSharePost)</f>
        <v>0.03</v>
      </c>
      <c r="S512" s="21" t="n">
        <f aca="false">Q512*R512/(1-R512)</f>
        <v>0</v>
      </c>
      <c r="T512" s="20"/>
      <c r="U512" s="21" t="n">
        <f aca="false">S512-T512</f>
        <v>0</v>
      </c>
      <c r="V512" s="21" t="n">
        <f aca="false">Y512-O512*R512/(1-R512)</f>
        <v>0</v>
      </c>
      <c r="W512" s="21" t="n">
        <f aca="false">Z512-P512*R512/(1-R512)</f>
        <v>0</v>
      </c>
      <c r="X512" s="21" t="n">
        <f aca="false">S512+V512+W512</f>
        <v>0</v>
      </c>
      <c r="Y512" s="20"/>
      <c r="Z512" s="20"/>
      <c r="AA512" s="19" t="n">
        <v>0</v>
      </c>
      <c r="AB512" s="20"/>
      <c r="AC512" s="20"/>
      <c r="AD512" s="24" t="n">
        <f aca="false">IFERROR(AA512/AC512,0)</f>
        <v>0</v>
      </c>
      <c r="AE512" s="25" t="n">
        <f aca="false">K512-Q512-X512</f>
        <v>0</v>
      </c>
      <c r="AF512" s="25" t="n">
        <f aca="false">Q512-AA512</f>
        <v>0</v>
      </c>
      <c r="AG512" s="20"/>
      <c r="AH512" s="26" t="n">
        <f aca="false">IFERROR(AG512/Q512,0)</f>
        <v>0</v>
      </c>
      <c r="AI512" s="27" t="n">
        <v>0</v>
      </c>
      <c r="AJ512" s="26" t="n">
        <f aca="false">IF(AI512&gt;0,AprCoef/SQRT(AI512),0)</f>
        <v>0</v>
      </c>
      <c r="AK512" s="24" t="n">
        <f aca="false">AI512*AJ512/365</f>
        <v>0</v>
      </c>
      <c r="AL512" s="24" t="n">
        <f aca="false">AD512</f>
        <v>0</v>
      </c>
      <c r="AM512" s="24" t="n">
        <f aca="false">AK512-AL512</f>
        <v>0</v>
      </c>
      <c r="AN512" s="28" t="str">
        <f aca="false">IF(A512&gt;=Hip3LaunchDate,"YES","")</f>
        <v/>
      </c>
      <c r="AO512" s="28" t="str">
        <f aca="false">IF(A512&lt;Hip4LaunchDate,"pre-launch","live (zero-fee)")</f>
        <v>pre-launch</v>
      </c>
      <c r="AP512" s="20"/>
      <c r="AQ512" s="20"/>
      <c r="AR512" s="20"/>
    </row>
    <row r="513" customFormat="false" ht="15" hidden="false" customHeight="false" outlineLevel="0" collapsed="false">
      <c r="A513" s="18" t="n">
        <v>45574</v>
      </c>
      <c r="B513" s="19" t="n">
        <v>1065322485.58</v>
      </c>
      <c r="C513" s="19" t="n">
        <v>0</v>
      </c>
      <c r="D513" s="19" t="n">
        <v>1152790</v>
      </c>
      <c r="E513" s="21" t="n">
        <f aca="false">B513+C513</f>
        <v>1065322485.58</v>
      </c>
      <c r="F513" s="21" t="n">
        <f aca="false">E513+D513</f>
        <v>1066475275.58</v>
      </c>
      <c r="G513" s="22" t="n">
        <f aca="false">IFERROR(C513/E513,0)</f>
        <v>0</v>
      </c>
      <c r="H513" s="20"/>
      <c r="I513" s="20"/>
      <c r="J513" s="20"/>
      <c r="K513" s="21" t="n">
        <f aca="false">H513+I513</f>
        <v>0</v>
      </c>
      <c r="L513" s="20"/>
      <c r="M513" s="21" t="n">
        <f aca="false">H513-L513</f>
        <v>0</v>
      </c>
      <c r="N513" s="23" t="n">
        <f aca="false">IFERROR(M513/B513*10000,0)</f>
        <v>0</v>
      </c>
      <c r="O513" s="20"/>
      <c r="P513" s="20"/>
      <c r="Q513" s="21" t="n">
        <f aca="false">O513+P513</f>
        <v>0</v>
      </c>
      <c r="R513" s="22" t="n">
        <f aca="false">IF(A513&lt;HlpChangeDate,HlpSharePre,HlpSharePost)</f>
        <v>0.03</v>
      </c>
      <c r="S513" s="21" t="n">
        <f aca="false">Q513*R513/(1-R513)</f>
        <v>0</v>
      </c>
      <c r="T513" s="20"/>
      <c r="U513" s="21" t="n">
        <f aca="false">S513-T513</f>
        <v>0</v>
      </c>
      <c r="V513" s="21" t="n">
        <f aca="false">Y513-O513*R513/(1-R513)</f>
        <v>0</v>
      </c>
      <c r="W513" s="21" t="n">
        <f aca="false">Z513-P513*R513/(1-R513)</f>
        <v>0</v>
      </c>
      <c r="X513" s="21" t="n">
        <f aca="false">S513+V513+W513</f>
        <v>0</v>
      </c>
      <c r="Y513" s="20"/>
      <c r="Z513" s="20"/>
      <c r="AA513" s="19" t="n">
        <v>0</v>
      </c>
      <c r="AB513" s="20"/>
      <c r="AC513" s="20"/>
      <c r="AD513" s="24" t="n">
        <f aca="false">IFERROR(AA513/AC513,0)</f>
        <v>0</v>
      </c>
      <c r="AE513" s="25" t="n">
        <f aca="false">K513-Q513-X513</f>
        <v>0</v>
      </c>
      <c r="AF513" s="25" t="n">
        <f aca="false">Q513-AA513</f>
        <v>0</v>
      </c>
      <c r="AG513" s="20"/>
      <c r="AH513" s="26" t="n">
        <f aca="false">IFERROR(AG513/Q513,0)</f>
        <v>0</v>
      </c>
      <c r="AI513" s="27" t="n">
        <v>0</v>
      </c>
      <c r="AJ513" s="26" t="n">
        <f aca="false">IF(AI513&gt;0,AprCoef/SQRT(AI513),0)</f>
        <v>0</v>
      </c>
      <c r="AK513" s="24" t="n">
        <f aca="false">AI513*AJ513/365</f>
        <v>0</v>
      </c>
      <c r="AL513" s="24" t="n">
        <f aca="false">AD513</f>
        <v>0</v>
      </c>
      <c r="AM513" s="24" t="n">
        <f aca="false">AK513-AL513</f>
        <v>0</v>
      </c>
      <c r="AN513" s="28" t="str">
        <f aca="false">IF(A513&gt;=Hip3LaunchDate,"YES","")</f>
        <v/>
      </c>
      <c r="AO513" s="28" t="str">
        <f aca="false">IF(A513&lt;Hip4LaunchDate,"pre-launch","live (zero-fee)")</f>
        <v>pre-launch</v>
      </c>
      <c r="AP513" s="20"/>
      <c r="AQ513" s="20"/>
      <c r="AR513" s="20"/>
    </row>
    <row r="514" customFormat="false" ht="15" hidden="false" customHeight="false" outlineLevel="0" collapsed="false">
      <c r="A514" s="18" t="n">
        <v>45575</v>
      </c>
      <c r="B514" s="19" t="n">
        <v>1325469991.06</v>
      </c>
      <c r="C514" s="19" t="n">
        <v>0</v>
      </c>
      <c r="D514" s="19" t="n">
        <v>1076444</v>
      </c>
      <c r="E514" s="21" t="n">
        <f aca="false">B514+C514</f>
        <v>1325469991.06</v>
      </c>
      <c r="F514" s="21" t="n">
        <f aca="false">E514+D514</f>
        <v>1326546435.06</v>
      </c>
      <c r="G514" s="22" t="n">
        <f aca="false">IFERROR(C514/E514,0)</f>
        <v>0</v>
      </c>
      <c r="H514" s="20"/>
      <c r="I514" s="20"/>
      <c r="J514" s="20"/>
      <c r="K514" s="21" t="n">
        <f aca="false">H514+I514</f>
        <v>0</v>
      </c>
      <c r="L514" s="20"/>
      <c r="M514" s="21" t="n">
        <f aca="false">H514-L514</f>
        <v>0</v>
      </c>
      <c r="N514" s="23" t="n">
        <f aca="false">IFERROR(M514/B514*10000,0)</f>
        <v>0</v>
      </c>
      <c r="O514" s="20"/>
      <c r="P514" s="20"/>
      <c r="Q514" s="21" t="n">
        <f aca="false">O514+P514</f>
        <v>0</v>
      </c>
      <c r="R514" s="22" t="n">
        <f aca="false">IF(A514&lt;HlpChangeDate,HlpSharePre,HlpSharePost)</f>
        <v>0.03</v>
      </c>
      <c r="S514" s="21" t="n">
        <f aca="false">Q514*R514/(1-R514)</f>
        <v>0</v>
      </c>
      <c r="T514" s="20"/>
      <c r="U514" s="21" t="n">
        <f aca="false">S514-T514</f>
        <v>0</v>
      </c>
      <c r="V514" s="21" t="n">
        <f aca="false">Y514-O514*R514/(1-R514)</f>
        <v>0</v>
      </c>
      <c r="W514" s="21" t="n">
        <f aca="false">Z514-P514*R514/(1-R514)</f>
        <v>0</v>
      </c>
      <c r="X514" s="21" t="n">
        <f aca="false">S514+V514+W514</f>
        <v>0</v>
      </c>
      <c r="Y514" s="20"/>
      <c r="Z514" s="20"/>
      <c r="AA514" s="19" t="n">
        <v>0</v>
      </c>
      <c r="AB514" s="20"/>
      <c r="AC514" s="20"/>
      <c r="AD514" s="24" t="n">
        <f aca="false">IFERROR(AA514/AC514,0)</f>
        <v>0</v>
      </c>
      <c r="AE514" s="25" t="n">
        <f aca="false">K514-Q514-X514</f>
        <v>0</v>
      </c>
      <c r="AF514" s="25" t="n">
        <f aca="false">Q514-AA514</f>
        <v>0</v>
      </c>
      <c r="AG514" s="20"/>
      <c r="AH514" s="26" t="n">
        <f aca="false">IFERROR(AG514/Q514,0)</f>
        <v>0</v>
      </c>
      <c r="AI514" s="27" t="n">
        <v>0</v>
      </c>
      <c r="AJ514" s="26" t="n">
        <f aca="false">IF(AI514&gt;0,AprCoef/SQRT(AI514),0)</f>
        <v>0</v>
      </c>
      <c r="AK514" s="24" t="n">
        <f aca="false">AI514*AJ514/365</f>
        <v>0</v>
      </c>
      <c r="AL514" s="24" t="n">
        <f aca="false">AD514</f>
        <v>0</v>
      </c>
      <c r="AM514" s="24" t="n">
        <f aca="false">AK514-AL514</f>
        <v>0</v>
      </c>
      <c r="AN514" s="28" t="str">
        <f aca="false">IF(A514&gt;=Hip3LaunchDate,"YES","")</f>
        <v/>
      </c>
      <c r="AO514" s="28" t="str">
        <f aca="false">IF(A514&lt;Hip4LaunchDate,"pre-launch","live (zero-fee)")</f>
        <v>pre-launch</v>
      </c>
      <c r="AP514" s="20"/>
      <c r="AQ514" s="20"/>
      <c r="AR514" s="20"/>
    </row>
    <row r="515" customFormat="false" ht="15" hidden="false" customHeight="false" outlineLevel="0" collapsed="false">
      <c r="A515" s="18" t="n">
        <v>45576</v>
      </c>
      <c r="B515" s="19" t="n">
        <v>966555122.89</v>
      </c>
      <c r="C515" s="19" t="n">
        <v>0</v>
      </c>
      <c r="D515" s="19" t="n">
        <v>784798</v>
      </c>
      <c r="E515" s="21" t="n">
        <f aca="false">B515+C515</f>
        <v>966555122.89</v>
      </c>
      <c r="F515" s="21" t="n">
        <f aca="false">E515+D515</f>
        <v>967339920.89</v>
      </c>
      <c r="G515" s="22" t="n">
        <f aca="false">IFERROR(C515/E515,0)</f>
        <v>0</v>
      </c>
      <c r="H515" s="20"/>
      <c r="I515" s="20"/>
      <c r="J515" s="20"/>
      <c r="K515" s="21" t="n">
        <f aca="false">H515+I515</f>
        <v>0</v>
      </c>
      <c r="L515" s="20"/>
      <c r="M515" s="21" t="n">
        <f aca="false">H515-L515</f>
        <v>0</v>
      </c>
      <c r="N515" s="23" t="n">
        <f aca="false">IFERROR(M515/B515*10000,0)</f>
        <v>0</v>
      </c>
      <c r="O515" s="20"/>
      <c r="P515" s="20"/>
      <c r="Q515" s="21" t="n">
        <f aca="false">O515+P515</f>
        <v>0</v>
      </c>
      <c r="R515" s="22" t="n">
        <f aca="false">IF(A515&lt;HlpChangeDate,HlpSharePre,HlpSharePost)</f>
        <v>0.03</v>
      </c>
      <c r="S515" s="21" t="n">
        <f aca="false">Q515*R515/(1-R515)</f>
        <v>0</v>
      </c>
      <c r="T515" s="20"/>
      <c r="U515" s="21" t="n">
        <f aca="false">S515-T515</f>
        <v>0</v>
      </c>
      <c r="V515" s="21" t="n">
        <f aca="false">Y515-O515*R515/(1-R515)</f>
        <v>0</v>
      </c>
      <c r="W515" s="21" t="n">
        <f aca="false">Z515-P515*R515/(1-R515)</f>
        <v>0</v>
      </c>
      <c r="X515" s="21" t="n">
        <f aca="false">S515+V515+W515</f>
        <v>0</v>
      </c>
      <c r="Y515" s="20"/>
      <c r="Z515" s="20"/>
      <c r="AA515" s="19" t="n">
        <v>0</v>
      </c>
      <c r="AB515" s="20"/>
      <c r="AC515" s="20"/>
      <c r="AD515" s="24" t="n">
        <f aca="false">IFERROR(AA515/AC515,0)</f>
        <v>0</v>
      </c>
      <c r="AE515" s="25" t="n">
        <f aca="false">K515-Q515-X515</f>
        <v>0</v>
      </c>
      <c r="AF515" s="25" t="n">
        <f aca="false">Q515-AA515</f>
        <v>0</v>
      </c>
      <c r="AG515" s="20"/>
      <c r="AH515" s="26" t="n">
        <f aca="false">IFERROR(AG515/Q515,0)</f>
        <v>0</v>
      </c>
      <c r="AI515" s="27" t="n">
        <v>0</v>
      </c>
      <c r="AJ515" s="26" t="n">
        <f aca="false">IF(AI515&gt;0,AprCoef/SQRT(AI515),0)</f>
        <v>0</v>
      </c>
      <c r="AK515" s="24" t="n">
        <f aca="false">AI515*AJ515/365</f>
        <v>0</v>
      </c>
      <c r="AL515" s="24" t="n">
        <f aca="false">AD515</f>
        <v>0</v>
      </c>
      <c r="AM515" s="24" t="n">
        <f aca="false">AK515-AL515</f>
        <v>0</v>
      </c>
      <c r="AN515" s="28" t="str">
        <f aca="false">IF(A515&gt;=Hip3LaunchDate,"YES","")</f>
        <v/>
      </c>
      <c r="AO515" s="28" t="str">
        <f aca="false">IF(A515&lt;Hip4LaunchDate,"pre-launch","live (zero-fee)")</f>
        <v>pre-launch</v>
      </c>
      <c r="AP515" s="20"/>
      <c r="AQ515" s="20"/>
      <c r="AR515" s="20"/>
    </row>
    <row r="516" customFormat="false" ht="15" hidden="false" customHeight="false" outlineLevel="0" collapsed="false">
      <c r="A516" s="18" t="n">
        <v>45577</v>
      </c>
      <c r="B516" s="19" t="n">
        <v>490461531.51</v>
      </c>
      <c r="C516" s="19" t="n">
        <v>0</v>
      </c>
      <c r="D516" s="19" t="n">
        <v>505798</v>
      </c>
      <c r="E516" s="21" t="n">
        <f aca="false">B516+C516</f>
        <v>490461531.51</v>
      </c>
      <c r="F516" s="21" t="n">
        <f aca="false">E516+D516</f>
        <v>490967329.51</v>
      </c>
      <c r="G516" s="22" t="n">
        <f aca="false">IFERROR(C516/E516,0)</f>
        <v>0</v>
      </c>
      <c r="H516" s="20"/>
      <c r="I516" s="20"/>
      <c r="J516" s="20"/>
      <c r="K516" s="21" t="n">
        <f aca="false">H516+I516</f>
        <v>0</v>
      </c>
      <c r="L516" s="20"/>
      <c r="M516" s="21" t="n">
        <f aca="false">H516-L516</f>
        <v>0</v>
      </c>
      <c r="N516" s="23" t="n">
        <f aca="false">IFERROR(M516/B516*10000,0)</f>
        <v>0</v>
      </c>
      <c r="O516" s="20"/>
      <c r="P516" s="20"/>
      <c r="Q516" s="21" t="n">
        <f aca="false">O516+P516</f>
        <v>0</v>
      </c>
      <c r="R516" s="22" t="n">
        <f aca="false">IF(A516&lt;HlpChangeDate,HlpSharePre,HlpSharePost)</f>
        <v>0.03</v>
      </c>
      <c r="S516" s="21" t="n">
        <f aca="false">Q516*R516/(1-R516)</f>
        <v>0</v>
      </c>
      <c r="T516" s="20"/>
      <c r="U516" s="21" t="n">
        <f aca="false">S516-T516</f>
        <v>0</v>
      </c>
      <c r="V516" s="21" t="n">
        <f aca="false">Y516-O516*R516/(1-R516)</f>
        <v>0</v>
      </c>
      <c r="W516" s="21" t="n">
        <f aca="false">Z516-P516*R516/(1-R516)</f>
        <v>0</v>
      </c>
      <c r="X516" s="21" t="n">
        <f aca="false">S516+V516+W516</f>
        <v>0</v>
      </c>
      <c r="Y516" s="20"/>
      <c r="Z516" s="20"/>
      <c r="AA516" s="19" t="n">
        <v>0</v>
      </c>
      <c r="AB516" s="20"/>
      <c r="AC516" s="20"/>
      <c r="AD516" s="24" t="n">
        <f aca="false">IFERROR(AA516/AC516,0)</f>
        <v>0</v>
      </c>
      <c r="AE516" s="25" t="n">
        <f aca="false">K516-Q516-X516</f>
        <v>0</v>
      </c>
      <c r="AF516" s="25" t="n">
        <f aca="false">Q516-AA516</f>
        <v>0</v>
      </c>
      <c r="AG516" s="20"/>
      <c r="AH516" s="26" t="n">
        <f aca="false">IFERROR(AG516/Q516,0)</f>
        <v>0</v>
      </c>
      <c r="AI516" s="27" t="n">
        <v>0</v>
      </c>
      <c r="AJ516" s="26" t="n">
        <f aca="false">IF(AI516&gt;0,AprCoef/SQRT(AI516),0)</f>
        <v>0</v>
      </c>
      <c r="AK516" s="24" t="n">
        <f aca="false">AI516*AJ516/365</f>
        <v>0</v>
      </c>
      <c r="AL516" s="24" t="n">
        <f aca="false">AD516</f>
        <v>0</v>
      </c>
      <c r="AM516" s="24" t="n">
        <f aca="false">AK516-AL516</f>
        <v>0</v>
      </c>
      <c r="AN516" s="28" t="str">
        <f aca="false">IF(A516&gt;=Hip3LaunchDate,"YES","")</f>
        <v/>
      </c>
      <c r="AO516" s="28" t="str">
        <f aca="false">IF(A516&lt;Hip4LaunchDate,"pre-launch","live (zero-fee)")</f>
        <v>pre-launch</v>
      </c>
      <c r="AP516" s="20"/>
      <c r="AQ516" s="20"/>
      <c r="AR516" s="20"/>
    </row>
    <row r="517" customFormat="false" ht="15" hidden="false" customHeight="false" outlineLevel="0" collapsed="false">
      <c r="A517" s="18" t="n">
        <v>45578</v>
      </c>
      <c r="B517" s="19" t="n">
        <v>567187624.82</v>
      </c>
      <c r="C517" s="19" t="n">
        <v>0</v>
      </c>
      <c r="D517" s="19" t="n">
        <v>688605</v>
      </c>
      <c r="E517" s="21" t="n">
        <f aca="false">B517+C517</f>
        <v>567187624.82</v>
      </c>
      <c r="F517" s="21" t="n">
        <f aca="false">E517+D517</f>
        <v>567876229.82</v>
      </c>
      <c r="G517" s="22" t="n">
        <f aca="false">IFERROR(C517/E517,0)</f>
        <v>0</v>
      </c>
      <c r="H517" s="20"/>
      <c r="I517" s="20"/>
      <c r="J517" s="20"/>
      <c r="K517" s="21" t="n">
        <f aca="false">H517+I517</f>
        <v>0</v>
      </c>
      <c r="L517" s="20"/>
      <c r="M517" s="21" t="n">
        <f aca="false">H517-L517</f>
        <v>0</v>
      </c>
      <c r="N517" s="23" t="n">
        <f aca="false">IFERROR(M517/B517*10000,0)</f>
        <v>0</v>
      </c>
      <c r="O517" s="20"/>
      <c r="P517" s="20"/>
      <c r="Q517" s="21" t="n">
        <f aca="false">O517+P517</f>
        <v>0</v>
      </c>
      <c r="R517" s="22" t="n">
        <f aca="false">IF(A517&lt;HlpChangeDate,HlpSharePre,HlpSharePost)</f>
        <v>0.03</v>
      </c>
      <c r="S517" s="21" t="n">
        <f aca="false">Q517*R517/(1-R517)</f>
        <v>0</v>
      </c>
      <c r="T517" s="20"/>
      <c r="U517" s="21" t="n">
        <f aca="false">S517-T517</f>
        <v>0</v>
      </c>
      <c r="V517" s="21" t="n">
        <f aca="false">Y517-O517*R517/(1-R517)</f>
        <v>0</v>
      </c>
      <c r="W517" s="21" t="n">
        <f aca="false">Z517-P517*R517/(1-R517)</f>
        <v>0</v>
      </c>
      <c r="X517" s="21" t="n">
        <f aca="false">S517+V517+W517</f>
        <v>0</v>
      </c>
      <c r="Y517" s="20"/>
      <c r="Z517" s="20"/>
      <c r="AA517" s="19" t="n">
        <v>0</v>
      </c>
      <c r="AB517" s="20"/>
      <c r="AC517" s="20"/>
      <c r="AD517" s="24" t="n">
        <f aca="false">IFERROR(AA517/AC517,0)</f>
        <v>0</v>
      </c>
      <c r="AE517" s="25" t="n">
        <f aca="false">K517-Q517-X517</f>
        <v>0</v>
      </c>
      <c r="AF517" s="25" t="n">
        <f aca="false">Q517-AA517</f>
        <v>0</v>
      </c>
      <c r="AG517" s="20"/>
      <c r="AH517" s="26" t="n">
        <f aca="false">IFERROR(AG517/Q517,0)</f>
        <v>0</v>
      </c>
      <c r="AI517" s="27" t="n">
        <v>0</v>
      </c>
      <c r="AJ517" s="26" t="n">
        <f aca="false">IF(AI517&gt;0,AprCoef/SQRT(AI517),0)</f>
        <v>0</v>
      </c>
      <c r="AK517" s="24" t="n">
        <f aca="false">AI517*AJ517/365</f>
        <v>0</v>
      </c>
      <c r="AL517" s="24" t="n">
        <f aca="false">AD517</f>
        <v>0</v>
      </c>
      <c r="AM517" s="24" t="n">
        <f aca="false">AK517-AL517</f>
        <v>0</v>
      </c>
      <c r="AN517" s="28" t="str">
        <f aca="false">IF(A517&gt;=Hip3LaunchDate,"YES","")</f>
        <v/>
      </c>
      <c r="AO517" s="28" t="str">
        <f aca="false">IF(A517&lt;Hip4LaunchDate,"pre-launch","live (zero-fee)")</f>
        <v>pre-launch</v>
      </c>
      <c r="AP517" s="20"/>
      <c r="AQ517" s="20"/>
      <c r="AR517" s="20"/>
    </row>
    <row r="518" customFormat="false" ht="15" hidden="false" customHeight="false" outlineLevel="0" collapsed="false">
      <c r="A518" s="18" t="n">
        <v>45579</v>
      </c>
      <c r="B518" s="19" t="n">
        <v>1270512626.21</v>
      </c>
      <c r="C518" s="19" t="n">
        <v>0</v>
      </c>
      <c r="D518" s="19" t="n">
        <v>4557275</v>
      </c>
      <c r="E518" s="21" t="n">
        <f aca="false">B518+C518</f>
        <v>1270512626.21</v>
      </c>
      <c r="F518" s="21" t="n">
        <f aca="false">E518+D518</f>
        <v>1275069901.21</v>
      </c>
      <c r="G518" s="22" t="n">
        <f aca="false">IFERROR(C518/E518,0)</f>
        <v>0</v>
      </c>
      <c r="H518" s="20"/>
      <c r="I518" s="20"/>
      <c r="J518" s="20"/>
      <c r="K518" s="21" t="n">
        <f aca="false">H518+I518</f>
        <v>0</v>
      </c>
      <c r="L518" s="20"/>
      <c r="M518" s="21" t="n">
        <f aca="false">H518-L518</f>
        <v>0</v>
      </c>
      <c r="N518" s="23" t="n">
        <f aca="false">IFERROR(M518/B518*10000,0)</f>
        <v>0</v>
      </c>
      <c r="O518" s="20"/>
      <c r="P518" s="20"/>
      <c r="Q518" s="21" t="n">
        <f aca="false">O518+P518</f>
        <v>0</v>
      </c>
      <c r="R518" s="22" t="n">
        <f aca="false">IF(A518&lt;HlpChangeDate,HlpSharePre,HlpSharePost)</f>
        <v>0.03</v>
      </c>
      <c r="S518" s="21" t="n">
        <f aca="false">Q518*R518/(1-R518)</f>
        <v>0</v>
      </c>
      <c r="T518" s="20"/>
      <c r="U518" s="21" t="n">
        <f aca="false">S518-T518</f>
        <v>0</v>
      </c>
      <c r="V518" s="21" t="n">
        <f aca="false">Y518-O518*R518/(1-R518)</f>
        <v>0</v>
      </c>
      <c r="W518" s="21" t="n">
        <f aca="false">Z518-P518*R518/(1-R518)</f>
        <v>0</v>
      </c>
      <c r="X518" s="21" t="n">
        <f aca="false">S518+V518+W518</f>
        <v>0</v>
      </c>
      <c r="Y518" s="20"/>
      <c r="Z518" s="20"/>
      <c r="AA518" s="19" t="n">
        <v>0</v>
      </c>
      <c r="AB518" s="20"/>
      <c r="AC518" s="20"/>
      <c r="AD518" s="24" t="n">
        <f aca="false">IFERROR(AA518/AC518,0)</f>
        <v>0</v>
      </c>
      <c r="AE518" s="25" t="n">
        <f aca="false">K518-Q518-X518</f>
        <v>0</v>
      </c>
      <c r="AF518" s="25" t="n">
        <f aca="false">Q518-AA518</f>
        <v>0</v>
      </c>
      <c r="AG518" s="20"/>
      <c r="AH518" s="26" t="n">
        <f aca="false">IFERROR(AG518/Q518,0)</f>
        <v>0</v>
      </c>
      <c r="AI518" s="27" t="n">
        <v>0</v>
      </c>
      <c r="AJ518" s="26" t="n">
        <f aca="false">IF(AI518&gt;0,AprCoef/SQRT(AI518),0)</f>
        <v>0</v>
      </c>
      <c r="AK518" s="24" t="n">
        <f aca="false">AI518*AJ518/365</f>
        <v>0</v>
      </c>
      <c r="AL518" s="24" t="n">
        <f aca="false">AD518</f>
        <v>0</v>
      </c>
      <c r="AM518" s="24" t="n">
        <f aca="false">AK518-AL518</f>
        <v>0</v>
      </c>
      <c r="AN518" s="28" t="str">
        <f aca="false">IF(A518&gt;=Hip3LaunchDate,"YES","")</f>
        <v/>
      </c>
      <c r="AO518" s="28" t="str">
        <f aca="false">IF(A518&lt;Hip4LaunchDate,"pre-launch","live (zero-fee)")</f>
        <v>pre-launch</v>
      </c>
      <c r="AP518" s="20"/>
      <c r="AQ518" s="20"/>
      <c r="AR518" s="20"/>
    </row>
    <row r="519" customFormat="false" ht="15" hidden="false" customHeight="false" outlineLevel="0" collapsed="false">
      <c r="A519" s="18" t="n">
        <v>45580</v>
      </c>
      <c r="B519" s="19" t="n">
        <v>1725236870.1</v>
      </c>
      <c r="C519" s="19" t="n">
        <v>0</v>
      </c>
      <c r="D519" s="19" t="n">
        <v>2239387</v>
      </c>
      <c r="E519" s="21" t="n">
        <f aca="false">B519+C519</f>
        <v>1725236870.1</v>
      </c>
      <c r="F519" s="21" t="n">
        <f aca="false">E519+D519</f>
        <v>1727476257.1</v>
      </c>
      <c r="G519" s="22" t="n">
        <f aca="false">IFERROR(C519/E519,0)</f>
        <v>0</v>
      </c>
      <c r="H519" s="20"/>
      <c r="I519" s="20"/>
      <c r="J519" s="20"/>
      <c r="K519" s="21" t="n">
        <f aca="false">H519+I519</f>
        <v>0</v>
      </c>
      <c r="L519" s="20"/>
      <c r="M519" s="21" t="n">
        <f aca="false">H519-L519</f>
        <v>0</v>
      </c>
      <c r="N519" s="23" t="n">
        <f aca="false">IFERROR(M519/B519*10000,0)</f>
        <v>0</v>
      </c>
      <c r="O519" s="20"/>
      <c r="P519" s="20"/>
      <c r="Q519" s="21" t="n">
        <f aca="false">O519+P519</f>
        <v>0</v>
      </c>
      <c r="R519" s="22" t="n">
        <f aca="false">IF(A519&lt;HlpChangeDate,HlpSharePre,HlpSharePost)</f>
        <v>0.03</v>
      </c>
      <c r="S519" s="21" t="n">
        <f aca="false">Q519*R519/(1-R519)</f>
        <v>0</v>
      </c>
      <c r="T519" s="20"/>
      <c r="U519" s="21" t="n">
        <f aca="false">S519-T519</f>
        <v>0</v>
      </c>
      <c r="V519" s="21" t="n">
        <f aca="false">Y519-O519*R519/(1-R519)</f>
        <v>0</v>
      </c>
      <c r="W519" s="21" t="n">
        <f aca="false">Z519-P519*R519/(1-R519)</f>
        <v>0</v>
      </c>
      <c r="X519" s="21" t="n">
        <f aca="false">S519+V519+W519</f>
        <v>0</v>
      </c>
      <c r="Y519" s="20"/>
      <c r="Z519" s="20"/>
      <c r="AA519" s="19" t="n">
        <v>0</v>
      </c>
      <c r="AB519" s="20"/>
      <c r="AC519" s="20"/>
      <c r="AD519" s="24" t="n">
        <f aca="false">IFERROR(AA519/AC519,0)</f>
        <v>0</v>
      </c>
      <c r="AE519" s="25" t="n">
        <f aca="false">K519-Q519-X519</f>
        <v>0</v>
      </c>
      <c r="AF519" s="25" t="n">
        <f aca="false">Q519-AA519</f>
        <v>0</v>
      </c>
      <c r="AG519" s="20"/>
      <c r="AH519" s="26" t="n">
        <f aca="false">IFERROR(AG519/Q519,0)</f>
        <v>0</v>
      </c>
      <c r="AI519" s="27" t="n">
        <v>0</v>
      </c>
      <c r="AJ519" s="26" t="n">
        <f aca="false">IF(AI519&gt;0,AprCoef/SQRT(AI519),0)</f>
        <v>0</v>
      </c>
      <c r="AK519" s="24" t="n">
        <f aca="false">AI519*AJ519/365</f>
        <v>0</v>
      </c>
      <c r="AL519" s="24" t="n">
        <f aca="false">AD519</f>
        <v>0</v>
      </c>
      <c r="AM519" s="24" t="n">
        <f aca="false">AK519-AL519</f>
        <v>0</v>
      </c>
      <c r="AN519" s="28" t="str">
        <f aca="false">IF(A519&gt;=Hip3LaunchDate,"YES","")</f>
        <v/>
      </c>
      <c r="AO519" s="28" t="str">
        <f aca="false">IF(A519&lt;Hip4LaunchDate,"pre-launch","live (zero-fee)")</f>
        <v>pre-launch</v>
      </c>
      <c r="AP519" s="20"/>
      <c r="AQ519" s="20"/>
      <c r="AR519" s="20"/>
    </row>
    <row r="520" customFormat="false" ht="15" hidden="false" customHeight="false" outlineLevel="0" collapsed="false">
      <c r="A520" s="18" t="n">
        <v>45581</v>
      </c>
      <c r="B520" s="19" t="n">
        <v>1136851721.85</v>
      </c>
      <c r="C520" s="19" t="n">
        <v>0</v>
      </c>
      <c r="D520" s="19" t="n">
        <v>1422618</v>
      </c>
      <c r="E520" s="21" t="n">
        <f aca="false">B520+C520</f>
        <v>1136851721.85</v>
      </c>
      <c r="F520" s="21" t="n">
        <f aca="false">E520+D520</f>
        <v>1138274339.85</v>
      </c>
      <c r="G520" s="22" t="n">
        <f aca="false">IFERROR(C520/E520,0)</f>
        <v>0</v>
      </c>
      <c r="H520" s="20"/>
      <c r="I520" s="20"/>
      <c r="J520" s="20"/>
      <c r="K520" s="21" t="n">
        <f aca="false">H520+I520</f>
        <v>0</v>
      </c>
      <c r="L520" s="20"/>
      <c r="M520" s="21" t="n">
        <f aca="false">H520-L520</f>
        <v>0</v>
      </c>
      <c r="N520" s="23" t="n">
        <f aca="false">IFERROR(M520/B520*10000,0)</f>
        <v>0</v>
      </c>
      <c r="O520" s="20"/>
      <c r="P520" s="20"/>
      <c r="Q520" s="21" t="n">
        <f aca="false">O520+P520</f>
        <v>0</v>
      </c>
      <c r="R520" s="22" t="n">
        <f aca="false">IF(A520&lt;HlpChangeDate,HlpSharePre,HlpSharePost)</f>
        <v>0.03</v>
      </c>
      <c r="S520" s="21" t="n">
        <f aca="false">Q520*R520/(1-R520)</f>
        <v>0</v>
      </c>
      <c r="T520" s="20"/>
      <c r="U520" s="21" t="n">
        <f aca="false">S520-T520</f>
        <v>0</v>
      </c>
      <c r="V520" s="21" t="n">
        <f aca="false">Y520-O520*R520/(1-R520)</f>
        <v>0</v>
      </c>
      <c r="W520" s="21" t="n">
        <f aca="false">Z520-P520*R520/(1-R520)</f>
        <v>0</v>
      </c>
      <c r="X520" s="21" t="n">
        <f aca="false">S520+V520+W520</f>
        <v>0</v>
      </c>
      <c r="Y520" s="20"/>
      <c r="Z520" s="20"/>
      <c r="AA520" s="19" t="n">
        <v>0</v>
      </c>
      <c r="AB520" s="20"/>
      <c r="AC520" s="20"/>
      <c r="AD520" s="24" t="n">
        <f aca="false">IFERROR(AA520/AC520,0)</f>
        <v>0</v>
      </c>
      <c r="AE520" s="25" t="n">
        <f aca="false">K520-Q520-X520</f>
        <v>0</v>
      </c>
      <c r="AF520" s="25" t="n">
        <f aca="false">Q520-AA520</f>
        <v>0</v>
      </c>
      <c r="AG520" s="20"/>
      <c r="AH520" s="26" t="n">
        <f aca="false">IFERROR(AG520/Q520,0)</f>
        <v>0</v>
      </c>
      <c r="AI520" s="27" t="n">
        <v>0</v>
      </c>
      <c r="AJ520" s="26" t="n">
        <f aca="false">IF(AI520&gt;0,AprCoef/SQRT(AI520),0)</f>
        <v>0</v>
      </c>
      <c r="AK520" s="24" t="n">
        <f aca="false">AI520*AJ520/365</f>
        <v>0</v>
      </c>
      <c r="AL520" s="24" t="n">
        <f aca="false">AD520</f>
        <v>0</v>
      </c>
      <c r="AM520" s="24" t="n">
        <f aca="false">AK520-AL520</f>
        <v>0</v>
      </c>
      <c r="AN520" s="28" t="str">
        <f aca="false">IF(A520&gt;=Hip3LaunchDate,"YES","")</f>
        <v/>
      </c>
      <c r="AO520" s="28" t="str">
        <f aca="false">IF(A520&lt;Hip4LaunchDate,"pre-launch","live (zero-fee)")</f>
        <v>pre-launch</v>
      </c>
      <c r="AP520" s="20"/>
      <c r="AQ520" s="20"/>
      <c r="AR520" s="20"/>
    </row>
    <row r="521" customFormat="false" ht="15" hidden="false" customHeight="false" outlineLevel="0" collapsed="false">
      <c r="A521" s="18" t="n">
        <v>45582</v>
      </c>
      <c r="B521" s="19" t="n">
        <v>913373231.94</v>
      </c>
      <c r="C521" s="19" t="n">
        <v>0</v>
      </c>
      <c r="D521" s="19" t="n">
        <v>1202840</v>
      </c>
      <c r="E521" s="21" t="n">
        <f aca="false">B521+C521</f>
        <v>913373231.94</v>
      </c>
      <c r="F521" s="21" t="n">
        <f aca="false">E521+D521</f>
        <v>914576071.94</v>
      </c>
      <c r="G521" s="22" t="n">
        <f aca="false">IFERROR(C521/E521,0)</f>
        <v>0</v>
      </c>
      <c r="H521" s="20"/>
      <c r="I521" s="20"/>
      <c r="J521" s="20"/>
      <c r="K521" s="21" t="n">
        <f aca="false">H521+I521</f>
        <v>0</v>
      </c>
      <c r="L521" s="20"/>
      <c r="M521" s="21" t="n">
        <f aca="false">H521-L521</f>
        <v>0</v>
      </c>
      <c r="N521" s="23" t="n">
        <f aca="false">IFERROR(M521/B521*10000,0)</f>
        <v>0</v>
      </c>
      <c r="O521" s="20"/>
      <c r="P521" s="20"/>
      <c r="Q521" s="21" t="n">
        <f aca="false">O521+P521</f>
        <v>0</v>
      </c>
      <c r="R521" s="22" t="n">
        <f aca="false">IF(A521&lt;HlpChangeDate,HlpSharePre,HlpSharePost)</f>
        <v>0.03</v>
      </c>
      <c r="S521" s="21" t="n">
        <f aca="false">Q521*R521/(1-R521)</f>
        <v>0</v>
      </c>
      <c r="T521" s="20"/>
      <c r="U521" s="21" t="n">
        <f aca="false">S521-T521</f>
        <v>0</v>
      </c>
      <c r="V521" s="21" t="n">
        <f aca="false">Y521-O521*R521/(1-R521)</f>
        <v>0</v>
      </c>
      <c r="W521" s="21" t="n">
        <f aca="false">Z521-P521*R521/(1-R521)</f>
        <v>0</v>
      </c>
      <c r="X521" s="21" t="n">
        <f aca="false">S521+V521+W521</f>
        <v>0</v>
      </c>
      <c r="Y521" s="20"/>
      <c r="Z521" s="20"/>
      <c r="AA521" s="19" t="n">
        <v>0</v>
      </c>
      <c r="AB521" s="20"/>
      <c r="AC521" s="20"/>
      <c r="AD521" s="24" t="n">
        <f aca="false">IFERROR(AA521/AC521,0)</f>
        <v>0</v>
      </c>
      <c r="AE521" s="25" t="n">
        <f aca="false">K521-Q521-X521</f>
        <v>0</v>
      </c>
      <c r="AF521" s="25" t="n">
        <f aca="false">Q521-AA521</f>
        <v>0</v>
      </c>
      <c r="AG521" s="20"/>
      <c r="AH521" s="26" t="n">
        <f aca="false">IFERROR(AG521/Q521,0)</f>
        <v>0</v>
      </c>
      <c r="AI521" s="27" t="n">
        <v>0</v>
      </c>
      <c r="AJ521" s="26" t="n">
        <f aca="false">IF(AI521&gt;0,AprCoef/SQRT(AI521),0)</f>
        <v>0</v>
      </c>
      <c r="AK521" s="24" t="n">
        <f aca="false">AI521*AJ521/365</f>
        <v>0</v>
      </c>
      <c r="AL521" s="24" t="n">
        <f aca="false">AD521</f>
        <v>0</v>
      </c>
      <c r="AM521" s="24" t="n">
        <f aca="false">AK521-AL521</f>
        <v>0</v>
      </c>
      <c r="AN521" s="28" t="str">
        <f aca="false">IF(A521&gt;=Hip3LaunchDate,"YES","")</f>
        <v/>
      </c>
      <c r="AO521" s="28" t="str">
        <f aca="false">IF(A521&lt;Hip4LaunchDate,"pre-launch","live (zero-fee)")</f>
        <v>pre-launch</v>
      </c>
      <c r="AP521" s="20"/>
      <c r="AQ521" s="20"/>
      <c r="AR521" s="20"/>
    </row>
    <row r="522" customFormat="false" ht="15" hidden="false" customHeight="false" outlineLevel="0" collapsed="false">
      <c r="A522" s="18" t="n">
        <v>45583</v>
      </c>
      <c r="B522" s="19" t="n">
        <v>1083055809.76</v>
      </c>
      <c r="C522" s="19" t="n">
        <v>0</v>
      </c>
      <c r="D522" s="19" t="n">
        <v>1118816</v>
      </c>
      <c r="E522" s="21" t="n">
        <f aca="false">B522+C522</f>
        <v>1083055809.76</v>
      </c>
      <c r="F522" s="21" t="n">
        <f aca="false">E522+D522</f>
        <v>1084174625.76</v>
      </c>
      <c r="G522" s="22" t="n">
        <f aca="false">IFERROR(C522/E522,0)</f>
        <v>0</v>
      </c>
      <c r="H522" s="20"/>
      <c r="I522" s="20"/>
      <c r="J522" s="20"/>
      <c r="K522" s="21" t="n">
        <f aca="false">H522+I522</f>
        <v>0</v>
      </c>
      <c r="L522" s="20"/>
      <c r="M522" s="21" t="n">
        <f aca="false">H522-L522</f>
        <v>0</v>
      </c>
      <c r="N522" s="23" t="n">
        <f aca="false">IFERROR(M522/B522*10000,0)</f>
        <v>0</v>
      </c>
      <c r="O522" s="20"/>
      <c r="P522" s="20"/>
      <c r="Q522" s="21" t="n">
        <f aca="false">O522+P522</f>
        <v>0</v>
      </c>
      <c r="R522" s="22" t="n">
        <f aca="false">IF(A522&lt;HlpChangeDate,HlpSharePre,HlpSharePost)</f>
        <v>0.03</v>
      </c>
      <c r="S522" s="21" t="n">
        <f aca="false">Q522*R522/(1-R522)</f>
        <v>0</v>
      </c>
      <c r="T522" s="20"/>
      <c r="U522" s="21" t="n">
        <f aca="false">S522-T522</f>
        <v>0</v>
      </c>
      <c r="V522" s="21" t="n">
        <f aca="false">Y522-O522*R522/(1-R522)</f>
        <v>0</v>
      </c>
      <c r="W522" s="21" t="n">
        <f aca="false">Z522-P522*R522/(1-R522)</f>
        <v>0</v>
      </c>
      <c r="X522" s="21" t="n">
        <f aca="false">S522+V522+W522</f>
        <v>0</v>
      </c>
      <c r="Y522" s="20"/>
      <c r="Z522" s="20"/>
      <c r="AA522" s="19" t="n">
        <v>0</v>
      </c>
      <c r="AB522" s="20"/>
      <c r="AC522" s="20"/>
      <c r="AD522" s="24" t="n">
        <f aca="false">IFERROR(AA522/AC522,0)</f>
        <v>0</v>
      </c>
      <c r="AE522" s="25" t="n">
        <f aca="false">K522-Q522-X522</f>
        <v>0</v>
      </c>
      <c r="AF522" s="25" t="n">
        <f aca="false">Q522-AA522</f>
        <v>0</v>
      </c>
      <c r="AG522" s="20"/>
      <c r="AH522" s="26" t="n">
        <f aca="false">IFERROR(AG522/Q522,0)</f>
        <v>0</v>
      </c>
      <c r="AI522" s="27" t="n">
        <v>0</v>
      </c>
      <c r="AJ522" s="26" t="n">
        <f aca="false">IF(AI522&gt;0,AprCoef/SQRT(AI522),0)</f>
        <v>0</v>
      </c>
      <c r="AK522" s="24" t="n">
        <f aca="false">AI522*AJ522/365</f>
        <v>0</v>
      </c>
      <c r="AL522" s="24" t="n">
        <f aca="false">AD522</f>
        <v>0</v>
      </c>
      <c r="AM522" s="24" t="n">
        <f aca="false">AK522-AL522</f>
        <v>0</v>
      </c>
      <c r="AN522" s="28" t="str">
        <f aca="false">IF(A522&gt;=Hip3LaunchDate,"YES","")</f>
        <v/>
      </c>
      <c r="AO522" s="28" t="str">
        <f aca="false">IF(A522&lt;Hip4LaunchDate,"pre-launch","live (zero-fee)")</f>
        <v>pre-launch</v>
      </c>
      <c r="AP522" s="20"/>
      <c r="AQ522" s="20"/>
      <c r="AR522" s="20"/>
    </row>
    <row r="523" customFormat="false" ht="15" hidden="false" customHeight="false" outlineLevel="0" collapsed="false">
      <c r="A523" s="18" t="n">
        <v>45584</v>
      </c>
      <c r="B523" s="19" t="n">
        <v>484320301.6</v>
      </c>
      <c r="C523" s="19" t="n">
        <v>0</v>
      </c>
      <c r="D523" s="19" t="n">
        <v>1089138</v>
      </c>
      <c r="E523" s="21" t="n">
        <f aca="false">B523+C523</f>
        <v>484320301.6</v>
      </c>
      <c r="F523" s="21" t="n">
        <f aca="false">E523+D523</f>
        <v>485409439.6</v>
      </c>
      <c r="G523" s="22" t="n">
        <f aca="false">IFERROR(C523/E523,0)</f>
        <v>0</v>
      </c>
      <c r="H523" s="20"/>
      <c r="I523" s="20"/>
      <c r="J523" s="20"/>
      <c r="K523" s="21" t="n">
        <f aca="false">H523+I523</f>
        <v>0</v>
      </c>
      <c r="L523" s="20"/>
      <c r="M523" s="21" t="n">
        <f aca="false">H523-L523</f>
        <v>0</v>
      </c>
      <c r="N523" s="23" t="n">
        <f aca="false">IFERROR(M523/B523*10000,0)</f>
        <v>0</v>
      </c>
      <c r="O523" s="20"/>
      <c r="P523" s="20"/>
      <c r="Q523" s="21" t="n">
        <f aca="false">O523+P523</f>
        <v>0</v>
      </c>
      <c r="R523" s="22" t="n">
        <f aca="false">IF(A523&lt;HlpChangeDate,HlpSharePre,HlpSharePost)</f>
        <v>0.03</v>
      </c>
      <c r="S523" s="21" t="n">
        <f aca="false">Q523*R523/(1-R523)</f>
        <v>0</v>
      </c>
      <c r="T523" s="20"/>
      <c r="U523" s="21" t="n">
        <f aca="false">S523-T523</f>
        <v>0</v>
      </c>
      <c r="V523" s="21" t="n">
        <f aca="false">Y523-O523*R523/(1-R523)</f>
        <v>0</v>
      </c>
      <c r="W523" s="21" t="n">
        <f aca="false">Z523-P523*R523/(1-R523)</f>
        <v>0</v>
      </c>
      <c r="X523" s="21" t="n">
        <f aca="false">S523+V523+W523</f>
        <v>0</v>
      </c>
      <c r="Y523" s="20"/>
      <c r="Z523" s="20"/>
      <c r="AA523" s="19" t="n">
        <v>0</v>
      </c>
      <c r="AB523" s="20"/>
      <c r="AC523" s="20"/>
      <c r="AD523" s="24" t="n">
        <f aca="false">IFERROR(AA523/AC523,0)</f>
        <v>0</v>
      </c>
      <c r="AE523" s="25" t="n">
        <f aca="false">K523-Q523-X523</f>
        <v>0</v>
      </c>
      <c r="AF523" s="25" t="n">
        <f aca="false">Q523-AA523</f>
        <v>0</v>
      </c>
      <c r="AG523" s="20"/>
      <c r="AH523" s="26" t="n">
        <f aca="false">IFERROR(AG523/Q523,0)</f>
        <v>0</v>
      </c>
      <c r="AI523" s="27" t="n">
        <v>0</v>
      </c>
      <c r="AJ523" s="26" t="n">
        <f aca="false">IF(AI523&gt;0,AprCoef/SQRT(AI523),0)</f>
        <v>0</v>
      </c>
      <c r="AK523" s="24" t="n">
        <f aca="false">AI523*AJ523/365</f>
        <v>0</v>
      </c>
      <c r="AL523" s="24" t="n">
        <f aca="false">AD523</f>
        <v>0</v>
      </c>
      <c r="AM523" s="24" t="n">
        <f aca="false">AK523-AL523</f>
        <v>0</v>
      </c>
      <c r="AN523" s="28" t="str">
        <f aca="false">IF(A523&gt;=Hip3LaunchDate,"YES","")</f>
        <v/>
      </c>
      <c r="AO523" s="28" t="str">
        <f aca="false">IF(A523&lt;Hip4LaunchDate,"pre-launch","live (zero-fee)")</f>
        <v>pre-launch</v>
      </c>
      <c r="AP523" s="20"/>
      <c r="AQ523" s="20"/>
      <c r="AR523" s="20"/>
    </row>
    <row r="524" customFormat="false" ht="15" hidden="false" customHeight="false" outlineLevel="0" collapsed="false">
      <c r="A524" s="18" t="n">
        <v>45585</v>
      </c>
      <c r="B524" s="19" t="n">
        <v>700882203.33</v>
      </c>
      <c r="C524" s="19" t="n">
        <v>0</v>
      </c>
      <c r="D524" s="19" t="n">
        <v>1521785</v>
      </c>
      <c r="E524" s="21" t="n">
        <f aca="false">B524+C524</f>
        <v>700882203.33</v>
      </c>
      <c r="F524" s="21" t="n">
        <f aca="false">E524+D524</f>
        <v>702403988.33</v>
      </c>
      <c r="G524" s="22" t="n">
        <f aca="false">IFERROR(C524/E524,0)</f>
        <v>0</v>
      </c>
      <c r="H524" s="20"/>
      <c r="I524" s="20"/>
      <c r="J524" s="20"/>
      <c r="K524" s="21" t="n">
        <f aca="false">H524+I524</f>
        <v>0</v>
      </c>
      <c r="L524" s="20"/>
      <c r="M524" s="21" t="n">
        <f aca="false">H524-L524</f>
        <v>0</v>
      </c>
      <c r="N524" s="23" t="n">
        <f aca="false">IFERROR(M524/B524*10000,0)</f>
        <v>0</v>
      </c>
      <c r="O524" s="20"/>
      <c r="P524" s="20"/>
      <c r="Q524" s="21" t="n">
        <f aca="false">O524+P524</f>
        <v>0</v>
      </c>
      <c r="R524" s="22" t="n">
        <f aca="false">IF(A524&lt;HlpChangeDate,HlpSharePre,HlpSharePost)</f>
        <v>0.03</v>
      </c>
      <c r="S524" s="21" t="n">
        <f aca="false">Q524*R524/(1-R524)</f>
        <v>0</v>
      </c>
      <c r="T524" s="20"/>
      <c r="U524" s="21" t="n">
        <f aca="false">S524-T524</f>
        <v>0</v>
      </c>
      <c r="V524" s="21" t="n">
        <f aca="false">Y524-O524*R524/(1-R524)</f>
        <v>0</v>
      </c>
      <c r="W524" s="21" t="n">
        <f aca="false">Z524-P524*R524/(1-R524)</f>
        <v>0</v>
      </c>
      <c r="X524" s="21" t="n">
        <f aca="false">S524+V524+W524</f>
        <v>0</v>
      </c>
      <c r="Y524" s="20"/>
      <c r="Z524" s="20"/>
      <c r="AA524" s="19" t="n">
        <v>0</v>
      </c>
      <c r="AB524" s="20"/>
      <c r="AC524" s="20"/>
      <c r="AD524" s="24" t="n">
        <f aca="false">IFERROR(AA524/AC524,0)</f>
        <v>0</v>
      </c>
      <c r="AE524" s="25" t="n">
        <f aca="false">K524-Q524-X524</f>
        <v>0</v>
      </c>
      <c r="AF524" s="25" t="n">
        <f aca="false">Q524-AA524</f>
        <v>0</v>
      </c>
      <c r="AG524" s="20"/>
      <c r="AH524" s="26" t="n">
        <f aca="false">IFERROR(AG524/Q524,0)</f>
        <v>0</v>
      </c>
      <c r="AI524" s="27" t="n">
        <v>0</v>
      </c>
      <c r="AJ524" s="26" t="n">
        <f aca="false">IF(AI524&gt;0,AprCoef/SQRT(AI524),0)</f>
        <v>0</v>
      </c>
      <c r="AK524" s="24" t="n">
        <f aca="false">AI524*AJ524/365</f>
        <v>0</v>
      </c>
      <c r="AL524" s="24" t="n">
        <f aca="false">AD524</f>
        <v>0</v>
      </c>
      <c r="AM524" s="24" t="n">
        <f aca="false">AK524-AL524</f>
        <v>0</v>
      </c>
      <c r="AN524" s="28" t="str">
        <f aca="false">IF(A524&gt;=Hip3LaunchDate,"YES","")</f>
        <v/>
      </c>
      <c r="AO524" s="28" t="str">
        <f aca="false">IF(A524&lt;Hip4LaunchDate,"pre-launch","live (zero-fee)")</f>
        <v>pre-launch</v>
      </c>
      <c r="AP524" s="20"/>
      <c r="AQ524" s="20"/>
      <c r="AR524" s="20"/>
    </row>
    <row r="525" customFormat="false" ht="15" hidden="false" customHeight="false" outlineLevel="0" collapsed="false">
      <c r="A525" s="18" t="n">
        <v>45586</v>
      </c>
      <c r="B525" s="19" t="n">
        <v>1271612376.85</v>
      </c>
      <c r="C525" s="19" t="n">
        <v>0</v>
      </c>
      <c r="D525" s="19" t="n">
        <v>1649536</v>
      </c>
      <c r="E525" s="21" t="n">
        <f aca="false">B525+C525</f>
        <v>1271612376.85</v>
      </c>
      <c r="F525" s="21" t="n">
        <f aca="false">E525+D525</f>
        <v>1273261912.85</v>
      </c>
      <c r="G525" s="22" t="n">
        <f aca="false">IFERROR(C525/E525,0)</f>
        <v>0</v>
      </c>
      <c r="H525" s="20"/>
      <c r="I525" s="20"/>
      <c r="J525" s="20"/>
      <c r="K525" s="21" t="n">
        <f aca="false">H525+I525</f>
        <v>0</v>
      </c>
      <c r="L525" s="20"/>
      <c r="M525" s="21" t="n">
        <f aca="false">H525-L525</f>
        <v>0</v>
      </c>
      <c r="N525" s="23" t="n">
        <f aca="false">IFERROR(M525/B525*10000,0)</f>
        <v>0</v>
      </c>
      <c r="O525" s="20"/>
      <c r="P525" s="20"/>
      <c r="Q525" s="21" t="n">
        <f aca="false">O525+P525</f>
        <v>0</v>
      </c>
      <c r="R525" s="22" t="n">
        <f aca="false">IF(A525&lt;HlpChangeDate,HlpSharePre,HlpSharePost)</f>
        <v>0.03</v>
      </c>
      <c r="S525" s="21" t="n">
        <f aca="false">Q525*R525/(1-R525)</f>
        <v>0</v>
      </c>
      <c r="T525" s="20"/>
      <c r="U525" s="21" t="n">
        <f aca="false">S525-T525</f>
        <v>0</v>
      </c>
      <c r="V525" s="21" t="n">
        <f aca="false">Y525-O525*R525/(1-R525)</f>
        <v>0</v>
      </c>
      <c r="W525" s="21" t="n">
        <f aca="false">Z525-P525*R525/(1-R525)</f>
        <v>0</v>
      </c>
      <c r="X525" s="21" t="n">
        <f aca="false">S525+V525+W525</f>
        <v>0</v>
      </c>
      <c r="Y525" s="20"/>
      <c r="Z525" s="20"/>
      <c r="AA525" s="19" t="n">
        <v>0</v>
      </c>
      <c r="AB525" s="20"/>
      <c r="AC525" s="20"/>
      <c r="AD525" s="24" t="n">
        <f aca="false">IFERROR(AA525/AC525,0)</f>
        <v>0</v>
      </c>
      <c r="AE525" s="25" t="n">
        <f aca="false">K525-Q525-X525</f>
        <v>0</v>
      </c>
      <c r="AF525" s="25" t="n">
        <f aca="false">Q525-AA525</f>
        <v>0</v>
      </c>
      <c r="AG525" s="20"/>
      <c r="AH525" s="26" t="n">
        <f aca="false">IFERROR(AG525/Q525,0)</f>
        <v>0</v>
      </c>
      <c r="AI525" s="27" t="n">
        <v>0</v>
      </c>
      <c r="AJ525" s="26" t="n">
        <f aca="false">IF(AI525&gt;0,AprCoef/SQRT(AI525),0)</f>
        <v>0</v>
      </c>
      <c r="AK525" s="24" t="n">
        <f aca="false">AI525*AJ525/365</f>
        <v>0</v>
      </c>
      <c r="AL525" s="24" t="n">
        <f aca="false">AD525</f>
        <v>0</v>
      </c>
      <c r="AM525" s="24" t="n">
        <f aca="false">AK525-AL525</f>
        <v>0</v>
      </c>
      <c r="AN525" s="28" t="str">
        <f aca="false">IF(A525&gt;=Hip3LaunchDate,"YES","")</f>
        <v/>
      </c>
      <c r="AO525" s="28" t="str">
        <f aca="false">IF(A525&lt;Hip4LaunchDate,"pre-launch","live (zero-fee)")</f>
        <v>pre-launch</v>
      </c>
      <c r="AP525" s="20"/>
      <c r="AQ525" s="20"/>
      <c r="AR525" s="20"/>
    </row>
    <row r="526" customFormat="false" ht="15" hidden="false" customHeight="false" outlineLevel="0" collapsed="false">
      <c r="A526" s="18" t="n">
        <v>45587</v>
      </c>
      <c r="B526" s="19" t="n">
        <v>1214898262.69</v>
      </c>
      <c r="C526" s="19" t="n">
        <v>0</v>
      </c>
      <c r="D526" s="19" t="n">
        <v>1733268</v>
      </c>
      <c r="E526" s="21" t="n">
        <f aca="false">B526+C526</f>
        <v>1214898262.69</v>
      </c>
      <c r="F526" s="21" t="n">
        <f aca="false">E526+D526</f>
        <v>1216631530.69</v>
      </c>
      <c r="G526" s="22" t="n">
        <f aca="false">IFERROR(C526/E526,0)</f>
        <v>0</v>
      </c>
      <c r="H526" s="20"/>
      <c r="I526" s="20"/>
      <c r="J526" s="20"/>
      <c r="K526" s="21" t="n">
        <f aca="false">H526+I526</f>
        <v>0</v>
      </c>
      <c r="L526" s="20"/>
      <c r="M526" s="21" t="n">
        <f aca="false">H526-L526</f>
        <v>0</v>
      </c>
      <c r="N526" s="23" t="n">
        <f aca="false">IFERROR(M526/B526*10000,0)</f>
        <v>0</v>
      </c>
      <c r="O526" s="20"/>
      <c r="P526" s="20"/>
      <c r="Q526" s="21" t="n">
        <f aca="false">O526+P526</f>
        <v>0</v>
      </c>
      <c r="R526" s="22" t="n">
        <f aca="false">IF(A526&lt;HlpChangeDate,HlpSharePre,HlpSharePost)</f>
        <v>0.03</v>
      </c>
      <c r="S526" s="21" t="n">
        <f aca="false">Q526*R526/(1-R526)</f>
        <v>0</v>
      </c>
      <c r="T526" s="20"/>
      <c r="U526" s="21" t="n">
        <f aca="false">S526-T526</f>
        <v>0</v>
      </c>
      <c r="V526" s="21" t="n">
        <f aca="false">Y526-O526*R526/(1-R526)</f>
        <v>0</v>
      </c>
      <c r="W526" s="21" t="n">
        <f aca="false">Z526-P526*R526/(1-R526)</f>
        <v>0</v>
      </c>
      <c r="X526" s="21" t="n">
        <f aca="false">S526+V526+W526</f>
        <v>0</v>
      </c>
      <c r="Y526" s="20"/>
      <c r="Z526" s="20"/>
      <c r="AA526" s="19" t="n">
        <v>0</v>
      </c>
      <c r="AB526" s="20"/>
      <c r="AC526" s="20"/>
      <c r="AD526" s="24" t="n">
        <f aca="false">IFERROR(AA526/AC526,0)</f>
        <v>0</v>
      </c>
      <c r="AE526" s="25" t="n">
        <f aca="false">K526-Q526-X526</f>
        <v>0</v>
      </c>
      <c r="AF526" s="25" t="n">
        <f aca="false">Q526-AA526</f>
        <v>0</v>
      </c>
      <c r="AG526" s="20"/>
      <c r="AH526" s="26" t="n">
        <f aca="false">IFERROR(AG526/Q526,0)</f>
        <v>0</v>
      </c>
      <c r="AI526" s="27" t="n">
        <v>0</v>
      </c>
      <c r="AJ526" s="26" t="n">
        <f aca="false">IF(AI526&gt;0,AprCoef/SQRT(AI526),0)</f>
        <v>0</v>
      </c>
      <c r="AK526" s="24" t="n">
        <f aca="false">AI526*AJ526/365</f>
        <v>0</v>
      </c>
      <c r="AL526" s="24" t="n">
        <f aca="false">AD526</f>
        <v>0</v>
      </c>
      <c r="AM526" s="24" t="n">
        <f aca="false">AK526-AL526</f>
        <v>0</v>
      </c>
      <c r="AN526" s="28" t="str">
        <f aca="false">IF(A526&gt;=Hip3LaunchDate,"YES","")</f>
        <v/>
      </c>
      <c r="AO526" s="28" t="str">
        <f aca="false">IF(A526&lt;Hip4LaunchDate,"pre-launch","live (zero-fee)")</f>
        <v>pre-launch</v>
      </c>
      <c r="AP526" s="20"/>
      <c r="AQ526" s="20"/>
      <c r="AR526" s="20"/>
    </row>
    <row r="527" customFormat="false" ht="15" hidden="false" customHeight="false" outlineLevel="0" collapsed="false">
      <c r="A527" s="18" t="n">
        <v>45588</v>
      </c>
      <c r="B527" s="19" t="n">
        <v>1251965098.19</v>
      </c>
      <c r="C527" s="19" t="n">
        <v>0</v>
      </c>
      <c r="D527" s="19" t="n">
        <v>2008139</v>
      </c>
      <c r="E527" s="21" t="n">
        <f aca="false">B527+C527</f>
        <v>1251965098.19</v>
      </c>
      <c r="F527" s="21" t="n">
        <f aca="false">E527+D527</f>
        <v>1253973237.19</v>
      </c>
      <c r="G527" s="22" t="n">
        <f aca="false">IFERROR(C527/E527,0)</f>
        <v>0</v>
      </c>
      <c r="H527" s="20"/>
      <c r="I527" s="20"/>
      <c r="J527" s="20"/>
      <c r="K527" s="21" t="n">
        <f aca="false">H527+I527</f>
        <v>0</v>
      </c>
      <c r="L527" s="20"/>
      <c r="M527" s="21" t="n">
        <f aca="false">H527-L527</f>
        <v>0</v>
      </c>
      <c r="N527" s="23" t="n">
        <f aca="false">IFERROR(M527/B527*10000,0)</f>
        <v>0</v>
      </c>
      <c r="O527" s="20"/>
      <c r="P527" s="20"/>
      <c r="Q527" s="21" t="n">
        <f aca="false">O527+P527</f>
        <v>0</v>
      </c>
      <c r="R527" s="22" t="n">
        <f aca="false">IF(A527&lt;HlpChangeDate,HlpSharePre,HlpSharePost)</f>
        <v>0.03</v>
      </c>
      <c r="S527" s="21" t="n">
        <f aca="false">Q527*R527/(1-R527)</f>
        <v>0</v>
      </c>
      <c r="T527" s="20"/>
      <c r="U527" s="21" t="n">
        <f aca="false">S527-T527</f>
        <v>0</v>
      </c>
      <c r="V527" s="21" t="n">
        <f aca="false">Y527-O527*R527/(1-R527)</f>
        <v>0</v>
      </c>
      <c r="W527" s="21" t="n">
        <f aca="false">Z527-P527*R527/(1-R527)</f>
        <v>0</v>
      </c>
      <c r="X527" s="21" t="n">
        <f aca="false">S527+V527+W527</f>
        <v>0</v>
      </c>
      <c r="Y527" s="20"/>
      <c r="Z527" s="20"/>
      <c r="AA527" s="19" t="n">
        <v>0</v>
      </c>
      <c r="AB527" s="20"/>
      <c r="AC527" s="20"/>
      <c r="AD527" s="24" t="n">
        <f aca="false">IFERROR(AA527/AC527,0)</f>
        <v>0</v>
      </c>
      <c r="AE527" s="25" t="n">
        <f aca="false">K527-Q527-X527</f>
        <v>0</v>
      </c>
      <c r="AF527" s="25" t="n">
        <f aca="false">Q527-AA527</f>
        <v>0</v>
      </c>
      <c r="AG527" s="20"/>
      <c r="AH527" s="26" t="n">
        <f aca="false">IFERROR(AG527/Q527,0)</f>
        <v>0</v>
      </c>
      <c r="AI527" s="27" t="n">
        <v>0</v>
      </c>
      <c r="AJ527" s="26" t="n">
        <f aca="false">IF(AI527&gt;0,AprCoef/SQRT(AI527),0)</f>
        <v>0</v>
      </c>
      <c r="AK527" s="24" t="n">
        <f aca="false">AI527*AJ527/365</f>
        <v>0</v>
      </c>
      <c r="AL527" s="24" t="n">
        <f aca="false">AD527</f>
        <v>0</v>
      </c>
      <c r="AM527" s="24" t="n">
        <f aca="false">AK527-AL527</f>
        <v>0</v>
      </c>
      <c r="AN527" s="28" t="str">
        <f aca="false">IF(A527&gt;=Hip3LaunchDate,"YES","")</f>
        <v/>
      </c>
      <c r="AO527" s="28" t="str">
        <f aca="false">IF(A527&lt;Hip4LaunchDate,"pre-launch","live (zero-fee)")</f>
        <v>pre-launch</v>
      </c>
      <c r="AP527" s="20"/>
      <c r="AQ527" s="20"/>
      <c r="AR527" s="20"/>
    </row>
    <row r="528" customFormat="false" ht="15" hidden="false" customHeight="false" outlineLevel="0" collapsed="false">
      <c r="A528" s="18" t="n">
        <v>45589</v>
      </c>
      <c r="B528" s="19" t="n">
        <v>929070387.19</v>
      </c>
      <c r="C528" s="19" t="n">
        <v>0</v>
      </c>
      <c r="D528" s="19" t="n">
        <v>4982618</v>
      </c>
      <c r="E528" s="21" t="n">
        <f aca="false">B528+C528</f>
        <v>929070387.19</v>
      </c>
      <c r="F528" s="21" t="n">
        <f aca="false">E528+D528</f>
        <v>934053005.19</v>
      </c>
      <c r="G528" s="22" t="n">
        <f aca="false">IFERROR(C528/E528,0)</f>
        <v>0</v>
      </c>
      <c r="H528" s="20"/>
      <c r="I528" s="20"/>
      <c r="J528" s="20"/>
      <c r="K528" s="21" t="n">
        <f aca="false">H528+I528</f>
        <v>0</v>
      </c>
      <c r="L528" s="20"/>
      <c r="M528" s="21" t="n">
        <f aca="false">H528-L528</f>
        <v>0</v>
      </c>
      <c r="N528" s="23" t="n">
        <f aca="false">IFERROR(M528/B528*10000,0)</f>
        <v>0</v>
      </c>
      <c r="O528" s="20"/>
      <c r="P528" s="20"/>
      <c r="Q528" s="21" t="n">
        <f aca="false">O528+P528</f>
        <v>0</v>
      </c>
      <c r="R528" s="22" t="n">
        <f aca="false">IF(A528&lt;HlpChangeDate,HlpSharePre,HlpSharePost)</f>
        <v>0.03</v>
      </c>
      <c r="S528" s="21" t="n">
        <f aca="false">Q528*R528/(1-R528)</f>
        <v>0</v>
      </c>
      <c r="T528" s="20"/>
      <c r="U528" s="21" t="n">
        <f aca="false">S528-T528</f>
        <v>0</v>
      </c>
      <c r="V528" s="21" t="n">
        <f aca="false">Y528-O528*R528/(1-R528)</f>
        <v>0</v>
      </c>
      <c r="W528" s="21" t="n">
        <f aca="false">Z528-P528*R528/(1-R528)</f>
        <v>0</v>
      </c>
      <c r="X528" s="21" t="n">
        <f aca="false">S528+V528+W528</f>
        <v>0</v>
      </c>
      <c r="Y528" s="20"/>
      <c r="Z528" s="20"/>
      <c r="AA528" s="19" t="n">
        <v>0</v>
      </c>
      <c r="AB528" s="20"/>
      <c r="AC528" s="20"/>
      <c r="AD528" s="24" t="n">
        <f aca="false">IFERROR(AA528/AC528,0)</f>
        <v>0</v>
      </c>
      <c r="AE528" s="25" t="n">
        <f aca="false">K528-Q528-X528</f>
        <v>0</v>
      </c>
      <c r="AF528" s="25" t="n">
        <f aca="false">Q528-AA528</f>
        <v>0</v>
      </c>
      <c r="AG528" s="20"/>
      <c r="AH528" s="26" t="n">
        <f aca="false">IFERROR(AG528/Q528,0)</f>
        <v>0</v>
      </c>
      <c r="AI528" s="27" t="n">
        <v>0</v>
      </c>
      <c r="AJ528" s="26" t="n">
        <f aca="false">IF(AI528&gt;0,AprCoef/SQRT(AI528),0)</f>
        <v>0</v>
      </c>
      <c r="AK528" s="24" t="n">
        <f aca="false">AI528*AJ528/365</f>
        <v>0</v>
      </c>
      <c r="AL528" s="24" t="n">
        <f aca="false">AD528</f>
        <v>0</v>
      </c>
      <c r="AM528" s="24" t="n">
        <f aca="false">AK528-AL528</f>
        <v>0</v>
      </c>
      <c r="AN528" s="28" t="str">
        <f aca="false">IF(A528&gt;=Hip3LaunchDate,"YES","")</f>
        <v/>
      </c>
      <c r="AO528" s="28" t="str">
        <f aca="false">IF(A528&lt;Hip4LaunchDate,"pre-launch","live (zero-fee)")</f>
        <v>pre-launch</v>
      </c>
      <c r="AP528" s="20"/>
      <c r="AQ528" s="20"/>
      <c r="AR528" s="20"/>
    </row>
    <row r="529" customFormat="false" ht="15" hidden="false" customHeight="false" outlineLevel="0" collapsed="false">
      <c r="A529" s="18" t="n">
        <v>45590</v>
      </c>
      <c r="B529" s="19" t="n">
        <v>1756796491.09</v>
      </c>
      <c r="C529" s="19" t="n">
        <v>0</v>
      </c>
      <c r="D529" s="19" t="n">
        <v>6977162</v>
      </c>
      <c r="E529" s="21" t="n">
        <f aca="false">B529+C529</f>
        <v>1756796491.09</v>
      </c>
      <c r="F529" s="21" t="n">
        <f aca="false">E529+D529</f>
        <v>1763773653.09</v>
      </c>
      <c r="G529" s="22" t="n">
        <f aca="false">IFERROR(C529/E529,0)</f>
        <v>0</v>
      </c>
      <c r="H529" s="20"/>
      <c r="I529" s="20"/>
      <c r="J529" s="20"/>
      <c r="K529" s="21" t="n">
        <f aca="false">H529+I529</f>
        <v>0</v>
      </c>
      <c r="L529" s="20"/>
      <c r="M529" s="21" t="n">
        <f aca="false">H529-L529</f>
        <v>0</v>
      </c>
      <c r="N529" s="23" t="n">
        <f aca="false">IFERROR(M529/B529*10000,0)</f>
        <v>0</v>
      </c>
      <c r="O529" s="20"/>
      <c r="P529" s="20"/>
      <c r="Q529" s="21" t="n">
        <f aca="false">O529+P529</f>
        <v>0</v>
      </c>
      <c r="R529" s="22" t="n">
        <f aca="false">IF(A529&lt;HlpChangeDate,HlpSharePre,HlpSharePost)</f>
        <v>0.03</v>
      </c>
      <c r="S529" s="21" t="n">
        <f aca="false">Q529*R529/(1-R529)</f>
        <v>0</v>
      </c>
      <c r="T529" s="20"/>
      <c r="U529" s="21" t="n">
        <f aca="false">S529-T529</f>
        <v>0</v>
      </c>
      <c r="V529" s="21" t="n">
        <f aca="false">Y529-O529*R529/(1-R529)</f>
        <v>0</v>
      </c>
      <c r="W529" s="21" t="n">
        <f aca="false">Z529-P529*R529/(1-R529)</f>
        <v>0</v>
      </c>
      <c r="X529" s="21" t="n">
        <f aca="false">S529+V529+W529</f>
        <v>0</v>
      </c>
      <c r="Y529" s="20"/>
      <c r="Z529" s="20"/>
      <c r="AA529" s="19" t="n">
        <v>0</v>
      </c>
      <c r="AB529" s="20"/>
      <c r="AC529" s="20"/>
      <c r="AD529" s="24" t="n">
        <f aca="false">IFERROR(AA529/AC529,0)</f>
        <v>0</v>
      </c>
      <c r="AE529" s="25" t="n">
        <f aca="false">K529-Q529-X529</f>
        <v>0</v>
      </c>
      <c r="AF529" s="25" t="n">
        <f aca="false">Q529-AA529</f>
        <v>0</v>
      </c>
      <c r="AG529" s="20"/>
      <c r="AH529" s="26" t="n">
        <f aca="false">IFERROR(AG529/Q529,0)</f>
        <v>0</v>
      </c>
      <c r="AI529" s="27" t="n">
        <v>0</v>
      </c>
      <c r="AJ529" s="26" t="n">
        <f aca="false">IF(AI529&gt;0,AprCoef/SQRT(AI529),0)</f>
        <v>0</v>
      </c>
      <c r="AK529" s="24" t="n">
        <f aca="false">AI529*AJ529/365</f>
        <v>0</v>
      </c>
      <c r="AL529" s="24" t="n">
        <f aca="false">AD529</f>
        <v>0</v>
      </c>
      <c r="AM529" s="24" t="n">
        <f aca="false">AK529-AL529</f>
        <v>0</v>
      </c>
      <c r="AN529" s="28" t="str">
        <f aca="false">IF(A529&gt;=Hip3LaunchDate,"YES","")</f>
        <v/>
      </c>
      <c r="AO529" s="28" t="str">
        <f aca="false">IF(A529&lt;Hip4LaunchDate,"pre-launch","live (zero-fee)")</f>
        <v>pre-launch</v>
      </c>
      <c r="AP529" s="20"/>
      <c r="AQ529" s="20"/>
      <c r="AR529" s="20"/>
    </row>
    <row r="530" customFormat="false" ht="15" hidden="false" customHeight="false" outlineLevel="0" collapsed="false">
      <c r="A530" s="18" t="n">
        <v>45591</v>
      </c>
      <c r="B530" s="19" t="n">
        <v>1493843407.23</v>
      </c>
      <c r="C530" s="19" t="n">
        <v>0</v>
      </c>
      <c r="D530" s="19" t="n">
        <v>4934407</v>
      </c>
      <c r="E530" s="21" t="n">
        <f aca="false">B530+C530</f>
        <v>1493843407.23</v>
      </c>
      <c r="F530" s="21" t="n">
        <f aca="false">E530+D530</f>
        <v>1498777814.23</v>
      </c>
      <c r="G530" s="22" t="n">
        <f aca="false">IFERROR(C530/E530,0)</f>
        <v>0</v>
      </c>
      <c r="H530" s="20"/>
      <c r="I530" s="20"/>
      <c r="J530" s="20"/>
      <c r="K530" s="21" t="n">
        <f aca="false">H530+I530</f>
        <v>0</v>
      </c>
      <c r="L530" s="20"/>
      <c r="M530" s="21" t="n">
        <f aca="false">H530-L530</f>
        <v>0</v>
      </c>
      <c r="N530" s="23" t="n">
        <f aca="false">IFERROR(M530/B530*10000,0)</f>
        <v>0</v>
      </c>
      <c r="O530" s="20"/>
      <c r="P530" s="20"/>
      <c r="Q530" s="21" t="n">
        <f aca="false">O530+P530</f>
        <v>0</v>
      </c>
      <c r="R530" s="22" t="n">
        <f aca="false">IF(A530&lt;HlpChangeDate,HlpSharePre,HlpSharePost)</f>
        <v>0.03</v>
      </c>
      <c r="S530" s="21" t="n">
        <f aca="false">Q530*R530/(1-R530)</f>
        <v>0</v>
      </c>
      <c r="T530" s="20"/>
      <c r="U530" s="21" t="n">
        <f aca="false">S530-T530</f>
        <v>0</v>
      </c>
      <c r="V530" s="21" t="n">
        <f aca="false">Y530-O530*R530/(1-R530)</f>
        <v>0</v>
      </c>
      <c r="W530" s="21" t="n">
        <f aca="false">Z530-P530*R530/(1-R530)</f>
        <v>0</v>
      </c>
      <c r="X530" s="21" t="n">
        <f aca="false">S530+V530+W530</f>
        <v>0</v>
      </c>
      <c r="Y530" s="20"/>
      <c r="Z530" s="20"/>
      <c r="AA530" s="19" t="n">
        <v>0</v>
      </c>
      <c r="AB530" s="20"/>
      <c r="AC530" s="20"/>
      <c r="AD530" s="24" t="n">
        <f aca="false">IFERROR(AA530/AC530,0)</f>
        <v>0</v>
      </c>
      <c r="AE530" s="25" t="n">
        <f aca="false">K530-Q530-X530</f>
        <v>0</v>
      </c>
      <c r="AF530" s="25" t="n">
        <f aca="false">Q530-AA530</f>
        <v>0</v>
      </c>
      <c r="AG530" s="20"/>
      <c r="AH530" s="26" t="n">
        <f aca="false">IFERROR(AG530/Q530,0)</f>
        <v>0</v>
      </c>
      <c r="AI530" s="27" t="n">
        <v>0</v>
      </c>
      <c r="AJ530" s="26" t="n">
        <f aca="false">IF(AI530&gt;0,AprCoef/SQRT(AI530),0)</f>
        <v>0</v>
      </c>
      <c r="AK530" s="24" t="n">
        <f aca="false">AI530*AJ530/365</f>
        <v>0</v>
      </c>
      <c r="AL530" s="24" t="n">
        <f aca="false">AD530</f>
        <v>0</v>
      </c>
      <c r="AM530" s="24" t="n">
        <f aca="false">AK530-AL530</f>
        <v>0</v>
      </c>
      <c r="AN530" s="28" t="str">
        <f aca="false">IF(A530&gt;=Hip3LaunchDate,"YES","")</f>
        <v/>
      </c>
      <c r="AO530" s="28" t="str">
        <f aca="false">IF(A530&lt;Hip4LaunchDate,"pre-launch","live (zero-fee)")</f>
        <v>pre-launch</v>
      </c>
      <c r="AP530" s="20"/>
      <c r="AQ530" s="20"/>
      <c r="AR530" s="20"/>
    </row>
    <row r="531" customFormat="false" ht="15" hidden="false" customHeight="false" outlineLevel="0" collapsed="false">
      <c r="A531" s="18" t="n">
        <v>45592</v>
      </c>
      <c r="B531" s="19" t="n">
        <v>438451324.96</v>
      </c>
      <c r="C531" s="19" t="n">
        <v>0</v>
      </c>
      <c r="D531" s="19" t="n">
        <v>3344874</v>
      </c>
      <c r="E531" s="21" t="n">
        <f aca="false">B531+C531</f>
        <v>438451324.96</v>
      </c>
      <c r="F531" s="21" t="n">
        <f aca="false">E531+D531</f>
        <v>441796198.96</v>
      </c>
      <c r="G531" s="22" t="n">
        <f aca="false">IFERROR(C531/E531,0)</f>
        <v>0</v>
      </c>
      <c r="H531" s="20"/>
      <c r="I531" s="20"/>
      <c r="J531" s="20"/>
      <c r="K531" s="21" t="n">
        <f aca="false">H531+I531</f>
        <v>0</v>
      </c>
      <c r="L531" s="20"/>
      <c r="M531" s="21" t="n">
        <f aca="false">H531-L531</f>
        <v>0</v>
      </c>
      <c r="N531" s="23" t="n">
        <f aca="false">IFERROR(M531/B531*10000,0)</f>
        <v>0</v>
      </c>
      <c r="O531" s="20"/>
      <c r="P531" s="20"/>
      <c r="Q531" s="21" t="n">
        <f aca="false">O531+P531</f>
        <v>0</v>
      </c>
      <c r="R531" s="22" t="n">
        <f aca="false">IF(A531&lt;HlpChangeDate,HlpSharePre,HlpSharePost)</f>
        <v>0.03</v>
      </c>
      <c r="S531" s="21" t="n">
        <f aca="false">Q531*R531/(1-R531)</f>
        <v>0</v>
      </c>
      <c r="T531" s="20"/>
      <c r="U531" s="21" t="n">
        <f aca="false">S531-T531</f>
        <v>0</v>
      </c>
      <c r="V531" s="21" t="n">
        <f aca="false">Y531-O531*R531/(1-R531)</f>
        <v>0</v>
      </c>
      <c r="W531" s="21" t="n">
        <f aca="false">Z531-P531*R531/(1-R531)</f>
        <v>0</v>
      </c>
      <c r="X531" s="21" t="n">
        <f aca="false">S531+V531+W531</f>
        <v>0</v>
      </c>
      <c r="Y531" s="20"/>
      <c r="Z531" s="20"/>
      <c r="AA531" s="19" t="n">
        <v>0</v>
      </c>
      <c r="AB531" s="20"/>
      <c r="AC531" s="20"/>
      <c r="AD531" s="24" t="n">
        <f aca="false">IFERROR(AA531/AC531,0)</f>
        <v>0</v>
      </c>
      <c r="AE531" s="25" t="n">
        <f aca="false">K531-Q531-X531</f>
        <v>0</v>
      </c>
      <c r="AF531" s="25" t="n">
        <f aca="false">Q531-AA531</f>
        <v>0</v>
      </c>
      <c r="AG531" s="20"/>
      <c r="AH531" s="26" t="n">
        <f aca="false">IFERROR(AG531/Q531,0)</f>
        <v>0</v>
      </c>
      <c r="AI531" s="27" t="n">
        <v>0</v>
      </c>
      <c r="AJ531" s="26" t="n">
        <f aca="false">IF(AI531&gt;0,AprCoef/SQRT(AI531),0)</f>
        <v>0</v>
      </c>
      <c r="AK531" s="24" t="n">
        <f aca="false">AI531*AJ531/365</f>
        <v>0</v>
      </c>
      <c r="AL531" s="24" t="n">
        <f aca="false">AD531</f>
        <v>0</v>
      </c>
      <c r="AM531" s="24" t="n">
        <f aca="false">AK531-AL531</f>
        <v>0</v>
      </c>
      <c r="AN531" s="28" t="str">
        <f aca="false">IF(A531&gt;=Hip3LaunchDate,"YES","")</f>
        <v/>
      </c>
      <c r="AO531" s="28" t="str">
        <f aca="false">IF(A531&lt;Hip4LaunchDate,"pre-launch","live (zero-fee)")</f>
        <v>pre-launch</v>
      </c>
      <c r="AP531" s="20"/>
      <c r="AQ531" s="20"/>
      <c r="AR531" s="20"/>
    </row>
    <row r="532" customFormat="false" ht="15" hidden="false" customHeight="false" outlineLevel="0" collapsed="false">
      <c r="A532" s="18" t="n">
        <v>45593</v>
      </c>
      <c r="B532" s="19" t="n">
        <v>1045299068.62</v>
      </c>
      <c r="C532" s="19" t="n">
        <v>0</v>
      </c>
      <c r="D532" s="19" t="n">
        <v>14706402</v>
      </c>
      <c r="E532" s="21" t="n">
        <f aca="false">B532+C532</f>
        <v>1045299068.62</v>
      </c>
      <c r="F532" s="21" t="n">
        <f aca="false">E532+D532</f>
        <v>1060005470.62</v>
      </c>
      <c r="G532" s="22" t="n">
        <f aca="false">IFERROR(C532/E532,0)</f>
        <v>0</v>
      </c>
      <c r="H532" s="20"/>
      <c r="I532" s="20"/>
      <c r="J532" s="20"/>
      <c r="K532" s="21" t="n">
        <f aca="false">H532+I532</f>
        <v>0</v>
      </c>
      <c r="L532" s="20"/>
      <c r="M532" s="21" t="n">
        <f aca="false">H532-L532</f>
        <v>0</v>
      </c>
      <c r="N532" s="23" t="n">
        <f aca="false">IFERROR(M532/B532*10000,0)</f>
        <v>0</v>
      </c>
      <c r="O532" s="20"/>
      <c r="P532" s="20"/>
      <c r="Q532" s="21" t="n">
        <f aca="false">O532+P532</f>
        <v>0</v>
      </c>
      <c r="R532" s="22" t="n">
        <f aca="false">IF(A532&lt;HlpChangeDate,HlpSharePre,HlpSharePost)</f>
        <v>0.03</v>
      </c>
      <c r="S532" s="21" t="n">
        <f aca="false">Q532*R532/(1-R532)</f>
        <v>0</v>
      </c>
      <c r="T532" s="20"/>
      <c r="U532" s="21" t="n">
        <f aca="false">S532-T532</f>
        <v>0</v>
      </c>
      <c r="V532" s="21" t="n">
        <f aca="false">Y532-O532*R532/(1-R532)</f>
        <v>0</v>
      </c>
      <c r="W532" s="21" t="n">
        <f aca="false">Z532-P532*R532/(1-R532)</f>
        <v>0</v>
      </c>
      <c r="X532" s="21" t="n">
        <f aca="false">S532+V532+W532</f>
        <v>0</v>
      </c>
      <c r="Y532" s="20"/>
      <c r="Z532" s="20"/>
      <c r="AA532" s="19" t="n">
        <v>0</v>
      </c>
      <c r="AB532" s="20"/>
      <c r="AC532" s="20"/>
      <c r="AD532" s="24" t="n">
        <f aca="false">IFERROR(AA532/AC532,0)</f>
        <v>0</v>
      </c>
      <c r="AE532" s="25" t="n">
        <f aca="false">K532-Q532-X532</f>
        <v>0</v>
      </c>
      <c r="AF532" s="25" t="n">
        <f aca="false">Q532-AA532</f>
        <v>0</v>
      </c>
      <c r="AG532" s="20"/>
      <c r="AH532" s="26" t="n">
        <f aca="false">IFERROR(AG532/Q532,0)</f>
        <v>0</v>
      </c>
      <c r="AI532" s="27" t="n">
        <v>0</v>
      </c>
      <c r="AJ532" s="26" t="n">
        <f aca="false">IF(AI532&gt;0,AprCoef/SQRT(AI532),0)</f>
        <v>0</v>
      </c>
      <c r="AK532" s="24" t="n">
        <f aca="false">AI532*AJ532/365</f>
        <v>0</v>
      </c>
      <c r="AL532" s="24" t="n">
        <f aca="false">AD532</f>
        <v>0</v>
      </c>
      <c r="AM532" s="24" t="n">
        <f aca="false">AK532-AL532</f>
        <v>0</v>
      </c>
      <c r="AN532" s="28" t="str">
        <f aca="false">IF(A532&gt;=Hip3LaunchDate,"YES","")</f>
        <v/>
      </c>
      <c r="AO532" s="28" t="str">
        <f aca="false">IF(A532&lt;Hip4LaunchDate,"pre-launch","live (zero-fee)")</f>
        <v>pre-launch</v>
      </c>
      <c r="AP532" s="20"/>
      <c r="AQ532" s="20"/>
      <c r="AR532" s="20"/>
    </row>
    <row r="533" customFormat="false" ht="15" hidden="false" customHeight="false" outlineLevel="0" collapsed="false">
      <c r="A533" s="18" t="n">
        <v>45594</v>
      </c>
      <c r="B533" s="19" t="n">
        <v>1399157863.22</v>
      </c>
      <c r="C533" s="19" t="n">
        <v>0</v>
      </c>
      <c r="D533" s="19" t="n">
        <v>7873216</v>
      </c>
      <c r="E533" s="21" t="n">
        <f aca="false">B533+C533</f>
        <v>1399157863.22</v>
      </c>
      <c r="F533" s="21" t="n">
        <f aca="false">E533+D533</f>
        <v>1407031079.22</v>
      </c>
      <c r="G533" s="22" t="n">
        <f aca="false">IFERROR(C533/E533,0)</f>
        <v>0</v>
      </c>
      <c r="H533" s="20"/>
      <c r="I533" s="20"/>
      <c r="J533" s="20"/>
      <c r="K533" s="21" t="n">
        <f aca="false">H533+I533</f>
        <v>0</v>
      </c>
      <c r="L533" s="20"/>
      <c r="M533" s="21" t="n">
        <f aca="false">H533-L533</f>
        <v>0</v>
      </c>
      <c r="N533" s="23" t="n">
        <f aca="false">IFERROR(M533/B533*10000,0)</f>
        <v>0</v>
      </c>
      <c r="O533" s="20"/>
      <c r="P533" s="20"/>
      <c r="Q533" s="21" t="n">
        <f aca="false">O533+P533</f>
        <v>0</v>
      </c>
      <c r="R533" s="22" t="n">
        <f aca="false">IF(A533&lt;HlpChangeDate,HlpSharePre,HlpSharePost)</f>
        <v>0.03</v>
      </c>
      <c r="S533" s="21" t="n">
        <f aca="false">Q533*R533/(1-R533)</f>
        <v>0</v>
      </c>
      <c r="T533" s="20"/>
      <c r="U533" s="21" t="n">
        <f aca="false">S533-T533</f>
        <v>0</v>
      </c>
      <c r="V533" s="21" t="n">
        <f aca="false">Y533-O533*R533/(1-R533)</f>
        <v>0</v>
      </c>
      <c r="W533" s="21" t="n">
        <f aca="false">Z533-P533*R533/(1-R533)</f>
        <v>0</v>
      </c>
      <c r="X533" s="21" t="n">
        <f aca="false">S533+V533+W533</f>
        <v>0</v>
      </c>
      <c r="Y533" s="20"/>
      <c r="Z533" s="20"/>
      <c r="AA533" s="19" t="n">
        <v>0</v>
      </c>
      <c r="AB533" s="20"/>
      <c r="AC533" s="20"/>
      <c r="AD533" s="24" t="n">
        <f aca="false">IFERROR(AA533/AC533,0)</f>
        <v>0</v>
      </c>
      <c r="AE533" s="25" t="n">
        <f aca="false">K533-Q533-X533</f>
        <v>0</v>
      </c>
      <c r="AF533" s="25" t="n">
        <f aca="false">Q533-AA533</f>
        <v>0</v>
      </c>
      <c r="AG533" s="20"/>
      <c r="AH533" s="26" t="n">
        <f aca="false">IFERROR(AG533/Q533,0)</f>
        <v>0</v>
      </c>
      <c r="AI533" s="27" t="n">
        <v>0</v>
      </c>
      <c r="AJ533" s="26" t="n">
        <f aca="false">IF(AI533&gt;0,AprCoef/SQRT(AI533),0)</f>
        <v>0</v>
      </c>
      <c r="AK533" s="24" t="n">
        <f aca="false">AI533*AJ533/365</f>
        <v>0</v>
      </c>
      <c r="AL533" s="24" t="n">
        <f aca="false">AD533</f>
        <v>0</v>
      </c>
      <c r="AM533" s="24" t="n">
        <f aca="false">AK533-AL533</f>
        <v>0</v>
      </c>
      <c r="AN533" s="28" t="str">
        <f aca="false">IF(A533&gt;=Hip3LaunchDate,"YES","")</f>
        <v/>
      </c>
      <c r="AO533" s="28" t="str">
        <f aca="false">IF(A533&lt;Hip4LaunchDate,"pre-launch","live (zero-fee)")</f>
        <v>pre-launch</v>
      </c>
      <c r="AP533" s="20"/>
      <c r="AQ533" s="20"/>
      <c r="AR533" s="20"/>
    </row>
    <row r="534" customFormat="false" ht="15" hidden="false" customHeight="false" outlineLevel="0" collapsed="false">
      <c r="A534" s="18" t="n">
        <v>45595</v>
      </c>
      <c r="B534" s="19" t="n">
        <v>1138072312.05</v>
      </c>
      <c r="C534" s="19" t="n">
        <v>0</v>
      </c>
      <c r="D534" s="19" t="n">
        <v>6536359</v>
      </c>
      <c r="E534" s="21" t="n">
        <f aca="false">B534+C534</f>
        <v>1138072312.05</v>
      </c>
      <c r="F534" s="21" t="n">
        <f aca="false">E534+D534</f>
        <v>1144608671.05</v>
      </c>
      <c r="G534" s="22" t="n">
        <f aca="false">IFERROR(C534/E534,0)</f>
        <v>0</v>
      </c>
      <c r="H534" s="20"/>
      <c r="I534" s="20"/>
      <c r="J534" s="20"/>
      <c r="K534" s="21" t="n">
        <f aca="false">H534+I534</f>
        <v>0</v>
      </c>
      <c r="L534" s="20"/>
      <c r="M534" s="21" t="n">
        <f aca="false">H534-L534</f>
        <v>0</v>
      </c>
      <c r="N534" s="23" t="n">
        <f aca="false">IFERROR(M534/B534*10000,0)</f>
        <v>0</v>
      </c>
      <c r="O534" s="20"/>
      <c r="P534" s="20"/>
      <c r="Q534" s="21" t="n">
        <f aca="false">O534+P534</f>
        <v>0</v>
      </c>
      <c r="R534" s="22" t="n">
        <f aca="false">IF(A534&lt;HlpChangeDate,HlpSharePre,HlpSharePost)</f>
        <v>0.03</v>
      </c>
      <c r="S534" s="21" t="n">
        <f aca="false">Q534*R534/(1-R534)</f>
        <v>0</v>
      </c>
      <c r="T534" s="20"/>
      <c r="U534" s="21" t="n">
        <f aca="false">S534-T534</f>
        <v>0</v>
      </c>
      <c r="V534" s="21" t="n">
        <f aca="false">Y534-O534*R534/(1-R534)</f>
        <v>0</v>
      </c>
      <c r="W534" s="21" t="n">
        <f aca="false">Z534-P534*R534/(1-R534)</f>
        <v>0</v>
      </c>
      <c r="X534" s="21" t="n">
        <f aca="false">S534+V534+W534</f>
        <v>0</v>
      </c>
      <c r="Y534" s="20"/>
      <c r="Z534" s="20"/>
      <c r="AA534" s="19" t="n">
        <v>0</v>
      </c>
      <c r="AB534" s="20"/>
      <c r="AC534" s="20"/>
      <c r="AD534" s="24" t="n">
        <f aca="false">IFERROR(AA534/AC534,0)</f>
        <v>0</v>
      </c>
      <c r="AE534" s="25" t="n">
        <f aca="false">K534-Q534-X534</f>
        <v>0</v>
      </c>
      <c r="AF534" s="25" t="n">
        <f aca="false">Q534-AA534</f>
        <v>0</v>
      </c>
      <c r="AG534" s="20"/>
      <c r="AH534" s="26" t="n">
        <f aca="false">IFERROR(AG534/Q534,0)</f>
        <v>0</v>
      </c>
      <c r="AI534" s="27" t="n">
        <v>0</v>
      </c>
      <c r="AJ534" s="26" t="n">
        <f aca="false">IF(AI534&gt;0,AprCoef/SQRT(AI534),0)</f>
        <v>0</v>
      </c>
      <c r="AK534" s="24" t="n">
        <f aca="false">AI534*AJ534/365</f>
        <v>0</v>
      </c>
      <c r="AL534" s="24" t="n">
        <f aca="false">AD534</f>
        <v>0</v>
      </c>
      <c r="AM534" s="24" t="n">
        <f aca="false">AK534-AL534</f>
        <v>0</v>
      </c>
      <c r="AN534" s="28" t="str">
        <f aca="false">IF(A534&gt;=Hip3LaunchDate,"YES","")</f>
        <v/>
      </c>
      <c r="AO534" s="28" t="str">
        <f aca="false">IF(A534&lt;Hip4LaunchDate,"pre-launch","live (zero-fee)")</f>
        <v>pre-launch</v>
      </c>
      <c r="AP534" s="20"/>
      <c r="AQ534" s="20"/>
      <c r="AR534" s="20"/>
    </row>
    <row r="535" customFormat="false" ht="15" hidden="false" customHeight="false" outlineLevel="0" collapsed="false">
      <c r="A535" s="18" t="n">
        <v>45596</v>
      </c>
      <c r="B535" s="19" t="n">
        <v>1067358457.49</v>
      </c>
      <c r="C535" s="19" t="n">
        <v>0</v>
      </c>
      <c r="D535" s="19" t="n">
        <v>5354091</v>
      </c>
      <c r="E535" s="21" t="n">
        <f aca="false">B535+C535</f>
        <v>1067358457.49</v>
      </c>
      <c r="F535" s="21" t="n">
        <f aca="false">E535+D535</f>
        <v>1072712548.49</v>
      </c>
      <c r="G535" s="22" t="n">
        <f aca="false">IFERROR(C535/E535,0)</f>
        <v>0</v>
      </c>
      <c r="H535" s="20"/>
      <c r="I535" s="20"/>
      <c r="J535" s="20"/>
      <c r="K535" s="21" t="n">
        <f aca="false">H535+I535</f>
        <v>0</v>
      </c>
      <c r="L535" s="20"/>
      <c r="M535" s="21" t="n">
        <f aca="false">H535-L535</f>
        <v>0</v>
      </c>
      <c r="N535" s="23" t="n">
        <f aca="false">IFERROR(M535/B535*10000,0)</f>
        <v>0</v>
      </c>
      <c r="O535" s="20"/>
      <c r="P535" s="20"/>
      <c r="Q535" s="21" t="n">
        <f aca="false">O535+P535</f>
        <v>0</v>
      </c>
      <c r="R535" s="22" t="n">
        <f aca="false">IF(A535&lt;HlpChangeDate,HlpSharePre,HlpSharePost)</f>
        <v>0.03</v>
      </c>
      <c r="S535" s="21" t="n">
        <f aca="false">Q535*R535/(1-R535)</f>
        <v>0</v>
      </c>
      <c r="T535" s="20"/>
      <c r="U535" s="21" t="n">
        <f aca="false">S535-T535</f>
        <v>0</v>
      </c>
      <c r="V535" s="21" t="n">
        <f aca="false">Y535-O535*R535/(1-R535)</f>
        <v>0</v>
      </c>
      <c r="W535" s="21" t="n">
        <f aca="false">Z535-P535*R535/(1-R535)</f>
        <v>0</v>
      </c>
      <c r="X535" s="21" t="n">
        <f aca="false">S535+V535+W535</f>
        <v>0</v>
      </c>
      <c r="Y535" s="20"/>
      <c r="Z535" s="20"/>
      <c r="AA535" s="19" t="n">
        <v>0</v>
      </c>
      <c r="AB535" s="20"/>
      <c r="AC535" s="20"/>
      <c r="AD535" s="24" t="n">
        <f aca="false">IFERROR(AA535/AC535,0)</f>
        <v>0</v>
      </c>
      <c r="AE535" s="25" t="n">
        <f aca="false">K535-Q535-X535</f>
        <v>0</v>
      </c>
      <c r="AF535" s="25" t="n">
        <f aca="false">Q535-AA535</f>
        <v>0</v>
      </c>
      <c r="AG535" s="20"/>
      <c r="AH535" s="26" t="n">
        <f aca="false">IFERROR(AG535/Q535,0)</f>
        <v>0</v>
      </c>
      <c r="AI535" s="27" t="n">
        <v>0</v>
      </c>
      <c r="AJ535" s="26" t="n">
        <f aca="false">IF(AI535&gt;0,AprCoef/SQRT(AI535),0)</f>
        <v>0</v>
      </c>
      <c r="AK535" s="24" t="n">
        <f aca="false">AI535*AJ535/365</f>
        <v>0</v>
      </c>
      <c r="AL535" s="24" t="n">
        <f aca="false">AD535</f>
        <v>0</v>
      </c>
      <c r="AM535" s="24" t="n">
        <f aca="false">AK535-AL535</f>
        <v>0</v>
      </c>
      <c r="AN535" s="28" t="str">
        <f aca="false">IF(A535&gt;=Hip3LaunchDate,"YES","")</f>
        <v/>
      </c>
      <c r="AO535" s="28" t="str">
        <f aca="false">IF(A535&lt;Hip4LaunchDate,"pre-launch","live (zero-fee)")</f>
        <v>pre-launch</v>
      </c>
      <c r="AP535" s="20"/>
      <c r="AQ535" s="20"/>
      <c r="AR535" s="20"/>
    </row>
    <row r="536" customFormat="false" ht="15" hidden="false" customHeight="false" outlineLevel="0" collapsed="false">
      <c r="A536" s="18" t="n">
        <v>45597</v>
      </c>
      <c r="B536" s="19" t="n">
        <v>1488728710.43</v>
      </c>
      <c r="C536" s="19" t="n">
        <v>0</v>
      </c>
      <c r="D536" s="19" t="n">
        <v>4298140</v>
      </c>
      <c r="E536" s="21" t="n">
        <f aca="false">B536+C536</f>
        <v>1488728710.43</v>
      </c>
      <c r="F536" s="21" t="n">
        <f aca="false">E536+D536</f>
        <v>1493026850.43</v>
      </c>
      <c r="G536" s="22" t="n">
        <f aca="false">IFERROR(C536/E536,0)</f>
        <v>0</v>
      </c>
      <c r="H536" s="20"/>
      <c r="I536" s="20"/>
      <c r="J536" s="20"/>
      <c r="K536" s="21" t="n">
        <f aca="false">H536+I536</f>
        <v>0</v>
      </c>
      <c r="L536" s="20"/>
      <c r="M536" s="21" t="n">
        <f aca="false">H536-L536</f>
        <v>0</v>
      </c>
      <c r="N536" s="23" t="n">
        <f aca="false">IFERROR(M536/B536*10000,0)</f>
        <v>0</v>
      </c>
      <c r="O536" s="20"/>
      <c r="P536" s="20"/>
      <c r="Q536" s="21" t="n">
        <f aca="false">O536+P536</f>
        <v>0</v>
      </c>
      <c r="R536" s="22" t="n">
        <f aca="false">IF(A536&lt;HlpChangeDate,HlpSharePre,HlpSharePost)</f>
        <v>0.03</v>
      </c>
      <c r="S536" s="21" t="n">
        <f aca="false">Q536*R536/(1-R536)</f>
        <v>0</v>
      </c>
      <c r="T536" s="20"/>
      <c r="U536" s="21" t="n">
        <f aca="false">S536-T536</f>
        <v>0</v>
      </c>
      <c r="V536" s="21" t="n">
        <f aca="false">Y536-O536*R536/(1-R536)</f>
        <v>0</v>
      </c>
      <c r="W536" s="21" t="n">
        <f aca="false">Z536-P536*R536/(1-R536)</f>
        <v>0</v>
      </c>
      <c r="X536" s="21" t="n">
        <f aca="false">S536+V536+W536</f>
        <v>0</v>
      </c>
      <c r="Y536" s="20"/>
      <c r="Z536" s="20"/>
      <c r="AA536" s="19" t="n">
        <v>0</v>
      </c>
      <c r="AB536" s="20"/>
      <c r="AC536" s="20"/>
      <c r="AD536" s="24" t="n">
        <f aca="false">IFERROR(AA536/AC536,0)</f>
        <v>0</v>
      </c>
      <c r="AE536" s="25" t="n">
        <f aca="false">K536-Q536-X536</f>
        <v>0</v>
      </c>
      <c r="AF536" s="25" t="n">
        <f aca="false">Q536-AA536</f>
        <v>0</v>
      </c>
      <c r="AG536" s="20"/>
      <c r="AH536" s="26" t="n">
        <f aca="false">IFERROR(AG536/Q536,0)</f>
        <v>0</v>
      </c>
      <c r="AI536" s="27" t="n">
        <v>0</v>
      </c>
      <c r="AJ536" s="26" t="n">
        <f aca="false">IF(AI536&gt;0,AprCoef/SQRT(AI536),0)</f>
        <v>0</v>
      </c>
      <c r="AK536" s="24" t="n">
        <f aca="false">AI536*AJ536/365</f>
        <v>0</v>
      </c>
      <c r="AL536" s="24" t="n">
        <f aca="false">AD536</f>
        <v>0</v>
      </c>
      <c r="AM536" s="24" t="n">
        <f aca="false">AK536-AL536</f>
        <v>0</v>
      </c>
      <c r="AN536" s="28" t="str">
        <f aca="false">IF(A536&gt;=Hip3LaunchDate,"YES","")</f>
        <v/>
      </c>
      <c r="AO536" s="28" t="str">
        <f aca="false">IF(A536&lt;Hip4LaunchDate,"pre-launch","live (zero-fee)")</f>
        <v>pre-launch</v>
      </c>
      <c r="AP536" s="20"/>
      <c r="AQ536" s="20"/>
      <c r="AR536" s="20"/>
    </row>
    <row r="537" customFormat="false" ht="15" hidden="false" customHeight="false" outlineLevel="0" collapsed="false">
      <c r="A537" s="18" t="n">
        <v>45598</v>
      </c>
      <c r="B537" s="19" t="n">
        <v>466867376.96</v>
      </c>
      <c r="C537" s="19" t="n">
        <v>0</v>
      </c>
      <c r="D537" s="19" t="n">
        <v>4870484</v>
      </c>
      <c r="E537" s="21" t="n">
        <f aca="false">B537+C537</f>
        <v>466867376.96</v>
      </c>
      <c r="F537" s="21" t="n">
        <f aca="false">E537+D537</f>
        <v>471737860.96</v>
      </c>
      <c r="G537" s="22" t="n">
        <f aca="false">IFERROR(C537/E537,0)</f>
        <v>0</v>
      </c>
      <c r="H537" s="20"/>
      <c r="I537" s="20"/>
      <c r="J537" s="20"/>
      <c r="K537" s="21" t="n">
        <f aca="false">H537+I537</f>
        <v>0</v>
      </c>
      <c r="L537" s="20"/>
      <c r="M537" s="21" t="n">
        <f aca="false">H537-L537</f>
        <v>0</v>
      </c>
      <c r="N537" s="23" t="n">
        <f aca="false">IFERROR(M537/B537*10000,0)</f>
        <v>0</v>
      </c>
      <c r="O537" s="20"/>
      <c r="P537" s="20"/>
      <c r="Q537" s="21" t="n">
        <f aca="false">O537+P537</f>
        <v>0</v>
      </c>
      <c r="R537" s="22" t="n">
        <f aca="false">IF(A537&lt;HlpChangeDate,HlpSharePre,HlpSharePost)</f>
        <v>0.03</v>
      </c>
      <c r="S537" s="21" t="n">
        <f aca="false">Q537*R537/(1-R537)</f>
        <v>0</v>
      </c>
      <c r="T537" s="20"/>
      <c r="U537" s="21" t="n">
        <f aca="false">S537-T537</f>
        <v>0</v>
      </c>
      <c r="V537" s="21" t="n">
        <f aca="false">Y537-O537*R537/(1-R537)</f>
        <v>0</v>
      </c>
      <c r="W537" s="21" t="n">
        <f aca="false">Z537-P537*R537/(1-R537)</f>
        <v>0</v>
      </c>
      <c r="X537" s="21" t="n">
        <f aca="false">S537+V537+W537</f>
        <v>0</v>
      </c>
      <c r="Y537" s="20"/>
      <c r="Z537" s="20"/>
      <c r="AA537" s="19" t="n">
        <v>0</v>
      </c>
      <c r="AB537" s="20"/>
      <c r="AC537" s="20"/>
      <c r="AD537" s="24" t="n">
        <f aca="false">IFERROR(AA537/AC537,0)</f>
        <v>0</v>
      </c>
      <c r="AE537" s="25" t="n">
        <f aca="false">K537-Q537-X537</f>
        <v>0</v>
      </c>
      <c r="AF537" s="25" t="n">
        <f aca="false">Q537-AA537</f>
        <v>0</v>
      </c>
      <c r="AG537" s="20"/>
      <c r="AH537" s="26" t="n">
        <f aca="false">IFERROR(AG537/Q537,0)</f>
        <v>0</v>
      </c>
      <c r="AI537" s="27" t="n">
        <v>0</v>
      </c>
      <c r="AJ537" s="26" t="n">
        <f aca="false">IF(AI537&gt;0,AprCoef/SQRT(AI537),0)</f>
        <v>0</v>
      </c>
      <c r="AK537" s="24" t="n">
        <f aca="false">AI537*AJ537/365</f>
        <v>0</v>
      </c>
      <c r="AL537" s="24" t="n">
        <f aca="false">AD537</f>
        <v>0</v>
      </c>
      <c r="AM537" s="24" t="n">
        <f aca="false">AK537-AL537</f>
        <v>0</v>
      </c>
      <c r="AN537" s="28" t="str">
        <f aca="false">IF(A537&gt;=Hip3LaunchDate,"YES","")</f>
        <v/>
      </c>
      <c r="AO537" s="28" t="str">
        <f aca="false">IF(A537&lt;Hip4LaunchDate,"pre-launch","live (zero-fee)")</f>
        <v>pre-launch</v>
      </c>
      <c r="AP537" s="20"/>
      <c r="AQ537" s="20"/>
      <c r="AR537" s="20"/>
    </row>
    <row r="538" customFormat="false" ht="15" hidden="false" customHeight="false" outlineLevel="0" collapsed="false">
      <c r="A538" s="18" t="n">
        <v>45599</v>
      </c>
      <c r="B538" s="19" t="n">
        <v>834666914.24</v>
      </c>
      <c r="C538" s="19" t="n">
        <v>0</v>
      </c>
      <c r="D538" s="19" t="n">
        <v>2907953</v>
      </c>
      <c r="E538" s="21" t="n">
        <f aca="false">B538+C538</f>
        <v>834666914.24</v>
      </c>
      <c r="F538" s="21" t="n">
        <f aca="false">E538+D538</f>
        <v>837574867.24</v>
      </c>
      <c r="G538" s="22" t="n">
        <f aca="false">IFERROR(C538/E538,0)</f>
        <v>0</v>
      </c>
      <c r="H538" s="20"/>
      <c r="I538" s="20"/>
      <c r="J538" s="20"/>
      <c r="K538" s="21" t="n">
        <f aca="false">H538+I538</f>
        <v>0</v>
      </c>
      <c r="L538" s="20"/>
      <c r="M538" s="21" t="n">
        <f aca="false">H538-L538</f>
        <v>0</v>
      </c>
      <c r="N538" s="23" t="n">
        <f aca="false">IFERROR(M538/B538*10000,0)</f>
        <v>0</v>
      </c>
      <c r="O538" s="20"/>
      <c r="P538" s="20"/>
      <c r="Q538" s="21" t="n">
        <f aca="false">O538+P538</f>
        <v>0</v>
      </c>
      <c r="R538" s="22" t="n">
        <f aca="false">IF(A538&lt;HlpChangeDate,HlpSharePre,HlpSharePost)</f>
        <v>0.03</v>
      </c>
      <c r="S538" s="21" t="n">
        <f aca="false">Q538*R538/(1-R538)</f>
        <v>0</v>
      </c>
      <c r="T538" s="20"/>
      <c r="U538" s="21" t="n">
        <f aca="false">S538-T538</f>
        <v>0</v>
      </c>
      <c r="V538" s="21" t="n">
        <f aca="false">Y538-O538*R538/(1-R538)</f>
        <v>0</v>
      </c>
      <c r="W538" s="21" t="n">
        <f aca="false">Z538-P538*R538/(1-R538)</f>
        <v>0</v>
      </c>
      <c r="X538" s="21" t="n">
        <f aca="false">S538+V538+W538</f>
        <v>0</v>
      </c>
      <c r="Y538" s="20"/>
      <c r="Z538" s="20"/>
      <c r="AA538" s="19" t="n">
        <v>0</v>
      </c>
      <c r="AB538" s="20"/>
      <c r="AC538" s="20"/>
      <c r="AD538" s="24" t="n">
        <f aca="false">IFERROR(AA538/AC538,0)</f>
        <v>0</v>
      </c>
      <c r="AE538" s="25" t="n">
        <f aca="false">K538-Q538-X538</f>
        <v>0</v>
      </c>
      <c r="AF538" s="25" t="n">
        <f aca="false">Q538-AA538</f>
        <v>0</v>
      </c>
      <c r="AG538" s="20"/>
      <c r="AH538" s="26" t="n">
        <f aca="false">IFERROR(AG538/Q538,0)</f>
        <v>0</v>
      </c>
      <c r="AI538" s="27" t="n">
        <v>0</v>
      </c>
      <c r="AJ538" s="26" t="n">
        <f aca="false">IF(AI538&gt;0,AprCoef/SQRT(AI538),0)</f>
        <v>0</v>
      </c>
      <c r="AK538" s="24" t="n">
        <f aca="false">AI538*AJ538/365</f>
        <v>0</v>
      </c>
      <c r="AL538" s="24" t="n">
        <f aca="false">AD538</f>
        <v>0</v>
      </c>
      <c r="AM538" s="24" t="n">
        <f aca="false">AK538-AL538</f>
        <v>0</v>
      </c>
      <c r="AN538" s="28" t="str">
        <f aca="false">IF(A538&gt;=Hip3LaunchDate,"YES","")</f>
        <v/>
      </c>
      <c r="AO538" s="28" t="str">
        <f aca="false">IF(A538&lt;Hip4LaunchDate,"pre-launch","live (zero-fee)")</f>
        <v>pre-launch</v>
      </c>
      <c r="AP538" s="20"/>
      <c r="AQ538" s="20"/>
      <c r="AR538" s="20"/>
    </row>
    <row r="539" customFormat="false" ht="15" hidden="false" customHeight="false" outlineLevel="0" collapsed="false">
      <c r="A539" s="18" t="n">
        <v>45600</v>
      </c>
      <c r="B539" s="19" t="n">
        <v>845027503.57</v>
      </c>
      <c r="C539" s="19" t="n">
        <v>0</v>
      </c>
      <c r="D539" s="19" t="n">
        <v>5175448</v>
      </c>
      <c r="E539" s="21" t="n">
        <f aca="false">B539+C539</f>
        <v>845027503.57</v>
      </c>
      <c r="F539" s="21" t="n">
        <f aca="false">E539+D539</f>
        <v>850202951.57</v>
      </c>
      <c r="G539" s="22" t="n">
        <f aca="false">IFERROR(C539/E539,0)</f>
        <v>0</v>
      </c>
      <c r="H539" s="20"/>
      <c r="I539" s="20"/>
      <c r="J539" s="20"/>
      <c r="K539" s="21" t="n">
        <f aca="false">H539+I539</f>
        <v>0</v>
      </c>
      <c r="L539" s="20"/>
      <c r="M539" s="21" t="n">
        <f aca="false">H539-L539</f>
        <v>0</v>
      </c>
      <c r="N539" s="23" t="n">
        <f aca="false">IFERROR(M539/B539*10000,0)</f>
        <v>0</v>
      </c>
      <c r="O539" s="20"/>
      <c r="P539" s="20"/>
      <c r="Q539" s="21" t="n">
        <f aca="false">O539+P539</f>
        <v>0</v>
      </c>
      <c r="R539" s="22" t="n">
        <f aca="false">IF(A539&lt;HlpChangeDate,HlpSharePre,HlpSharePost)</f>
        <v>0.03</v>
      </c>
      <c r="S539" s="21" t="n">
        <f aca="false">Q539*R539/(1-R539)</f>
        <v>0</v>
      </c>
      <c r="T539" s="20"/>
      <c r="U539" s="21" t="n">
        <f aca="false">S539-T539</f>
        <v>0</v>
      </c>
      <c r="V539" s="21" t="n">
        <f aca="false">Y539-O539*R539/(1-R539)</f>
        <v>0</v>
      </c>
      <c r="W539" s="21" t="n">
        <f aca="false">Z539-P539*R539/(1-R539)</f>
        <v>0</v>
      </c>
      <c r="X539" s="21" t="n">
        <f aca="false">S539+V539+W539</f>
        <v>0</v>
      </c>
      <c r="Y539" s="20"/>
      <c r="Z539" s="20"/>
      <c r="AA539" s="19" t="n">
        <v>0</v>
      </c>
      <c r="AB539" s="20"/>
      <c r="AC539" s="20"/>
      <c r="AD539" s="24" t="n">
        <f aca="false">IFERROR(AA539/AC539,0)</f>
        <v>0</v>
      </c>
      <c r="AE539" s="25" t="n">
        <f aca="false">K539-Q539-X539</f>
        <v>0</v>
      </c>
      <c r="AF539" s="25" t="n">
        <f aca="false">Q539-AA539</f>
        <v>0</v>
      </c>
      <c r="AG539" s="20"/>
      <c r="AH539" s="26" t="n">
        <f aca="false">IFERROR(AG539/Q539,0)</f>
        <v>0</v>
      </c>
      <c r="AI539" s="27" t="n">
        <v>0</v>
      </c>
      <c r="AJ539" s="26" t="n">
        <f aca="false">IF(AI539&gt;0,AprCoef/SQRT(AI539),0)</f>
        <v>0</v>
      </c>
      <c r="AK539" s="24" t="n">
        <f aca="false">AI539*AJ539/365</f>
        <v>0</v>
      </c>
      <c r="AL539" s="24" t="n">
        <f aca="false">AD539</f>
        <v>0</v>
      </c>
      <c r="AM539" s="24" t="n">
        <f aca="false">AK539-AL539</f>
        <v>0</v>
      </c>
      <c r="AN539" s="28" t="str">
        <f aca="false">IF(A539&gt;=Hip3LaunchDate,"YES","")</f>
        <v/>
      </c>
      <c r="AO539" s="28" t="str">
        <f aca="false">IF(A539&lt;Hip4LaunchDate,"pre-launch","live (zero-fee)")</f>
        <v>pre-launch</v>
      </c>
      <c r="AP539" s="20"/>
      <c r="AQ539" s="20"/>
      <c r="AR539" s="20"/>
    </row>
    <row r="540" customFormat="false" ht="15" hidden="false" customHeight="false" outlineLevel="0" collapsed="false">
      <c r="A540" s="18" t="n">
        <v>45601</v>
      </c>
      <c r="B540" s="19" t="n">
        <v>1132081366.24</v>
      </c>
      <c r="C540" s="19" t="n">
        <v>0</v>
      </c>
      <c r="D540" s="19" t="n">
        <v>1917874</v>
      </c>
      <c r="E540" s="21" t="n">
        <f aca="false">B540+C540</f>
        <v>1132081366.24</v>
      </c>
      <c r="F540" s="21" t="n">
        <f aca="false">E540+D540</f>
        <v>1133999240.24</v>
      </c>
      <c r="G540" s="22" t="n">
        <f aca="false">IFERROR(C540/E540,0)</f>
        <v>0</v>
      </c>
      <c r="H540" s="20"/>
      <c r="I540" s="20"/>
      <c r="J540" s="20"/>
      <c r="K540" s="21" t="n">
        <f aca="false">H540+I540</f>
        <v>0</v>
      </c>
      <c r="L540" s="20"/>
      <c r="M540" s="21" t="n">
        <f aca="false">H540-L540</f>
        <v>0</v>
      </c>
      <c r="N540" s="23" t="n">
        <f aca="false">IFERROR(M540/B540*10000,0)</f>
        <v>0</v>
      </c>
      <c r="O540" s="20"/>
      <c r="P540" s="20"/>
      <c r="Q540" s="21" t="n">
        <f aca="false">O540+P540</f>
        <v>0</v>
      </c>
      <c r="R540" s="22" t="n">
        <f aca="false">IF(A540&lt;HlpChangeDate,HlpSharePre,HlpSharePost)</f>
        <v>0.03</v>
      </c>
      <c r="S540" s="21" t="n">
        <f aca="false">Q540*R540/(1-R540)</f>
        <v>0</v>
      </c>
      <c r="T540" s="20"/>
      <c r="U540" s="21" t="n">
        <f aca="false">S540-T540</f>
        <v>0</v>
      </c>
      <c r="V540" s="21" t="n">
        <f aca="false">Y540-O540*R540/(1-R540)</f>
        <v>0</v>
      </c>
      <c r="W540" s="21" t="n">
        <f aca="false">Z540-P540*R540/(1-R540)</f>
        <v>0</v>
      </c>
      <c r="X540" s="21" t="n">
        <f aca="false">S540+V540+W540</f>
        <v>0</v>
      </c>
      <c r="Y540" s="20"/>
      <c r="Z540" s="20"/>
      <c r="AA540" s="19" t="n">
        <v>0</v>
      </c>
      <c r="AB540" s="20"/>
      <c r="AC540" s="20"/>
      <c r="AD540" s="24" t="n">
        <f aca="false">IFERROR(AA540/AC540,0)</f>
        <v>0</v>
      </c>
      <c r="AE540" s="25" t="n">
        <f aca="false">K540-Q540-X540</f>
        <v>0</v>
      </c>
      <c r="AF540" s="25" t="n">
        <f aca="false">Q540-AA540</f>
        <v>0</v>
      </c>
      <c r="AG540" s="20"/>
      <c r="AH540" s="26" t="n">
        <f aca="false">IFERROR(AG540/Q540,0)</f>
        <v>0</v>
      </c>
      <c r="AI540" s="27" t="n">
        <v>0</v>
      </c>
      <c r="AJ540" s="26" t="n">
        <f aca="false">IF(AI540&gt;0,AprCoef/SQRT(AI540),0)</f>
        <v>0</v>
      </c>
      <c r="AK540" s="24" t="n">
        <f aca="false">AI540*AJ540/365</f>
        <v>0</v>
      </c>
      <c r="AL540" s="24" t="n">
        <f aca="false">AD540</f>
        <v>0</v>
      </c>
      <c r="AM540" s="24" t="n">
        <f aca="false">AK540-AL540</f>
        <v>0</v>
      </c>
      <c r="AN540" s="28" t="str">
        <f aca="false">IF(A540&gt;=Hip3LaunchDate,"YES","")</f>
        <v/>
      </c>
      <c r="AO540" s="28" t="str">
        <f aca="false">IF(A540&lt;Hip4LaunchDate,"pre-launch","live (zero-fee)")</f>
        <v>pre-launch</v>
      </c>
      <c r="AP540" s="20"/>
      <c r="AQ540" s="20"/>
      <c r="AR540" s="20"/>
    </row>
    <row r="541" customFormat="false" ht="15" hidden="false" customHeight="false" outlineLevel="0" collapsed="false">
      <c r="A541" s="18" t="n">
        <v>45602</v>
      </c>
      <c r="B541" s="19" t="n">
        <v>3130348674.46</v>
      </c>
      <c r="C541" s="19" t="n">
        <v>0</v>
      </c>
      <c r="D541" s="19" t="n">
        <v>8102440</v>
      </c>
      <c r="E541" s="21" t="n">
        <f aca="false">B541+C541</f>
        <v>3130348674.46</v>
      </c>
      <c r="F541" s="21" t="n">
        <f aca="false">E541+D541</f>
        <v>3138451114.46</v>
      </c>
      <c r="G541" s="22" t="n">
        <f aca="false">IFERROR(C541/E541,0)</f>
        <v>0</v>
      </c>
      <c r="H541" s="20"/>
      <c r="I541" s="20"/>
      <c r="J541" s="20"/>
      <c r="K541" s="21" t="n">
        <f aca="false">H541+I541</f>
        <v>0</v>
      </c>
      <c r="L541" s="20"/>
      <c r="M541" s="21" t="n">
        <f aca="false">H541-L541</f>
        <v>0</v>
      </c>
      <c r="N541" s="23" t="n">
        <f aca="false">IFERROR(M541/B541*10000,0)</f>
        <v>0</v>
      </c>
      <c r="O541" s="20"/>
      <c r="P541" s="20"/>
      <c r="Q541" s="21" t="n">
        <f aca="false">O541+P541</f>
        <v>0</v>
      </c>
      <c r="R541" s="22" t="n">
        <f aca="false">IF(A541&lt;HlpChangeDate,HlpSharePre,HlpSharePost)</f>
        <v>0.03</v>
      </c>
      <c r="S541" s="21" t="n">
        <f aca="false">Q541*R541/(1-R541)</f>
        <v>0</v>
      </c>
      <c r="T541" s="20"/>
      <c r="U541" s="21" t="n">
        <f aca="false">S541-T541</f>
        <v>0</v>
      </c>
      <c r="V541" s="21" t="n">
        <f aca="false">Y541-O541*R541/(1-R541)</f>
        <v>0</v>
      </c>
      <c r="W541" s="21" t="n">
        <f aca="false">Z541-P541*R541/(1-R541)</f>
        <v>0</v>
      </c>
      <c r="X541" s="21" t="n">
        <f aca="false">S541+V541+W541</f>
        <v>0</v>
      </c>
      <c r="Y541" s="20"/>
      <c r="Z541" s="20"/>
      <c r="AA541" s="19" t="n">
        <v>0</v>
      </c>
      <c r="AB541" s="20"/>
      <c r="AC541" s="20"/>
      <c r="AD541" s="24" t="n">
        <f aca="false">IFERROR(AA541/AC541,0)</f>
        <v>0</v>
      </c>
      <c r="AE541" s="25" t="n">
        <f aca="false">K541-Q541-X541</f>
        <v>0</v>
      </c>
      <c r="AF541" s="25" t="n">
        <f aca="false">Q541-AA541</f>
        <v>0</v>
      </c>
      <c r="AG541" s="20"/>
      <c r="AH541" s="26" t="n">
        <f aca="false">IFERROR(AG541/Q541,0)</f>
        <v>0</v>
      </c>
      <c r="AI541" s="27" t="n">
        <v>0</v>
      </c>
      <c r="AJ541" s="26" t="n">
        <f aca="false">IF(AI541&gt;0,AprCoef/SQRT(AI541),0)</f>
        <v>0</v>
      </c>
      <c r="AK541" s="24" t="n">
        <f aca="false">AI541*AJ541/365</f>
        <v>0</v>
      </c>
      <c r="AL541" s="24" t="n">
        <f aca="false">AD541</f>
        <v>0</v>
      </c>
      <c r="AM541" s="24" t="n">
        <f aca="false">AK541-AL541</f>
        <v>0</v>
      </c>
      <c r="AN541" s="28" t="str">
        <f aca="false">IF(A541&gt;=Hip3LaunchDate,"YES","")</f>
        <v/>
      </c>
      <c r="AO541" s="28" t="str">
        <f aca="false">IF(A541&lt;Hip4LaunchDate,"pre-launch","live (zero-fee)")</f>
        <v>pre-launch</v>
      </c>
      <c r="AP541" s="20"/>
      <c r="AQ541" s="20"/>
      <c r="AR541" s="20"/>
    </row>
    <row r="542" customFormat="false" ht="15" hidden="false" customHeight="false" outlineLevel="0" collapsed="false">
      <c r="A542" s="18" t="n">
        <v>45603</v>
      </c>
      <c r="B542" s="19" t="n">
        <v>2120202625.76</v>
      </c>
      <c r="C542" s="19" t="n">
        <v>0</v>
      </c>
      <c r="D542" s="19" t="n">
        <v>6039848</v>
      </c>
      <c r="E542" s="21" t="n">
        <f aca="false">B542+C542</f>
        <v>2120202625.76</v>
      </c>
      <c r="F542" s="21" t="n">
        <f aca="false">E542+D542</f>
        <v>2126242473.76</v>
      </c>
      <c r="G542" s="22" t="n">
        <f aca="false">IFERROR(C542/E542,0)</f>
        <v>0</v>
      </c>
      <c r="H542" s="20"/>
      <c r="I542" s="20"/>
      <c r="J542" s="20"/>
      <c r="K542" s="21" t="n">
        <f aca="false">H542+I542</f>
        <v>0</v>
      </c>
      <c r="L542" s="20"/>
      <c r="M542" s="21" t="n">
        <f aca="false">H542-L542</f>
        <v>0</v>
      </c>
      <c r="N542" s="23" t="n">
        <f aca="false">IFERROR(M542/B542*10000,0)</f>
        <v>0</v>
      </c>
      <c r="O542" s="20"/>
      <c r="P542" s="20"/>
      <c r="Q542" s="21" t="n">
        <f aca="false">O542+P542</f>
        <v>0</v>
      </c>
      <c r="R542" s="22" t="n">
        <f aca="false">IF(A542&lt;HlpChangeDate,HlpSharePre,HlpSharePost)</f>
        <v>0.03</v>
      </c>
      <c r="S542" s="21" t="n">
        <f aca="false">Q542*R542/(1-R542)</f>
        <v>0</v>
      </c>
      <c r="T542" s="20"/>
      <c r="U542" s="21" t="n">
        <f aca="false">S542-T542</f>
        <v>0</v>
      </c>
      <c r="V542" s="21" t="n">
        <f aca="false">Y542-O542*R542/(1-R542)</f>
        <v>0</v>
      </c>
      <c r="W542" s="21" t="n">
        <f aca="false">Z542-P542*R542/(1-R542)</f>
        <v>0</v>
      </c>
      <c r="X542" s="21" t="n">
        <f aca="false">S542+V542+W542</f>
        <v>0</v>
      </c>
      <c r="Y542" s="20"/>
      <c r="Z542" s="20"/>
      <c r="AA542" s="19" t="n">
        <v>0</v>
      </c>
      <c r="AB542" s="20"/>
      <c r="AC542" s="20"/>
      <c r="AD542" s="24" t="n">
        <f aca="false">IFERROR(AA542/AC542,0)</f>
        <v>0</v>
      </c>
      <c r="AE542" s="25" t="n">
        <f aca="false">K542-Q542-X542</f>
        <v>0</v>
      </c>
      <c r="AF542" s="25" t="n">
        <f aca="false">Q542-AA542</f>
        <v>0</v>
      </c>
      <c r="AG542" s="20"/>
      <c r="AH542" s="26" t="n">
        <f aca="false">IFERROR(AG542/Q542,0)</f>
        <v>0</v>
      </c>
      <c r="AI542" s="27" t="n">
        <v>0</v>
      </c>
      <c r="AJ542" s="26" t="n">
        <f aca="false">IF(AI542&gt;0,AprCoef/SQRT(AI542),0)</f>
        <v>0</v>
      </c>
      <c r="AK542" s="24" t="n">
        <f aca="false">AI542*AJ542/365</f>
        <v>0</v>
      </c>
      <c r="AL542" s="24" t="n">
        <f aca="false">AD542</f>
        <v>0</v>
      </c>
      <c r="AM542" s="24" t="n">
        <f aca="false">AK542-AL542</f>
        <v>0</v>
      </c>
      <c r="AN542" s="28" t="str">
        <f aca="false">IF(A542&gt;=Hip3LaunchDate,"YES","")</f>
        <v/>
      </c>
      <c r="AO542" s="28" t="str">
        <f aca="false">IF(A542&lt;Hip4LaunchDate,"pre-launch","live (zero-fee)")</f>
        <v>pre-launch</v>
      </c>
      <c r="AP542" s="20"/>
      <c r="AQ542" s="20"/>
      <c r="AR542" s="20"/>
    </row>
    <row r="543" customFormat="false" ht="15" hidden="false" customHeight="false" outlineLevel="0" collapsed="false">
      <c r="A543" s="18" t="n">
        <v>45604</v>
      </c>
      <c r="B543" s="19" t="n">
        <v>1607657792.08</v>
      </c>
      <c r="C543" s="19" t="n">
        <v>0</v>
      </c>
      <c r="D543" s="19" t="n">
        <v>6984501</v>
      </c>
      <c r="E543" s="21" t="n">
        <f aca="false">B543+C543</f>
        <v>1607657792.08</v>
      </c>
      <c r="F543" s="21" t="n">
        <f aca="false">E543+D543</f>
        <v>1614642293.08</v>
      </c>
      <c r="G543" s="22" t="n">
        <f aca="false">IFERROR(C543/E543,0)</f>
        <v>0</v>
      </c>
      <c r="H543" s="20"/>
      <c r="I543" s="20"/>
      <c r="J543" s="20"/>
      <c r="K543" s="21" t="n">
        <f aca="false">H543+I543</f>
        <v>0</v>
      </c>
      <c r="L543" s="20"/>
      <c r="M543" s="21" t="n">
        <f aca="false">H543-L543</f>
        <v>0</v>
      </c>
      <c r="N543" s="23" t="n">
        <f aca="false">IFERROR(M543/B543*10000,0)</f>
        <v>0</v>
      </c>
      <c r="O543" s="20"/>
      <c r="P543" s="20"/>
      <c r="Q543" s="21" t="n">
        <f aca="false">O543+P543</f>
        <v>0</v>
      </c>
      <c r="R543" s="22" t="n">
        <f aca="false">IF(A543&lt;HlpChangeDate,HlpSharePre,HlpSharePost)</f>
        <v>0.03</v>
      </c>
      <c r="S543" s="21" t="n">
        <f aca="false">Q543*R543/(1-R543)</f>
        <v>0</v>
      </c>
      <c r="T543" s="20"/>
      <c r="U543" s="21" t="n">
        <f aca="false">S543-T543</f>
        <v>0</v>
      </c>
      <c r="V543" s="21" t="n">
        <f aca="false">Y543-O543*R543/(1-R543)</f>
        <v>0</v>
      </c>
      <c r="W543" s="21" t="n">
        <f aca="false">Z543-P543*R543/(1-R543)</f>
        <v>0</v>
      </c>
      <c r="X543" s="21" t="n">
        <f aca="false">S543+V543+W543</f>
        <v>0</v>
      </c>
      <c r="Y543" s="20"/>
      <c r="Z543" s="20"/>
      <c r="AA543" s="19" t="n">
        <v>0</v>
      </c>
      <c r="AB543" s="20"/>
      <c r="AC543" s="20"/>
      <c r="AD543" s="24" t="n">
        <f aca="false">IFERROR(AA543/AC543,0)</f>
        <v>0</v>
      </c>
      <c r="AE543" s="25" t="n">
        <f aca="false">K543-Q543-X543</f>
        <v>0</v>
      </c>
      <c r="AF543" s="25" t="n">
        <f aca="false">Q543-AA543</f>
        <v>0</v>
      </c>
      <c r="AG543" s="20"/>
      <c r="AH543" s="26" t="n">
        <f aca="false">IFERROR(AG543/Q543,0)</f>
        <v>0</v>
      </c>
      <c r="AI543" s="27" t="n">
        <v>0</v>
      </c>
      <c r="AJ543" s="26" t="n">
        <f aca="false">IF(AI543&gt;0,AprCoef/SQRT(AI543),0)</f>
        <v>0</v>
      </c>
      <c r="AK543" s="24" t="n">
        <f aca="false">AI543*AJ543/365</f>
        <v>0</v>
      </c>
      <c r="AL543" s="24" t="n">
        <f aca="false">AD543</f>
        <v>0</v>
      </c>
      <c r="AM543" s="24" t="n">
        <f aca="false">AK543-AL543</f>
        <v>0</v>
      </c>
      <c r="AN543" s="28" t="str">
        <f aca="false">IF(A543&gt;=Hip3LaunchDate,"YES","")</f>
        <v/>
      </c>
      <c r="AO543" s="28" t="str">
        <f aca="false">IF(A543&lt;Hip4LaunchDate,"pre-launch","live (zero-fee)")</f>
        <v>pre-launch</v>
      </c>
      <c r="AP543" s="20"/>
      <c r="AQ543" s="20"/>
      <c r="AR543" s="20"/>
    </row>
    <row r="544" customFormat="false" ht="15" hidden="false" customHeight="false" outlineLevel="0" collapsed="false">
      <c r="A544" s="18" t="n">
        <v>45605</v>
      </c>
      <c r="B544" s="19" t="n">
        <v>1283375052.02</v>
      </c>
      <c r="C544" s="19" t="n">
        <v>0</v>
      </c>
      <c r="D544" s="19" t="n">
        <v>6997081</v>
      </c>
      <c r="E544" s="21" t="n">
        <f aca="false">B544+C544</f>
        <v>1283375052.02</v>
      </c>
      <c r="F544" s="21" t="n">
        <f aca="false">E544+D544</f>
        <v>1290372133.02</v>
      </c>
      <c r="G544" s="22" t="n">
        <f aca="false">IFERROR(C544/E544,0)</f>
        <v>0</v>
      </c>
      <c r="H544" s="20"/>
      <c r="I544" s="20"/>
      <c r="J544" s="20"/>
      <c r="K544" s="21" t="n">
        <f aca="false">H544+I544</f>
        <v>0</v>
      </c>
      <c r="L544" s="20"/>
      <c r="M544" s="21" t="n">
        <f aca="false">H544-L544</f>
        <v>0</v>
      </c>
      <c r="N544" s="23" t="n">
        <f aca="false">IFERROR(M544/B544*10000,0)</f>
        <v>0</v>
      </c>
      <c r="O544" s="20"/>
      <c r="P544" s="20"/>
      <c r="Q544" s="21" t="n">
        <f aca="false">O544+P544</f>
        <v>0</v>
      </c>
      <c r="R544" s="22" t="n">
        <f aca="false">IF(A544&lt;HlpChangeDate,HlpSharePre,HlpSharePost)</f>
        <v>0.03</v>
      </c>
      <c r="S544" s="21" t="n">
        <f aca="false">Q544*R544/(1-R544)</f>
        <v>0</v>
      </c>
      <c r="T544" s="20"/>
      <c r="U544" s="21" t="n">
        <f aca="false">S544-T544</f>
        <v>0</v>
      </c>
      <c r="V544" s="21" t="n">
        <f aca="false">Y544-O544*R544/(1-R544)</f>
        <v>0</v>
      </c>
      <c r="W544" s="21" t="n">
        <f aca="false">Z544-P544*R544/(1-R544)</f>
        <v>0</v>
      </c>
      <c r="X544" s="21" t="n">
        <f aca="false">S544+V544+W544</f>
        <v>0</v>
      </c>
      <c r="Y544" s="20"/>
      <c r="Z544" s="20"/>
      <c r="AA544" s="19" t="n">
        <v>0</v>
      </c>
      <c r="AB544" s="20"/>
      <c r="AC544" s="20"/>
      <c r="AD544" s="24" t="n">
        <f aca="false">IFERROR(AA544/AC544,0)</f>
        <v>0</v>
      </c>
      <c r="AE544" s="25" t="n">
        <f aca="false">K544-Q544-X544</f>
        <v>0</v>
      </c>
      <c r="AF544" s="25" t="n">
        <f aca="false">Q544-AA544</f>
        <v>0</v>
      </c>
      <c r="AG544" s="20"/>
      <c r="AH544" s="26" t="n">
        <f aca="false">IFERROR(AG544/Q544,0)</f>
        <v>0</v>
      </c>
      <c r="AI544" s="27" t="n">
        <v>0</v>
      </c>
      <c r="AJ544" s="26" t="n">
        <f aca="false">IF(AI544&gt;0,AprCoef/SQRT(AI544),0)</f>
        <v>0</v>
      </c>
      <c r="AK544" s="24" t="n">
        <f aca="false">AI544*AJ544/365</f>
        <v>0</v>
      </c>
      <c r="AL544" s="24" t="n">
        <f aca="false">AD544</f>
        <v>0</v>
      </c>
      <c r="AM544" s="24" t="n">
        <f aca="false">AK544-AL544</f>
        <v>0</v>
      </c>
      <c r="AN544" s="28" t="str">
        <f aca="false">IF(A544&gt;=Hip3LaunchDate,"YES","")</f>
        <v/>
      </c>
      <c r="AO544" s="28" t="str">
        <f aca="false">IF(A544&lt;Hip4LaunchDate,"pre-launch","live (zero-fee)")</f>
        <v>pre-launch</v>
      </c>
      <c r="AP544" s="20"/>
      <c r="AQ544" s="20"/>
      <c r="AR544" s="20"/>
    </row>
    <row r="545" customFormat="false" ht="15" hidden="false" customHeight="false" outlineLevel="0" collapsed="false">
      <c r="A545" s="18" t="n">
        <v>45606</v>
      </c>
      <c r="B545" s="19" t="n">
        <v>2158793556.59</v>
      </c>
      <c r="C545" s="19" t="n">
        <v>0</v>
      </c>
      <c r="D545" s="19" t="n">
        <v>6664630</v>
      </c>
      <c r="E545" s="21" t="n">
        <f aca="false">B545+C545</f>
        <v>2158793556.59</v>
      </c>
      <c r="F545" s="21" t="n">
        <f aca="false">E545+D545</f>
        <v>2165458186.59</v>
      </c>
      <c r="G545" s="22" t="n">
        <f aca="false">IFERROR(C545/E545,0)</f>
        <v>0</v>
      </c>
      <c r="H545" s="20"/>
      <c r="I545" s="20"/>
      <c r="J545" s="20"/>
      <c r="K545" s="21" t="n">
        <f aca="false">H545+I545</f>
        <v>0</v>
      </c>
      <c r="L545" s="20"/>
      <c r="M545" s="21" t="n">
        <f aca="false">H545-L545</f>
        <v>0</v>
      </c>
      <c r="N545" s="23" t="n">
        <f aca="false">IFERROR(M545/B545*10000,0)</f>
        <v>0</v>
      </c>
      <c r="O545" s="20"/>
      <c r="P545" s="20"/>
      <c r="Q545" s="21" t="n">
        <f aca="false">O545+P545</f>
        <v>0</v>
      </c>
      <c r="R545" s="22" t="n">
        <f aca="false">IF(A545&lt;HlpChangeDate,HlpSharePre,HlpSharePost)</f>
        <v>0.03</v>
      </c>
      <c r="S545" s="21" t="n">
        <f aca="false">Q545*R545/(1-R545)</f>
        <v>0</v>
      </c>
      <c r="T545" s="20"/>
      <c r="U545" s="21" t="n">
        <f aca="false">S545-T545</f>
        <v>0</v>
      </c>
      <c r="V545" s="21" t="n">
        <f aca="false">Y545-O545*R545/(1-R545)</f>
        <v>0</v>
      </c>
      <c r="W545" s="21" t="n">
        <f aca="false">Z545-P545*R545/(1-R545)</f>
        <v>0</v>
      </c>
      <c r="X545" s="21" t="n">
        <f aca="false">S545+V545+W545</f>
        <v>0</v>
      </c>
      <c r="Y545" s="20"/>
      <c r="Z545" s="20"/>
      <c r="AA545" s="19" t="n">
        <v>0</v>
      </c>
      <c r="AB545" s="20"/>
      <c r="AC545" s="20"/>
      <c r="AD545" s="24" t="n">
        <f aca="false">IFERROR(AA545/AC545,0)</f>
        <v>0</v>
      </c>
      <c r="AE545" s="25" t="n">
        <f aca="false">K545-Q545-X545</f>
        <v>0</v>
      </c>
      <c r="AF545" s="25" t="n">
        <f aca="false">Q545-AA545</f>
        <v>0</v>
      </c>
      <c r="AG545" s="20"/>
      <c r="AH545" s="26" t="n">
        <f aca="false">IFERROR(AG545/Q545,0)</f>
        <v>0</v>
      </c>
      <c r="AI545" s="27" t="n">
        <v>0</v>
      </c>
      <c r="AJ545" s="26" t="n">
        <f aca="false">IF(AI545&gt;0,AprCoef/SQRT(AI545),0)</f>
        <v>0</v>
      </c>
      <c r="AK545" s="24" t="n">
        <f aca="false">AI545*AJ545/365</f>
        <v>0</v>
      </c>
      <c r="AL545" s="24" t="n">
        <f aca="false">AD545</f>
        <v>0</v>
      </c>
      <c r="AM545" s="24" t="n">
        <f aca="false">AK545-AL545</f>
        <v>0</v>
      </c>
      <c r="AN545" s="28" t="str">
        <f aca="false">IF(A545&gt;=Hip3LaunchDate,"YES","")</f>
        <v/>
      </c>
      <c r="AO545" s="28" t="str">
        <f aca="false">IF(A545&lt;Hip4LaunchDate,"pre-launch","live (zero-fee)")</f>
        <v>pre-launch</v>
      </c>
      <c r="AP545" s="20"/>
      <c r="AQ545" s="20"/>
      <c r="AR545" s="20"/>
    </row>
    <row r="546" customFormat="false" ht="15" hidden="false" customHeight="false" outlineLevel="0" collapsed="false">
      <c r="A546" s="18" t="n">
        <v>45607</v>
      </c>
      <c r="B546" s="19" t="n">
        <v>3828035246</v>
      </c>
      <c r="C546" s="19" t="n">
        <v>0</v>
      </c>
      <c r="D546" s="19" t="n">
        <v>6928825</v>
      </c>
      <c r="E546" s="21" t="n">
        <f aca="false">B546+C546</f>
        <v>3828035246</v>
      </c>
      <c r="F546" s="21" t="n">
        <f aca="false">E546+D546</f>
        <v>3834964071</v>
      </c>
      <c r="G546" s="22" t="n">
        <f aca="false">IFERROR(C546/E546,0)</f>
        <v>0</v>
      </c>
      <c r="H546" s="20"/>
      <c r="I546" s="20"/>
      <c r="J546" s="20"/>
      <c r="K546" s="21" t="n">
        <f aca="false">H546+I546</f>
        <v>0</v>
      </c>
      <c r="L546" s="20"/>
      <c r="M546" s="21" t="n">
        <f aca="false">H546-L546</f>
        <v>0</v>
      </c>
      <c r="N546" s="23" t="n">
        <f aca="false">IFERROR(M546/B546*10000,0)</f>
        <v>0</v>
      </c>
      <c r="O546" s="20"/>
      <c r="P546" s="20"/>
      <c r="Q546" s="21" t="n">
        <f aca="false">O546+P546</f>
        <v>0</v>
      </c>
      <c r="R546" s="22" t="n">
        <f aca="false">IF(A546&lt;HlpChangeDate,HlpSharePre,HlpSharePost)</f>
        <v>0.03</v>
      </c>
      <c r="S546" s="21" t="n">
        <f aca="false">Q546*R546/(1-R546)</f>
        <v>0</v>
      </c>
      <c r="T546" s="20"/>
      <c r="U546" s="21" t="n">
        <f aca="false">S546-T546</f>
        <v>0</v>
      </c>
      <c r="V546" s="21" t="n">
        <f aca="false">Y546-O546*R546/(1-R546)</f>
        <v>0</v>
      </c>
      <c r="W546" s="21" t="n">
        <f aca="false">Z546-P546*R546/(1-R546)</f>
        <v>0</v>
      </c>
      <c r="X546" s="21" t="n">
        <f aca="false">S546+V546+W546</f>
        <v>0</v>
      </c>
      <c r="Y546" s="20"/>
      <c r="Z546" s="20"/>
      <c r="AA546" s="19" t="n">
        <v>0</v>
      </c>
      <c r="AB546" s="20"/>
      <c r="AC546" s="20"/>
      <c r="AD546" s="24" t="n">
        <f aca="false">IFERROR(AA546/AC546,0)</f>
        <v>0</v>
      </c>
      <c r="AE546" s="25" t="n">
        <f aca="false">K546-Q546-X546</f>
        <v>0</v>
      </c>
      <c r="AF546" s="25" t="n">
        <f aca="false">Q546-AA546</f>
        <v>0</v>
      </c>
      <c r="AG546" s="20"/>
      <c r="AH546" s="26" t="n">
        <f aca="false">IFERROR(AG546/Q546,0)</f>
        <v>0</v>
      </c>
      <c r="AI546" s="27" t="n">
        <v>0</v>
      </c>
      <c r="AJ546" s="26" t="n">
        <f aca="false">IF(AI546&gt;0,AprCoef/SQRT(AI546),0)</f>
        <v>0</v>
      </c>
      <c r="AK546" s="24" t="n">
        <f aca="false">AI546*AJ546/365</f>
        <v>0</v>
      </c>
      <c r="AL546" s="24" t="n">
        <f aca="false">AD546</f>
        <v>0</v>
      </c>
      <c r="AM546" s="24" t="n">
        <f aca="false">AK546-AL546</f>
        <v>0</v>
      </c>
      <c r="AN546" s="28" t="str">
        <f aca="false">IF(A546&gt;=Hip3LaunchDate,"YES","")</f>
        <v/>
      </c>
      <c r="AO546" s="28" t="str">
        <f aca="false">IF(A546&lt;Hip4LaunchDate,"pre-launch","live (zero-fee)")</f>
        <v>pre-launch</v>
      </c>
      <c r="AP546" s="20"/>
      <c r="AQ546" s="20"/>
      <c r="AR546" s="20"/>
    </row>
    <row r="547" customFormat="false" ht="15" hidden="false" customHeight="false" outlineLevel="0" collapsed="false">
      <c r="A547" s="18" t="n">
        <v>45608</v>
      </c>
      <c r="B547" s="19" t="n">
        <v>5145147194.75</v>
      </c>
      <c r="C547" s="19" t="n">
        <v>0</v>
      </c>
      <c r="D547" s="19" t="n">
        <v>6714088</v>
      </c>
      <c r="E547" s="21" t="n">
        <f aca="false">B547+C547</f>
        <v>5145147194.75</v>
      </c>
      <c r="F547" s="21" t="n">
        <f aca="false">E547+D547</f>
        <v>5151861282.75</v>
      </c>
      <c r="G547" s="22" t="n">
        <f aca="false">IFERROR(C547/E547,0)</f>
        <v>0</v>
      </c>
      <c r="H547" s="20"/>
      <c r="I547" s="20"/>
      <c r="J547" s="20"/>
      <c r="K547" s="21" t="n">
        <f aca="false">H547+I547</f>
        <v>0</v>
      </c>
      <c r="L547" s="20"/>
      <c r="M547" s="21" t="n">
        <f aca="false">H547-L547</f>
        <v>0</v>
      </c>
      <c r="N547" s="23" t="n">
        <f aca="false">IFERROR(M547/B547*10000,0)</f>
        <v>0</v>
      </c>
      <c r="O547" s="20"/>
      <c r="P547" s="20"/>
      <c r="Q547" s="21" t="n">
        <f aca="false">O547+P547</f>
        <v>0</v>
      </c>
      <c r="R547" s="22" t="n">
        <f aca="false">IF(A547&lt;HlpChangeDate,HlpSharePre,HlpSharePost)</f>
        <v>0.03</v>
      </c>
      <c r="S547" s="21" t="n">
        <f aca="false">Q547*R547/(1-R547)</f>
        <v>0</v>
      </c>
      <c r="T547" s="20"/>
      <c r="U547" s="21" t="n">
        <f aca="false">S547-T547</f>
        <v>0</v>
      </c>
      <c r="V547" s="21" t="n">
        <f aca="false">Y547-O547*R547/(1-R547)</f>
        <v>0</v>
      </c>
      <c r="W547" s="21" t="n">
        <f aca="false">Z547-P547*R547/(1-R547)</f>
        <v>0</v>
      </c>
      <c r="X547" s="21" t="n">
        <f aca="false">S547+V547+W547</f>
        <v>0</v>
      </c>
      <c r="Y547" s="20"/>
      <c r="Z547" s="20"/>
      <c r="AA547" s="19" t="n">
        <v>0</v>
      </c>
      <c r="AB547" s="20"/>
      <c r="AC547" s="20"/>
      <c r="AD547" s="24" t="n">
        <f aca="false">IFERROR(AA547/AC547,0)</f>
        <v>0</v>
      </c>
      <c r="AE547" s="25" t="n">
        <f aca="false">K547-Q547-X547</f>
        <v>0</v>
      </c>
      <c r="AF547" s="25" t="n">
        <f aca="false">Q547-AA547</f>
        <v>0</v>
      </c>
      <c r="AG547" s="20"/>
      <c r="AH547" s="26" t="n">
        <f aca="false">IFERROR(AG547/Q547,0)</f>
        <v>0</v>
      </c>
      <c r="AI547" s="27" t="n">
        <v>0</v>
      </c>
      <c r="AJ547" s="26" t="n">
        <f aca="false">IF(AI547&gt;0,AprCoef/SQRT(AI547),0)</f>
        <v>0</v>
      </c>
      <c r="AK547" s="24" t="n">
        <f aca="false">AI547*AJ547/365</f>
        <v>0</v>
      </c>
      <c r="AL547" s="24" t="n">
        <f aca="false">AD547</f>
        <v>0</v>
      </c>
      <c r="AM547" s="24" t="n">
        <f aca="false">AK547-AL547</f>
        <v>0</v>
      </c>
      <c r="AN547" s="28" t="str">
        <f aca="false">IF(A547&gt;=Hip3LaunchDate,"YES","")</f>
        <v/>
      </c>
      <c r="AO547" s="28" t="str">
        <f aca="false">IF(A547&lt;Hip4LaunchDate,"pre-launch","live (zero-fee)")</f>
        <v>pre-launch</v>
      </c>
      <c r="AP547" s="20"/>
      <c r="AQ547" s="20"/>
      <c r="AR547" s="20"/>
    </row>
    <row r="548" customFormat="false" ht="15" hidden="false" customHeight="false" outlineLevel="0" collapsed="false">
      <c r="A548" s="18" t="n">
        <v>45609</v>
      </c>
      <c r="B548" s="19" t="n">
        <v>5204983602.9</v>
      </c>
      <c r="C548" s="19" t="n">
        <v>0</v>
      </c>
      <c r="D548" s="19" t="n">
        <v>6228064</v>
      </c>
      <c r="E548" s="21" t="n">
        <f aca="false">B548+C548</f>
        <v>5204983602.9</v>
      </c>
      <c r="F548" s="21" t="n">
        <f aca="false">E548+D548</f>
        <v>5211211666.9</v>
      </c>
      <c r="G548" s="22" t="n">
        <f aca="false">IFERROR(C548/E548,0)</f>
        <v>0</v>
      </c>
      <c r="H548" s="20"/>
      <c r="I548" s="20"/>
      <c r="J548" s="20"/>
      <c r="K548" s="21" t="n">
        <f aca="false">H548+I548</f>
        <v>0</v>
      </c>
      <c r="L548" s="20"/>
      <c r="M548" s="21" t="n">
        <f aca="false">H548-L548</f>
        <v>0</v>
      </c>
      <c r="N548" s="23" t="n">
        <f aca="false">IFERROR(M548/B548*10000,0)</f>
        <v>0</v>
      </c>
      <c r="O548" s="20"/>
      <c r="P548" s="20"/>
      <c r="Q548" s="21" t="n">
        <f aca="false">O548+P548</f>
        <v>0</v>
      </c>
      <c r="R548" s="22" t="n">
        <f aca="false">IF(A548&lt;HlpChangeDate,HlpSharePre,HlpSharePost)</f>
        <v>0.03</v>
      </c>
      <c r="S548" s="21" t="n">
        <f aca="false">Q548*R548/(1-R548)</f>
        <v>0</v>
      </c>
      <c r="T548" s="20"/>
      <c r="U548" s="21" t="n">
        <f aca="false">S548-T548</f>
        <v>0</v>
      </c>
      <c r="V548" s="21" t="n">
        <f aca="false">Y548-O548*R548/(1-R548)</f>
        <v>0</v>
      </c>
      <c r="W548" s="21" t="n">
        <f aca="false">Z548-P548*R548/(1-R548)</f>
        <v>0</v>
      </c>
      <c r="X548" s="21" t="n">
        <f aca="false">S548+V548+W548</f>
        <v>0</v>
      </c>
      <c r="Y548" s="20"/>
      <c r="Z548" s="20"/>
      <c r="AA548" s="19" t="n">
        <v>0</v>
      </c>
      <c r="AB548" s="20"/>
      <c r="AC548" s="20"/>
      <c r="AD548" s="24" t="n">
        <f aca="false">IFERROR(AA548/AC548,0)</f>
        <v>0</v>
      </c>
      <c r="AE548" s="25" t="n">
        <f aca="false">K548-Q548-X548</f>
        <v>0</v>
      </c>
      <c r="AF548" s="25" t="n">
        <f aca="false">Q548-AA548</f>
        <v>0</v>
      </c>
      <c r="AG548" s="20"/>
      <c r="AH548" s="26" t="n">
        <f aca="false">IFERROR(AG548/Q548,0)</f>
        <v>0</v>
      </c>
      <c r="AI548" s="27" t="n">
        <v>0</v>
      </c>
      <c r="AJ548" s="26" t="n">
        <f aca="false">IF(AI548&gt;0,AprCoef/SQRT(AI548),0)</f>
        <v>0</v>
      </c>
      <c r="AK548" s="24" t="n">
        <f aca="false">AI548*AJ548/365</f>
        <v>0</v>
      </c>
      <c r="AL548" s="24" t="n">
        <f aca="false">AD548</f>
        <v>0</v>
      </c>
      <c r="AM548" s="24" t="n">
        <f aca="false">AK548-AL548</f>
        <v>0</v>
      </c>
      <c r="AN548" s="28" t="str">
        <f aca="false">IF(A548&gt;=Hip3LaunchDate,"YES","")</f>
        <v/>
      </c>
      <c r="AO548" s="28" t="str">
        <f aca="false">IF(A548&lt;Hip4LaunchDate,"pre-launch","live (zero-fee)")</f>
        <v>pre-launch</v>
      </c>
      <c r="AP548" s="20"/>
      <c r="AQ548" s="20"/>
      <c r="AR548" s="20"/>
    </row>
    <row r="549" customFormat="false" ht="15" hidden="false" customHeight="false" outlineLevel="0" collapsed="false">
      <c r="A549" s="18" t="n">
        <v>45610</v>
      </c>
      <c r="B549" s="19" t="n">
        <v>4293882546.53</v>
      </c>
      <c r="C549" s="19" t="n">
        <v>0</v>
      </c>
      <c r="D549" s="19" t="n">
        <v>10786342</v>
      </c>
      <c r="E549" s="21" t="n">
        <f aca="false">B549+C549</f>
        <v>4293882546.53</v>
      </c>
      <c r="F549" s="21" t="n">
        <f aca="false">E549+D549</f>
        <v>4304668888.53</v>
      </c>
      <c r="G549" s="22" t="n">
        <f aca="false">IFERROR(C549/E549,0)</f>
        <v>0</v>
      </c>
      <c r="H549" s="20"/>
      <c r="I549" s="20"/>
      <c r="J549" s="20"/>
      <c r="K549" s="21" t="n">
        <f aca="false">H549+I549</f>
        <v>0</v>
      </c>
      <c r="L549" s="20"/>
      <c r="M549" s="21" t="n">
        <f aca="false">H549-L549</f>
        <v>0</v>
      </c>
      <c r="N549" s="23" t="n">
        <f aca="false">IFERROR(M549/B549*10000,0)</f>
        <v>0</v>
      </c>
      <c r="O549" s="20"/>
      <c r="P549" s="20"/>
      <c r="Q549" s="21" t="n">
        <f aca="false">O549+P549</f>
        <v>0</v>
      </c>
      <c r="R549" s="22" t="n">
        <f aca="false">IF(A549&lt;HlpChangeDate,HlpSharePre,HlpSharePost)</f>
        <v>0.03</v>
      </c>
      <c r="S549" s="21" t="n">
        <f aca="false">Q549*R549/(1-R549)</f>
        <v>0</v>
      </c>
      <c r="T549" s="20"/>
      <c r="U549" s="21" t="n">
        <f aca="false">S549-T549</f>
        <v>0</v>
      </c>
      <c r="V549" s="21" t="n">
        <f aca="false">Y549-O549*R549/(1-R549)</f>
        <v>0</v>
      </c>
      <c r="W549" s="21" t="n">
        <f aca="false">Z549-P549*R549/(1-R549)</f>
        <v>0</v>
      </c>
      <c r="X549" s="21" t="n">
        <f aca="false">S549+V549+W549</f>
        <v>0</v>
      </c>
      <c r="Y549" s="20"/>
      <c r="Z549" s="20"/>
      <c r="AA549" s="19" t="n">
        <v>0</v>
      </c>
      <c r="AB549" s="20"/>
      <c r="AC549" s="20"/>
      <c r="AD549" s="24" t="n">
        <f aca="false">IFERROR(AA549/AC549,0)</f>
        <v>0</v>
      </c>
      <c r="AE549" s="25" t="n">
        <f aca="false">K549-Q549-X549</f>
        <v>0</v>
      </c>
      <c r="AF549" s="25" t="n">
        <f aca="false">Q549-AA549</f>
        <v>0</v>
      </c>
      <c r="AG549" s="20"/>
      <c r="AH549" s="26" t="n">
        <f aca="false">IFERROR(AG549/Q549,0)</f>
        <v>0</v>
      </c>
      <c r="AI549" s="27" t="n">
        <v>0</v>
      </c>
      <c r="AJ549" s="26" t="n">
        <f aca="false">IF(AI549&gt;0,AprCoef/SQRT(AI549),0)</f>
        <v>0</v>
      </c>
      <c r="AK549" s="24" t="n">
        <f aca="false">AI549*AJ549/365</f>
        <v>0</v>
      </c>
      <c r="AL549" s="24" t="n">
        <f aca="false">AD549</f>
        <v>0</v>
      </c>
      <c r="AM549" s="24" t="n">
        <f aca="false">AK549-AL549</f>
        <v>0</v>
      </c>
      <c r="AN549" s="28" t="str">
        <f aca="false">IF(A549&gt;=Hip3LaunchDate,"YES","")</f>
        <v/>
      </c>
      <c r="AO549" s="28" t="str">
        <f aca="false">IF(A549&lt;Hip4LaunchDate,"pre-launch","live (zero-fee)")</f>
        <v>pre-launch</v>
      </c>
      <c r="AP549" s="20"/>
      <c r="AQ549" s="20"/>
      <c r="AR549" s="20"/>
    </row>
    <row r="550" customFormat="false" ht="15" hidden="false" customHeight="false" outlineLevel="0" collapsed="false">
      <c r="A550" s="18" t="n">
        <v>45611</v>
      </c>
      <c r="B550" s="19" t="n">
        <v>3064535634.42</v>
      </c>
      <c r="C550" s="19" t="n">
        <v>0</v>
      </c>
      <c r="D550" s="19" t="n">
        <v>7253770</v>
      </c>
      <c r="E550" s="21" t="n">
        <f aca="false">B550+C550</f>
        <v>3064535634.42</v>
      </c>
      <c r="F550" s="21" t="n">
        <f aca="false">E550+D550</f>
        <v>3071789404.42</v>
      </c>
      <c r="G550" s="22" t="n">
        <f aca="false">IFERROR(C550/E550,0)</f>
        <v>0</v>
      </c>
      <c r="H550" s="20"/>
      <c r="I550" s="20"/>
      <c r="J550" s="20"/>
      <c r="K550" s="21" t="n">
        <f aca="false">H550+I550</f>
        <v>0</v>
      </c>
      <c r="L550" s="20"/>
      <c r="M550" s="21" t="n">
        <f aca="false">H550-L550</f>
        <v>0</v>
      </c>
      <c r="N550" s="23" t="n">
        <f aca="false">IFERROR(M550/B550*10000,0)</f>
        <v>0</v>
      </c>
      <c r="O550" s="20"/>
      <c r="P550" s="20"/>
      <c r="Q550" s="21" t="n">
        <f aca="false">O550+P550</f>
        <v>0</v>
      </c>
      <c r="R550" s="22" t="n">
        <f aca="false">IF(A550&lt;HlpChangeDate,HlpSharePre,HlpSharePost)</f>
        <v>0.03</v>
      </c>
      <c r="S550" s="21" t="n">
        <f aca="false">Q550*R550/(1-R550)</f>
        <v>0</v>
      </c>
      <c r="T550" s="20"/>
      <c r="U550" s="21" t="n">
        <f aca="false">S550-T550</f>
        <v>0</v>
      </c>
      <c r="V550" s="21" t="n">
        <f aca="false">Y550-O550*R550/(1-R550)</f>
        <v>0</v>
      </c>
      <c r="W550" s="21" t="n">
        <f aca="false">Z550-P550*R550/(1-R550)</f>
        <v>0</v>
      </c>
      <c r="X550" s="21" t="n">
        <f aca="false">S550+V550+W550</f>
        <v>0</v>
      </c>
      <c r="Y550" s="20"/>
      <c r="Z550" s="20"/>
      <c r="AA550" s="19" t="n">
        <v>0</v>
      </c>
      <c r="AB550" s="20"/>
      <c r="AC550" s="20"/>
      <c r="AD550" s="24" t="n">
        <f aca="false">IFERROR(AA550/AC550,0)</f>
        <v>0</v>
      </c>
      <c r="AE550" s="25" t="n">
        <f aca="false">K550-Q550-X550</f>
        <v>0</v>
      </c>
      <c r="AF550" s="25" t="n">
        <f aca="false">Q550-AA550</f>
        <v>0</v>
      </c>
      <c r="AG550" s="20"/>
      <c r="AH550" s="26" t="n">
        <f aca="false">IFERROR(AG550/Q550,0)</f>
        <v>0</v>
      </c>
      <c r="AI550" s="27" t="n">
        <v>0</v>
      </c>
      <c r="AJ550" s="26" t="n">
        <f aca="false">IF(AI550&gt;0,AprCoef/SQRT(AI550),0)</f>
        <v>0</v>
      </c>
      <c r="AK550" s="24" t="n">
        <f aca="false">AI550*AJ550/365</f>
        <v>0</v>
      </c>
      <c r="AL550" s="24" t="n">
        <f aca="false">AD550</f>
        <v>0</v>
      </c>
      <c r="AM550" s="24" t="n">
        <f aca="false">AK550-AL550</f>
        <v>0</v>
      </c>
      <c r="AN550" s="28" t="str">
        <f aca="false">IF(A550&gt;=Hip3LaunchDate,"YES","")</f>
        <v/>
      </c>
      <c r="AO550" s="28" t="str">
        <f aca="false">IF(A550&lt;Hip4LaunchDate,"pre-launch","live (zero-fee)")</f>
        <v>pre-launch</v>
      </c>
      <c r="AP550" s="20"/>
      <c r="AQ550" s="20"/>
      <c r="AR550" s="20"/>
    </row>
    <row r="551" customFormat="false" ht="15" hidden="false" customHeight="false" outlineLevel="0" collapsed="false">
      <c r="A551" s="18" t="n">
        <v>45612</v>
      </c>
      <c r="B551" s="19" t="n">
        <v>1789570859.99</v>
      </c>
      <c r="C551" s="19" t="n">
        <v>0</v>
      </c>
      <c r="D551" s="19" t="n">
        <v>11390237</v>
      </c>
      <c r="E551" s="21" t="n">
        <f aca="false">B551+C551</f>
        <v>1789570859.99</v>
      </c>
      <c r="F551" s="21" t="n">
        <f aca="false">E551+D551</f>
        <v>1800961096.99</v>
      </c>
      <c r="G551" s="22" t="n">
        <f aca="false">IFERROR(C551/E551,0)</f>
        <v>0</v>
      </c>
      <c r="H551" s="20"/>
      <c r="I551" s="20"/>
      <c r="J551" s="20"/>
      <c r="K551" s="21" t="n">
        <f aca="false">H551+I551</f>
        <v>0</v>
      </c>
      <c r="L551" s="20"/>
      <c r="M551" s="21" t="n">
        <f aca="false">H551-L551</f>
        <v>0</v>
      </c>
      <c r="N551" s="23" t="n">
        <f aca="false">IFERROR(M551/B551*10000,0)</f>
        <v>0</v>
      </c>
      <c r="O551" s="20"/>
      <c r="P551" s="20"/>
      <c r="Q551" s="21" t="n">
        <f aca="false">O551+P551</f>
        <v>0</v>
      </c>
      <c r="R551" s="22" t="n">
        <f aca="false">IF(A551&lt;HlpChangeDate,HlpSharePre,HlpSharePost)</f>
        <v>0.03</v>
      </c>
      <c r="S551" s="21" t="n">
        <f aca="false">Q551*R551/(1-R551)</f>
        <v>0</v>
      </c>
      <c r="T551" s="20"/>
      <c r="U551" s="21" t="n">
        <f aca="false">S551-T551</f>
        <v>0</v>
      </c>
      <c r="V551" s="21" t="n">
        <f aca="false">Y551-O551*R551/(1-R551)</f>
        <v>0</v>
      </c>
      <c r="W551" s="21" t="n">
        <f aca="false">Z551-P551*R551/(1-R551)</f>
        <v>0</v>
      </c>
      <c r="X551" s="21" t="n">
        <f aca="false">S551+V551+W551</f>
        <v>0</v>
      </c>
      <c r="Y551" s="20"/>
      <c r="Z551" s="20"/>
      <c r="AA551" s="19" t="n">
        <v>0</v>
      </c>
      <c r="AB551" s="20"/>
      <c r="AC551" s="20"/>
      <c r="AD551" s="24" t="n">
        <f aca="false">IFERROR(AA551/AC551,0)</f>
        <v>0</v>
      </c>
      <c r="AE551" s="25" t="n">
        <f aca="false">K551-Q551-X551</f>
        <v>0</v>
      </c>
      <c r="AF551" s="25" t="n">
        <f aca="false">Q551-AA551</f>
        <v>0</v>
      </c>
      <c r="AG551" s="20"/>
      <c r="AH551" s="26" t="n">
        <f aca="false">IFERROR(AG551/Q551,0)</f>
        <v>0</v>
      </c>
      <c r="AI551" s="27" t="n">
        <v>0</v>
      </c>
      <c r="AJ551" s="26" t="n">
        <f aca="false">IF(AI551&gt;0,AprCoef/SQRT(AI551),0)</f>
        <v>0</v>
      </c>
      <c r="AK551" s="24" t="n">
        <f aca="false">AI551*AJ551/365</f>
        <v>0</v>
      </c>
      <c r="AL551" s="24" t="n">
        <f aca="false">AD551</f>
        <v>0</v>
      </c>
      <c r="AM551" s="24" t="n">
        <f aca="false">AK551-AL551</f>
        <v>0</v>
      </c>
      <c r="AN551" s="28" t="str">
        <f aca="false">IF(A551&gt;=Hip3LaunchDate,"YES","")</f>
        <v/>
      </c>
      <c r="AO551" s="28" t="str">
        <f aca="false">IF(A551&lt;Hip4LaunchDate,"pre-launch","live (zero-fee)")</f>
        <v>pre-launch</v>
      </c>
      <c r="AP551" s="20"/>
      <c r="AQ551" s="20"/>
      <c r="AR551" s="20"/>
    </row>
    <row r="552" customFormat="false" ht="15" hidden="false" customHeight="false" outlineLevel="0" collapsed="false">
      <c r="A552" s="18" t="n">
        <v>45613</v>
      </c>
      <c r="B552" s="19" t="n">
        <v>2117966761.96</v>
      </c>
      <c r="C552" s="19" t="n">
        <v>0</v>
      </c>
      <c r="D552" s="19" t="n">
        <v>5605038</v>
      </c>
      <c r="E552" s="21" t="n">
        <f aca="false">B552+C552</f>
        <v>2117966761.96</v>
      </c>
      <c r="F552" s="21" t="n">
        <f aca="false">E552+D552</f>
        <v>2123571799.96</v>
      </c>
      <c r="G552" s="22" t="n">
        <f aca="false">IFERROR(C552/E552,0)</f>
        <v>0</v>
      </c>
      <c r="H552" s="20"/>
      <c r="I552" s="20"/>
      <c r="J552" s="20"/>
      <c r="K552" s="21" t="n">
        <f aca="false">H552+I552</f>
        <v>0</v>
      </c>
      <c r="L552" s="20"/>
      <c r="M552" s="21" t="n">
        <f aca="false">H552-L552</f>
        <v>0</v>
      </c>
      <c r="N552" s="23" t="n">
        <f aca="false">IFERROR(M552/B552*10000,0)</f>
        <v>0</v>
      </c>
      <c r="O552" s="20"/>
      <c r="P552" s="20"/>
      <c r="Q552" s="21" t="n">
        <f aca="false">O552+P552</f>
        <v>0</v>
      </c>
      <c r="R552" s="22" t="n">
        <f aca="false">IF(A552&lt;HlpChangeDate,HlpSharePre,HlpSharePost)</f>
        <v>0.03</v>
      </c>
      <c r="S552" s="21" t="n">
        <f aca="false">Q552*R552/(1-R552)</f>
        <v>0</v>
      </c>
      <c r="T552" s="20"/>
      <c r="U552" s="21" t="n">
        <f aca="false">S552-T552</f>
        <v>0</v>
      </c>
      <c r="V552" s="21" t="n">
        <f aca="false">Y552-O552*R552/(1-R552)</f>
        <v>0</v>
      </c>
      <c r="W552" s="21" t="n">
        <f aca="false">Z552-P552*R552/(1-R552)</f>
        <v>0</v>
      </c>
      <c r="X552" s="21" t="n">
        <f aca="false">S552+V552+W552</f>
        <v>0</v>
      </c>
      <c r="Y552" s="20"/>
      <c r="Z552" s="20"/>
      <c r="AA552" s="19" t="n">
        <v>0</v>
      </c>
      <c r="AB552" s="20"/>
      <c r="AC552" s="20"/>
      <c r="AD552" s="24" t="n">
        <f aca="false">IFERROR(AA552/AC552,0)</f>
        <v>0</v>
      </c>
      <c r="AE552" s="25" t="n">
        <f aca="false">K552-Q552-X552</f>
        <v>0</v>
      </c>
      <c r="AF552" s="25" t="n">
        <f aca="false">Q552-AA552</f>
        <v>0</v>
      </c>
      <c r="AG552" s="20"/>
      <c r="AH552" s="26" t="n">
        <f aca="false">IFERROR(AG552/Q552,0)</f>
        <v>0</v>
      </c>
      <c r="AI552" s="27" t="n">
        <v>0</v>
      </c>
      <c r="AJ552" s="26" t="n">
        <f aca="false">IF(AI552&gt;0,AprCoef/SQRT(AI552),0)</f>
        <v>0</v>
      </c>
      <c r="AK552" s="24" t="n">
        <f aca="false">AI552*AJ552/365</f>
        <v>0</v>
      </c>
      <c r="AL552" s="24" t="n">
        <f aca="false">AD552</f>
        <v>0</v>
      </c>
      <c r="AM552" s="24" t="n">
        <f aca="false">AK552-AL552</f>
        <v>0</v>
      </c>
      <c r="AN552" s="28" t="str">
        <f aca="false">IF(A552&gt;=Hip3LaunchDate,"YES","")</f>
        <v/>
      </c>
      <c r="AO552" s="28" t="str">
        <f aca="false">IF(A552&lt;Hip4LaunchDate,"pre-launch","live (zero-fee)")</f>
        <v>pre-launch</v>
      </c>
      <c r="AP552" s="20"/>
      <c r="AQ552" s="20"/>
      <c r="AR552" s="20"/>
    </row>
    <row r="553" customFormat="false" ht="15" hidden="false" customHeight="false" outlineLevel="0" collapsed="false">
      <c r="A553" s="18" t="n">
        <v>45614</v>
      </c>
      <c r="B553" s="19" t="n">
        <v>2621891478.31</v>
      </c>
      <c r="C553" s="19" t="n">
        <v>0</v>
      </c>
      <c r="D553" s="19" t="n">
        <v>8046777</v>
      </c>
      <c r="E553" s="21" t="n">
        <f aca="false">B553+C553</f>
        <v>2621891478.31</v>
      </c>
      <c r="F553" s="21" t="n">
        <f aca="false">E553+D553</f>
        <v>2629938255.31</v>
      </c>
      <c r="G553" s="22" t="n">
        <f aca="false">IFERROR(C553/E553,0)</f>
        <v>0</v>
      </c>
      <c r="H553" s="20"/>
      <c r="I553" s="20"/>
      <c r="J553" s="20"/>
      <c r="K553" s="21" t="n">
        <f aca="false">H553+I553</f>
        <v>0</v>
      </c>
      <c r="L553" s="20"/>
      <c r="M553" s="21" t="n">
        <f aca="false">H553-L553</f>
        <v>0</v>
      </c>
      <c r="N553" s="23" t="n">
        <f aca="false">IFERROR(M553/B553*10000,0)</f>
        <v>0</v>
      </c>
      <c r="O553" s="20"/>
      <c r="P553" s="20"/>
      <c r="Q553" s="21" t="n">
        <f aca="false">O553+P553</f>
        <v>0</v>
      </c>
      <c r="R553" s="22" t="n">
        <f aca="false">IF(A553&lt;HlpChangeDate,HlpSharePre,HlpSharePost)</f>
        <v>0.03</v>
      </c>
      <c r="S553" s="21" t="n">
        <f aca="false">Q553*R553/(1-R553)</f>
        <v>0</v>
      </c>
      <c r="T553" s="20"/>
      <c r="U553" s="21" t="n">
        <f aca="false">S553-T553</f>
        <v>0</v>
      </c>
      <c r="V553" s="21" t="n">
        <f aca="false">Y553-O553*R553/(1-R553)</f>
        <v>0</v>
      </c>
      <c r="W553" s="21" t="n">
        <f aca="false">Z553-P553*R553/(1-R553)</f>
        <v>0</v>
      </c>
      <c r="X553" s="21" t="n">
        <f aca="false">S553+V553+W553</f>
        <v>0</v>
      </c>
      <c r="Y553" s="20"/>
      <c r="Z553" s="20"/>
      <c r="AA553" s="19" t="n">
        <v>0</v>
      </c>
      <c r="AB553" s="20"/>
      <c r="AC553" s="20"/>
      <c r="AD553" s="24" t="n">
        <f aca="false">IFERROR(AA553/AC553,0)</f>
        <v>0</v>
      </c>
      <c r="AE553" s="25" t="n">
        <f aca="false">K553-Q553-X553</f>
        <v>0</v>
      </c>
      <c r="AF553" s="25" t="n">
        <f aca="false">Q553-AA553</f>
        <v>0</v>
      </c>
      <c r="AG553" s="20"/>
      <c r="AH553" s="26" t="n">
        <f aca="false">IFERROR(AG553/Q553,0)</f>
        <v>0</v>
      </c>
      <c r="AI553" s="27" t="n">
        <v>0</v>
      </c>
      <c r="AJ553" s="26" t="n">
        <f aca="false">IF(AI553&gt;0,AprCoef/SQRT(AI553),0)</f>
        <v>0</v>
      </c>
      <c r="AK553" s="24" t="n">
        <f aca="false">AI553*AJ553/365</f>
        <v>0</v>
      </c>
      <c r="AL553" s="24" t="n">
        <f aca="false">AD553</f>
        <v>0</v>
      </c>
      <c r="AM553" s="24" t="n">
        <f aca="false">AK553-AL553</f>
        <v>0</v>
      </c>
      <c r="AN553" s="28" t="str">
        <f aca="false">IF(A553&gt;=Hip3LaunchDate,"YES","")</f>
        <v/>
      </c>
      <c r="AO553" s="28" t="str">
        <f aca="false">IF(A553&lt;Hip4LaunchDate,"pre-launch","live (zero-fee)")</f>
        <v>pre-launch</v>
      </c>
      <c r="AP553" s="20"/>
      <c r="AQ553" s="20"/>
      <c r="AR553" s="20"/>
    </row>
    <row r="554" customFormat="false" ht="15" hidden="false" customHeight="false" outlineLevel="0" collapsed="false">
      <c r="A554" s="18" t="n">
        <v>45615</v>
      </c>
      <c r="B554" s="19" t="n">
        <v>2167569345.54</v>
      </c>
      <c r="C554" s="19" t="n">
        <v>0</v>
      </c>
      <c r="D554" s="19" t="n">
        <v>3811505</v>
      </c>
      <c r="E554" s="21" t="n">
        <f aca="false">B554+C554</f>
        <v>2167569345.54</v>
      </c>
      <c r="F554" s="21" t="n">
        <f aca="false">E554+D554</f>
        <v>2171380850.54</v>
      </c>
      <c r="G554" s="22" t="n">
        <f aca="false">IFERROR(C554/E554,0)</f>
        <v>0</v>
      </c>
      <c r="H554" s="20"/>
      <c r="I554" s="20"/>
      <c r="J554" s="20"/>
      <c r="K554" s="21" t="n">
        <f aca="false">H554+I554</f>
        <v>0</v>
      </c>
      <c r="L554" s="20"/>
      <c r="M554" s="21" t="n">
        <f aca="false">H554-L554</f>
        <v>0</v>
      </c>
      <c r="N554" s="23" t="n">
        <f aca="false">IFERROR(M554/B554*10000,0)</f>
        <v>0</v>
      </c>
      <c r="O554" s="20"/>
      <c r="P554" s="20"/>
      <c r="Q554" s="21" t="n">
        <f aca="false">O554+P554</f>
        <v>0</v>
      </c>
      <c r="R554" s="22" t="n">
        <f aca="false">IF(A554&lt;HlpChangeDate,HlpSharePre,HlpSharePost)</f>
        <v>0.03</v>
      </c>
      <c r="S554" s="21" t="n">
        <f aca="false">Q554*R554/(1-R554)</f>
        <v>0</v>
      </c>
      <c r="T554" s="20"/>
      <c r="U554" s="21" t="n">
        <f aca="false">S554-T554</f>
        <v>0</v>
      </c>
      <c r="V554" s="21" t="n">
        <f aca="false">Y554-O554*R554/(1-R554)</f>
        <v>0</v>
      </c>
      <c r="W554" s="21" t="n">
        <f aca="false">Z554-P554*R554/(1-R554)</f>
        <v>0</v>
      </c>
      <c r="X554" s="21" t="n">
        <f aca="false">S554+V554+W554</f>
        <v>0</v>
      </c>
      <c r="Y554" s="20"/>
      <c r="Z554" s="20"/>
      <c r="AA554" s="19" t="n">
        <v>0</v>
      </c>
      <c r="AB554" s="20"/>
      <c r="AC554" s="20"/>
      <c r="AD554" s="24" t="n">
        <f aca="false">IFERROR(AA554/AC554,0)</f>
        <v>0</v>
      </c>
      <c r="AE554" s="25" t="n">
        <f aca="false">K554-Q554-X554</f>
        <v>0</v>
      </c>
      <c r="AF554" s="25" t="n">
        <f aca="false">Q554-AA554</f>
        <v>0</v>
      </c>
      <c r="AG554" s="20"/>
      <c r="AH554" s="26" t="n">
        <f aca="false">IFERROR(AG554/Q554,0)</f>
        <v>0</v>
      </c>
      <c r="AI554" s="27" t="n">
        <v>0</v>
      </c>
      <c r="AJ554" s="26" t="n">
        <f aca="false">IF(AI554&gt;0,AprCoef/SQRT(AI554),0)</f>
        <v>0</v>
      </c>
      <c r="AK554" s="24" t="n">
        <f aca="false">AI554*AJ554/365</f>
        <v>0</v>
      </c>
      <c r="AL554" s="24" t="n">
        <f aca="false">AD554</f>
        <v>0</v>
      </c>
      <c r="AM554" s="24" t="n">
        <f aca="false">AK554-AL554</f>
        <v>0</v>
      </c>
      <c r="AN554" s="28" t="str">
        <f aca="false">IF(A554&gt;=Hip3LaunchDate,"YES","")</f>
        <v/>
      </c>
      <c r="AO554" s="28" t="str">
        <f aca="false">IF(A554&lt;Hip4LaunchDate,"pre-launch","live (zero-fee)")</f>
        <v>pre-launch</v>
      </c>
      <c r="AP554" s="20"/>
      <c r="AQ554" s="20"/>
      <c r="AR554" s="20"/>
    </row>
    <row r="555" customFormat="false" ht="15" hidden="false" customHeight="false" outlineLevel="0" collapsed="false">
      <c r="A555" s="18" t="n">
        <v>45616</v>
      </c>
      <c r="B555" s="19" t="n">
        <v>2541441481.6</v>
      </c>
      <c r="C555" s="19" t="n">
        <v>0</v>
      </c>
      <c r="D555" s="19" t="n">
        <v>5168491</v>
      </c>
      <c r="E555" s="21" t="n">
        <f aca="false">B555+C555</f>
        <v>2541441481.6</v>
      </c>
      <c r="F555" s="21" t="n">
        <f aca="false">E555+D555</f>
        <v>2546609972.6</v>
      </c>
      <c r="G555" s="22" t="n">
        <f aca="false">IFERROR(C555/E555,0)</f>
        <v>0</v>
      </c>
      <c r="H555" s="20"/>
      <c r="I555" s="20"/>
      <c r="J555" s="20"/>
      <c r="K555" s="21" t="n">
        <f aca="false">H555+I555</f>
        <v>0</v>
      </c>
      <c r="L555" s="20"/>
      <c r="M555" s="21" t="n">
        <f aca="false">H555-L555</f>
        <v>0</v>
      </c>
      <c r="N555" s="23" t="n">
        <f aca="false">IFERROR(M555/B555*10000,0)</f>
        <v>0</v>
      </c>
      <c r="O555" s="20"/>
      <c r="P555" s="20"/>
      <c r="Q555" s="21" t="n">
        <f aca="false">O555+P555</f>
        <v>0</v>
      </c>
      <c r="R555" s="22" t="n">
        <f aca="false">IF(A555&lt;HlpChangeDate,HlpSharePre,HlpSharePost)</f>
        <v>0.03</v>
      </c>
      <c r="S555" s="21" t="n">
        <f aca="false">Q555*R555/(1-R555)</f>
        <v>0</v>
      </c>
      <c r="T555" s="20"/>
      <c r="U555" s="21" t="n">
        <f aca="false">S555-T555</f>
        <v>0</v>
      </c>
      <c r="V555" s="21" t="n">
        <f aca="false">Y555-O555*R555/(1-R555)</f>
        <v>0</v>
      </c>
      <c r="W555" s="21" t="n">
        <f aca="false">Z555-P555*R555/(1-R555)</f>
        <v>0</v>
      </c>
      <c r="X555" s="21" t="n">
        <f aca="false">S555+V555+W555</f>
        <v>0</v>
      </c>
      <c r="Y555" s="20"/>
      <c r="Z555" s="20"/>
      <c r="AA555" s="19" t="n">
        <v>0</v>
      </c>
      <c r="AB555" s="20"/>
      <c r="AC555" s="20"/>
      <c r="AD555" s="24" t="n">
        <f aca="false">IFERROR(AA555/AC555,0)</f>
        <v>0</v>
      </c>
      <c r="AE555" s="25" t="n">
        <f aca="false">K555-Q555-X555</f>
        <v>0</v>
      </c>
      <c r="AF555" s="25" t="n">
        <f aca="false">Q555-AA555</f>
        <v>0</v>
      </c>
      <c r="AG555" s="20"/>
      <c r="AH555" s="26" t="n">
        <f aca="false">IFERROR(AG555/Q555,0)</f>
        <v>0</v>
      </c>
      <c r="AI555" s="27" t="n">
        <v>0</v>
      </c>
      <c r="AJ555" s="26" t="n">
        <f aca="false">IF(AI555&gt;0,AprCoef/SQRT(AI555),0)</f>
        <v>0</v>
      </c>
      <c r="AK555" s="24" t="n">
        <f aca="false">AI555*AJ555/365</f>
        <v>0</v>
      </c>
      <c r="AL555" s="24" t="n">
        <f aca="false">AD555</f>
        <v>0</v>
      </c>
      <c r="AM555" s="24" t="n">
        <f aca="false">AK555-AL555</f>
        <v>0</v>
      </c>
      <c r="AN555" s="28" t="str">
        <f aca="false">IF(A555&gt;=Hip3LaunchDate,"YES","")</f>
        <v/>
      </c>
      <c r="AO555" s="28" t="str">
        <f aca="false">IF(A555&lt;Hip4LaunchDate,"pre-launch","live (zero-fee)")</f>
        <v>pre-launch</v>
      </c>
      <c r="AP555" s="20"/>
      <c r="AQ555" s="20"/>
      <c r="AR555" s="20"/>
    </row>
    <row r="556" customFormat="false" ht="15" hidden="false" customHeight="false" outlineLevel="0" collapsed="false">
      <c r="A556" s="18" t="n">
        <v>45617</v>
      </c>
      <c r="B556" s="19" t="n">
        <v>3603835315.16</v>
      </c>
      <c r="C556" s="19" t="n">
        <v>0</v>
      </c>
      <c r="D556" s="19" t="n">
        <v>2853163</v>
      </c>
      <c r="E556" s="21" t="n">
        <f aca="false">B556+C556</f>
        <v>3603835315.16</v>
      </c>
      <c r="F556" s="21" t="n">
        <f aca="false">E556+D556</f>
        <v>3606688478.16</v>
      </c>
      <c r="G556" s="22" t="n">
        <f aca="false">IFERROR(C556/E556,0)</f>
        <v>0</v>
      </c>
      <c r="H556" s="20"/>
      <c r="I556" s="20"/>
      <c r="J556" s="20"/>
      <c r="K556" s="21" t="n">
        <f aca="false">H556+I556</f>
        <v>0</v>
      </c>
      <c r="L556" s="20"/>
      <c r="M556" s="21" t="n">
        <f aca="false">H556-L556</f>
        <v>0</v>
      </c>
      <c r="N556" s="23" t="n">
        <f aca="false">IFERROR(M556/B556*10000,0)</f>
        <v>0</v>
      </c>
      <c r="O556" s="20"/>
      <c r="P556" s="20"/>
      <c r="Q556" s="21" t="n">
        <f aca="false">O556+P556</f>
        <v>0</v>
      </c>
      <c r="R556" s="22" t="n">
        <f aca="false">IF(A556&lt;HlpChangeDate,HlpSharePre,HlpSharePost)</f>
        <v>0.03</v>
      </c>
      <c r="S556" s="21" t="n">
        <f aca="false">Q556*R556/(1-R556)</f>
        <v>0</v>
      </c>
      <c r="T556" s="20"/>
      <c r="U556" s="21" t="n">
        <f aca="false">S556-T556</f>
        <v>0</v>
      </c>
      <c r="V556" s="21" t="n">
        <f aca="false">Y556-O556*R556/(1-R556)</f>
        <v>0</v>
      </c>
      <c r="W556" s="21" t="n">
        <f aca="false">Z556-P556*R556/(1-R556)</f>
        <v>0</v>
      </c>
      <c r="X556" s="21" t="n">
        <f aca="false">S556+V556+W556</f>
        <v>0</v>
      </c>
      <c r="Y556" s="20"/>
      <c r="Z556" s="20"/>
      <c r="AA556" s="19" t="n">
        <v>0</v>
      </c>
      <c r="AB556" s="20"/>
      <c r="AC556" s="20"/>
      <c r="AD556" s="24" t="n">
        <f aca="false">IFERROR(AA556/AC556,0)</f>
        <v>0</v>
      </c>
      <c r="AE556" s="25" t="n">
        <f aca="false">K556-Q556-X556</f>
        <v>0</v>
      </c>
      <c r="AF556" s="25" t="n">
        <f aca="false">Q556-AA556</f>
        <v>0</v>
      </c>
      <c r="AG556" s="20"/>
      <c r="AH556" s="26" t="n">
        <f aca="false">IFERROR(AG556/Q556,0)</f>
        <v>0</v>
      </c>
      <c r="AI556" s="27" t="n">
        <v>0</v>
      </c>
      <c r="AJ556" s="26" t="n">
        <f aca="false">IF(AI556&gt;0,AprCoef/SQRT(AI556),0)</f>
        <v>0</v>
      </c>
      <c r="AK556" s="24" t="n">
        <f aca="false">AI556*AJ556/365</f>
        <v>0</v>
      </c>
      <c r="AL556" s="24" t="n">
        <f aca="false">AD556</f>
        <v>0</v>
      </c>
      <c r="AM556" s="24" t="n">
        <f aca="false">AK556-AL556</f>
        <v>0</v>
      </c>
      <c r="AN556" s="28" t="str">
        <f aca="false">IF(A556&gt;=Hip3LaunchDate,"YES","")</f>
        <v/>
      </c>
      <c r="AO556" s="28" t="str">
        <f aca="false">IF(A556&lt;Hip4LaunchDate,"pre-launch","live (zero-fee)")</f>
        <v>pre-launch</v>
      </c>
      <c r="AP556" s="20"/>
      <c r="AQ556" s="20"/>
      <c r="AR556" s="20"/>
    </row>
    <row r="557" customFormat="false" ht="15" hidden="false" customHeight="false" outlineLevel="0" collapsed="false">
      <c r="A557" s="18" t="n">
        <v>45618</v>
      </c>
      <c r="B557" s="19" t="n">
        <v>2806572942.19</v>
      </c>
      <c r="C557" s="19" t="n">
        <v>0</v>
      </c>
      <c r="D557" s="19" t="n">
        <v>2036353</v>
      </c>
      <c r="E557" s="21" t="n">
        <f aca="false">B557+C557</f>
        <v>2806572942.19</v>
      </c>
      <c r="F557" s="21" t="n">
        <f aca="false">E557+D557</f>
        <v>2808609295.19</v>
      </c>
      <c r="G557" s="22" t="n">
        <f aca="false">IFERROR(C557/E557,0)</f>
        <v>0</v>
      </c>
      <c r="H557" s="20"/>
      <c r="I557" s="20"/>
      <c r="J557" s="20"/>
      <c r="K557" s="21" t="n">
        <f aca="false">H557+I557</f>
        <v>0</v>
      </c>
      <c r="L557" s="20"/>
      <c r="M557" s="21" t="n">
        <f aca="false">H557-L557</f>
        <v>0</v>
      </c>
      <c r="N557" s="23" t="n">
        <f aca="false">IFERROR(M557/B557*10000,0)</f>
        <v>0</v>
      </c>
      <c r="O557" s="20"/>
      <c r="P557" s="20"/>
      <c r="Q557" s="21" t="n">
        <f aca="false">O557+P557</f>
        <v>0</v>
      </c>
      <c r="R557" s="22" t="n">
        <f aca="false">IF(A557&lt;HlpChangeDate,HlpSharePre,HlpSharePost)</f>
        <v>0.03</v>
      </c>
      <c r="S557" s="21" t="n">
        <f aca="false">Q557*R557/(1-R557)</f>
        <v>0</v>
      </c>
      <c r="T557" s="20"/>
      <c r="U557" s="21" t="n">
        <f aca="false">S557-T557</f>
        <v>0</v>
      </c>
      <c r="V557" s="21" t="n">
        <f aca="false">Y557-O557*R557/(1-R557)</f>
        <v>0</v>
      </c>
      <c r="W557" s="21" t="n">
        <f aca="false">Z557-P557*R557/(1-R557)</f>
        <v>0</v>
      </c>
      <c r="X557" s="21" t="n">
        <f aca="false">S557+V557+W557</f>
        <v>0</v>
      </c>
      <c r="Y557" s="20"/>
      <c r="Z557" s="20"/>
      <c r="AA557" s="19" t="n">
        <v>0</v>
      </c>
      <c r="AB557" s="20"/>
      <c r="AC557" s="20"/>
      <c r="AD557" s="24" t="n">
        <f aca="false">IFERROR(AA557/AC557,0)</f>
        <v>0</v>
      </c>
      <c r="AE557" s="25" t="n">
        <f aca="false">K557-Q557-X557</f>
        <v>0</v>
      </c>
      <c r="AF557" s="25" t="n">
        <f aca="false">Q557-AA557</f>
        <v>0</v>
      </c>
      <c r="AG557" s="20"/>
      <c r="AH557" s="26" t="n">
        <f aca="false">IFERROR(AG557/Q557,0)</f>
        <v>0</v>
      </c>
      <c r="AI557" s="27" t="n">
        <v>0</v>
      </c>
      <c r="AJ557" s="26" t="n">
        <f aca="false">IF(AI557&gt;0,AprCoef/SQRT(AI557),0)</f>
        <v>0</v>
      </c>
      <c r="AK557" s="24" t="n">
        <f aca="false">AI557*AJ557/365</f>
        <v>0</v>
      </c>
      <c r="AL557" s="24" t="n">
        <f aca="false">AD557</f>
        <v>0</v>
      </c>
      <c r="AM557" s="24" t="n">
        <f aca="false">AK557-AL557</f>
        <v>0</v>
      </c>
      <c r="AN557" s="28" t="str">
        <f aca="false">IF(A557&gt;=Hip3LaunchDate,"YES","")</f>
        <v/>
      </c>
      <c r="AO557" s="28" t="str">
        <f aca="false">IF(A557&lt;Hip4LaunchDate,"pre-launch","live (zero-fee)")</f>
        <v>pre-launch</v>
      </c>
      <c r="AP557" s="20"/>
      <c r="AQ557" s="20"/>
      <c r="AR557" s="20"/>
    </row>
    <row r="558" customFormat="false" ht="15" hidden="false" customHeight="false" outlineLevel="0" collapsed="false">
      <c r="A558" s="18" t="n">
        <v>45619</v>
      </c>
      <c r="B558" s="19" t="n">
        <v>2595619860.54</v>
      </c>
      <c r="C558" s="19" t="n">
        <v>0</v>
      </c>
      <c r="D558" s="19" t="n">
        <v>3106917</v>
      </c>
      <c r="E558" s="21" t="n">
        <f aca="false">B558+C558</f>
        <v>2595619860.54</v>
      </c>
      <c r="F558" s="21" t="n">
        <f aca="false">E558+D558</f>
        <v>2598726777.54</v>
      </c>
      <c r="G558" s="22" t="n">
        <f aca="false">IFERROR(C558/E558,0)</f>
        <v>0</v>
      </c>
      <c r="H558" s="20"/>
      <c r="I558" s="20"/>
      <c r="J558" s="20"/>
      <c r="K558" s="21" t="n">
        <f aca="false">H558+I558</f>
        <v>0</v>
      </c>
      <c r="L558" s="20"/>
      <c r="M558" s="21" t="n">
        <f aca="false">H558-L558</f>
        <v>0</v>
      </c>
      <c r="N558" s="23" t="n">
        <f aca="false">IFERROR(M558/B558*10000,0)</f>
        <v>0</v>
      </c>
      <c r="O558" s="20"/>
      <c r="P558" s="20"/>
      <c r="Q558" s="21" t="n">
        <f aca="false">O558+P558</f>
        <v>0</v>
      </c>
      <c r="R558" s="22" t="n">
        <f aca="false">IF(A558&lt;HlpChangeDate,HlpSharePre,HlpSharePost)</f>
        <v>0.03</v>
      </c>
      <c r="S558" s="21" t="n">
        <f aca="false">Q558*R558/(1-R558)</f>
        <v>0</v>
      </c>
      <c r="T558" s="20"/>
      <c r="U558" s="21" t="n">
        <f aca="false">S558-T558</f>
        <v>0</v>
      </c>
      <c r="V558" s="21" t="n">
        <f aca="false">Y558-O558*R558/(1-R558)</f>
        <v>0</v>
      </c>
      <c r="W558" s="21" t="n">
        <f aca="false">Z558-P558*R558/(1-R558)</f>
        <v>0</v>
      </c>
      <c r="X558" s="21" t="n">
        <f aca="false">S558+V558+W558</f>
        <v>0</v>
      </c>
      <c r="Y558" s="20"/>
      <c r="Z558" s="20"/>
      <c r="AA558" s="19" t="n">
        <v>0</v>
      </c>
      <c r="AB558" s="20"/>
      <c r="AC558" s="20"/>
      <c r="AD558" s="24" t="n">
        <f aca="false">IFERROR(AA558/AC558,0)</f>
        <v>0</v>
      </c>
      <c r="AE558" s="25" t="n">
        <f aca="false">K558-Q558-X558</f>
        <v>0</v>
      </c>
      <c r="AF558" s="25" t="n">
        <f aca="false">Q558-AA558</f>
        <v>0</v>
      </c>
      <c r="AG558" s="20"/>
      <c r="AH558" s="26" t="n">
        <f aca="false">IFERROR(AG558/Q558,0)</f>
        <v>0</v>
      </c>
      <c r="AI558" s="27" t="n">
        <v>0</v>
      </c>
      <c r="AJ558" s="26" t="n">
        <f aca="false">IF(AI558&gt;0,AprCoef/SQRT(AI558),0)</f>
        <v>0</v>
      </c>
      <c r="AK558" s="24" t="n">
        <f aca="false">AI558*AJ558/365</f>
        <v>0</v>
      </c>
      <c r="AL558" s="24" t="n">
        <f aca="false">AD558</f>
        <v>0</v>
      </c>
      <c r="AM558" s="24" t="n">
        <f aca="false">AK558-AL558</f>
        <v>0</v>
      </c>
      <c r="AN558" s="28" t="str">
        <f aca="false">IF(A558&gt;=Hip3LaunchDate,"YES","")</f>
        <v/>
      </c>
      <c r="AO558" s="28" t="str">
        <f aca="false">IF(A558&lt;Hip4LaunchDate,"pre-launch","live (zero-fee)")</f>
        <v>pre-launch</v>
      </c>
      <c r="AP558" s="20"/>
      <c r="AQ558" s="20"/>
      <c r="AR558" s="20"/>
    </row>
    <row r="559" customFormat="false" ht="15" hidden="false" customHeight="false" outlineLevel="0" collapsed="false">
      <c r="A559" s="18" t="n">
        <v>45620</v>
      </c>
      <c r="B559" s="19" t="n">
        <v>2210527846.92</v>
      </c>
      <c r="C559" s="19" t="n">
        <v>0</v>
      </c>
      <c r="D559" s="19" t="n">
        <v>2473310</v>
      </c>
      <c r="E559" s="21" t="n">
        <f aca="false">B559+C559</f>
        <v>2210527846.92</v>
      </c>
      <c r="F559" s="21" t="n">
        <f aca="false">E559+D559</f>
        <v>2213001156.92</v>
      </c>
      <c r="G559" s="22" t="n">
        <f aca="false">IFERROR(C559/E559,0)</f>
        <v>0</v>
      </c>
      <c r="H559" s="20"/>
      <c r="I559" s="20"/>
      <c r="J559" s="20"/>
      <c r="K559" s="21" t="n">
        <f aca="false">H559+I559</f>
        <v>0</v>
      </c>
      <c r="L559" s="20"/>
      <c r="M559" s="21" t="n">
        <f aca="false">H559-L559</f>
        <v>0</v>
      </c>
      <c r="N559" s="23" t="n">
        <f aca="false">IFERROR(M559/B559*10000,0)</f>
        <v>0</v>
      </c>
      <c r="O559" s="20"/>
      <c r="P559" s="20"/>
      <c r="Q559" s="21" t="n">
        <f aca="false">O559+P559</f>
        <v>0</v>
      </c>
      <c r="R559" s="22" t="n">
        <f aca="false">IF(A559&lt;HlpChangeDate,HlpSharePre,HlpSharePost)</f>
        <v>0.03</v>
      </c>
      <c r="S559" s="21" t="n">
        <f aca="false">Q559*R559/(1-R559)</f>
        <v>0</v>
      </c>
      <c r="T559" s="20"/>
      <c r="U559" s="21" t="n">
        <f aca="false">S559-T559</f>
        <v>0</v>
      </c>
      <c r="V559" s="21" t="n">
        <f aca="false">Y559-O559*R559/(1-R559)</f>
        <v>0</v>
      </c>
      <c r="W559" s="21" t="n">
        <f aca="false">Z559-P559*R559/(1-R559)</f>
        <v>0</v>
      </c>
      <c r="X559" s="21" t="n">
        <f aca="false">S559+V559+W559</f>
        <v>0</v>
      </c>
      <c r="Y559" s="20"/>
      <c r="Z559" s="20"/>
      <c r="AA559" s="19" t="n">
        <v>0</v>
      </c>
      <c r="AB559" s="20"/>
      <c r="AC559" s="20"/>
      <c r="AD559" s="24" t="n">
        <f aca="false">IFERROR(AA559/AC559,0)</f>
        <v>0</v>
      </c>
      <c r="AE559" s="25" t="n">
        <f aca="false">K559-Q559-X559</f>
        <v>0</v>
      </c>
      <c r="AF559" s="25" t="n">
        <f aca="false">Q559-AA559</f>
        <v>0</v>
      </c>
      <c r="AG559" s="20"/>
      <c r="AH559" s="26" t="n">
        <f aca="false">IFERROR(AG559/Q559,0)</f>
        <v>0</v>
      </c>
      <c r="AI559" s="27" t="n">
        <v>0</v>
      </c>
      <c r="AJ559" s="26" t="n">
        <f aca="false">IF(AI559&gt;0,AprCoef/SQRT(AI559),0)</f>
        <v>0</v>
      </c>
      <c r="AK559" s="24" t="n">
        <f aca="false">AI559*AJ559/365</f>
        <v>0</v>
      </c>
      <c r="AL559" s="24" t="n">
        <f aca="false">AD559</f>
        <v>0</v>
      </c>
      <c r="AM559" s="24" t="n">
        <f aca="false">AK559-AL559</f>
        <v>0</v>
      </c>
      <c r="AN559" s="28" t="str">
        <f aca="false">IF(A559&gt;=Hip3LaunchDate,"YES","")</f>
        <v/>
      </c>
      <c r="AO559" s="28" t="str">
        <f aca="false">IF(A559&lt;Hip4LaunchDate,"pre-launch","live (zero-fee)")</f>
        <v>pre-launch</v>
      </c>
      <c r="AP559" s="20"/>
      <c r="AQ559" s="20"/>
      <c r="AR559" s="20"/>
    </row>
    <row r="560" customFormat="false" ht="15" hidden="false" customHeight="false" outlineLevel="0" collapsed="false">
      <c r="A560" s="18" t="n">
        <v>45621</v>
      </c>
      <c r="B560" s="19" t="n">
        <v>3269150813.66</v>
      </c>
      <c r="C560" s="19" t="n">
        <v>0</v>
      </c>
      <c r="D560" s="19" t="n">
        <v>5628946</v>
      </c>
      <c r="E560" s="21" t="n">
        <f aca="false">B560+C560</f>
        <v>3269150813.66</v>
      </c>
      <c r="F560" s="21" t="n">
        <f aca="false">E560+D560</f>
        <v>3274779759.66</v>
      </c>
      <c r="G560" s="22" t="n">
        <f aca="false">IFERROR(C560/E560,0)</f>
        <v>0</v>
      </c>
      <c r="H560" s="20"/>
      <c r="I560" s="20"/>
      <c r="J560" s="20"/>
      <c r="K560" s="21" t="n">
        <f aca="false">H560+I560</f>
        <v>0</v>
      </c>
      <c r="L560" s="20"/>
      <c r="M560" s="21" t="n">
        <f aca="false">H560-L560</f>
        <v>0</v>
      </c>
      <c r="N560" s="23" t="n">
        <f aca="false">IFERROR(M560/B560*10000,0)</f>
        <v>0</v>
      </c>
      <c r="O560" s="20"/>
      <c r="P560" s="20"/>
      <c r="Q560" s="21" t="n">
        <f aca="false">O560+P560</f>
        <v>0</v>
      </c>
      <c r="R560" s="22" t="n">
        <f aca="false">IF(A560&lt;HlpChangeDate,HlpSharePre,HlpSharePost)</f>
        <v>0.03</v>
      </c>
      <c r="S560" s="21" t="n">
        <f aca="false">Q560*R560/(1-R560)</f>
        <v>0</v>
      </c>
      <c r="T560" s="20"/>
      <c r="U560" s="21" t="n">
        <f aca="false">S560-T560</f>
        <v>0</v>
      </c>
      <c r="V560" s="21" t="n">
        <f aca="false">Y560-O560*R560/(1-R560)</f>
        <v>0</v>
      </c>
      <c r="W560" s="21" t="n">
        <f aca="false">Z560-P560*R560/(1-R560)</f>
        <v>0</v>
      </c>
      <c r="X560" s="21" t="n">
        <f aca="false">S560+V560+W560</f>
        <v>0</v>
      </c>
      <c r="Y560" s="20"/>
      <c r="Z560" s="20"/>
      <c r="AA560" s="19" t="n">
        <v>0</v>
      </c>
      <c r="AB560" s="20"/>
      <c r="AC560" s="20"/>
      <c r="AD560" s="24" t="n">
        <f aca="false">IFERROR(AA560/AC560,0)</f>
        <v>0</v>
      </c>
      <c r="AE560" s="25" t="n">
        <f aca="false">K560-Q560-X560</f>
        <v>0</v>
      </c>
      <c r="AF560" s="25" t="n">
        <f aca="false">Q560-AA560</f>
        <v>0</v>
      </c>
      <c r="AG560" s="19" t="n">
        <v>4585090.236229</v>
      </c>
      <c r="AH560" s="26" t="n">
        <f aca="false">IFERROR(AG560/Q560,0)</f>
        <v>0</v>
      </c>
      <c r="AI560" s="27" t="n">
        <v>0</v>
      </c>
      <c r="AJ560" s="26" t="n">
        <f aca="false">IF(AI560&gt;0,AprCoef/SQRT(AI560),0)</f>
        <v>0</v>
      </c>
      <c r="AK560" s="24" t="n">
        <f aca="false">AI560*AJ560/365</f>
        <v>0</v>
      </c>
      <c r="AL560" s="24" t="n">
        <f aca="false">AD560</f>
        <v>0</v>
      </c>
      <c r="AM560" s="24" t="n">
        <f aca="false">AK560-AL560</f>
        <v>0</v>
      </c>
      <c r="AN560" s="28" t="str">
        <f aca="false">IF(A560&gt;=Hip3LaunchDate,"YES","")</f>
        <v/>
      </c>
      <c r="AO560" s="28" t="str">
        <f aca="false">IF(A560&lt;Hip4LaunchDate,"pre-launch","live (zero-fee)")</f>
        <v>pre-launch</v>
      </c>
      <c r="AP560" s="20"/>
      <c r="AQ560" s="20"/>
      <c r="AR560" s="20"/>
    </row>
    <row r="561" customFormat="false" ht="15" hidden="false" customHeight="false" outlineLevel="0" collapsed="false">
      <c r="A561" s="18" t="n">
        <v>45622</v>
      </c>
      <c r="B561" s="19" t="n">
        <v>3393816223.04</v>
      </c>
      <c r="C561" s="19" t="n">
        <v>0</v>
      </c>
      <c r="D561" s="19" t="n">
        <v>7041832</v>
      </c>
      <c r="E561" s="21" t="n">
        <f aca="false">B561+C561</f>
        <v>3393816223.04</v>
      </c>
      <c r="F561" s="21" t="n">
        <f aca="false">E561+D561</f>
        <v>3400858055.04</v>
      </c>
      <c r="G561" s="22" t="n">
        <f aca="false">IFERROR(C561/E561,0)</f>
        <v>0</v>
      </c>
      <c r="H561" s="20"/>
      <c r="I561" s="20"/>
      <c r="J561" s="20"/>
      <c r="K561" s="21" t="n">
        <f aca="false">H561+I561</f>
        <v>0</v>
      </c>
      <c r="L561" s="20"/>
      <c r="M561" s="21" t="n">
        <f aca="false">H561-L561</f>
        <v>0</v>
      </c>
      <c r="N561" s="23" t="n">
        <f aca="false">IFERROR(M561/B561*10000,0)</f>
        <v>0</v>
      </c>
      <c r="O561" s="20"/>
      <c r="P561" s="20"/>
      <c r="Q561" s="21" t="n">
        <f aca="false">O561+P561</f>
        <v>0</v>
      </c>
      <c r="R561" s="22" t="n">
        <f aca="false">IF(A561&lt;HlpChangeDate,HlpSharePre,HlpSharePost)</f>
        <v>0.03</v>
      </c>
      <c r="S561" s="21" t="n">
        <f aca="false">Q561*R561/(1-R561)</f>
        <v>0</v>
      </c>
      <c r="T561" s="20"/>
      <c r="U561" s="21" t="n">
        <f aca="false">S561-T561</f>
        <v>0</v>
      </c>
      <c r="V561" s="21" t="n">
        <f aca="false">Y561-O561*R561/(1-R561)</f>
        <v>0</v>
      </c>
      <c r="W561" s="21" t="n">
        <f aca="false">Z561-P561*R561/(1-R561)</f>
        <v>0</v>
      </c>
      <c r="X561" s="21" t="n">
        <f aca="false">S561+V561+W561</f>
        <v>0</v>
      </c>
      <c r="Y561" s="20"/>
      <c r="Z561" s="20"/>
      <c r="AA561" s="19" t="n">
        <v>0</v>
      </c>
      <c r="AB561" s="20"/>
      <c r="AC561" s="20"/>
      <c r="AD561" s="24" t="n">
        <f aca="false">IFERROR(AA561/AC561,0)</f>
        <v>0</v>
      </c>
      <c r="AE561" s="25" t="n">
        <f aca="false">K561-Q561-X561</f>
        <v>0</v>
      </c>
      <c r="AF561" s="25" t="n">
        <f aca="false">Q561-AA561</f>
        <v>0</v>
      </c>
      <c r="AG561" s="20"/>
      <c r="AH561" s="26" t="n">
        <f aca="false">IFERROR(AG561/Q561,0)</f>
        <v>0</v>
      </c>
      <c r="AI561" s="27" t="n">
        <v>0</v>
      </c>
      <c r="AJ561" s="26" t="n">
        <f aca="false">IF(AI561&gt;0,AprCoef/SQRT(AI561),0)</f>
        <v>0</v>
      </c>
      <c r="AK561" s="24" t="n">
        <f aca="false">AI561*AJ561/365</f>
        <v>0</v>
      </c>
      <c r="AL561" s="24" t="n">
        <f aca="false">AD561</f>
        <v>0</v>
      </c>
      <c r="AM561" s="24" t="n">
        <f aca="false">AK561-AL561</f>
        <v>0</v>
      </c>
      <c r="AN561" s="28" t="str">
        <f aca="false">IF(A561&gt;=Hip3LaunchDate,"YES","")</f>
        <v/>
      </c>
      <c r="AO561" s="28" t="str">
        <f aca="false">IF(A561&lt;Hip4LaunchDate,"pre-launch","live (zero-fee)")</f>
        <v>pre-launch</v>
      </c>
      <c r="AP561" s="20"/>
      <c r="AQ561" s="20"/>
      <c r="AR561" s="20"/>
    </row>
    <row r="562" customFormat="false" ht="15" hidden="false" customHeight="false" outlineLevel="0" collapsed="false">
      <c r="A562" s="18" t="n">
        <v>45623</v>
      </c>
      <c r="B562" s="19" t="n">
        <v>2210855930.26</v>
      </c>
      <c r="C562" s="19" t="n">
        <v>0</v>
      </c>
      <c r="D562" s="19" t="n">
        <v>4131241</v>
      </c>
      <c r="E562" s="21" t="n">
        <f aca="false">B562+C562</f>
        <v>2210855930.26</v>
      </c>
      <c r="F562" s="21" t="n">
        <f aca="false">E562+D562</f>
        <v>2214987171.26</v>
      </c>
      <c r="G562" s="22" t="n">
        <f aca="false">IFERROR(C562/E562,0)</f>
        <v>0</v>
      </c>
      <c r="H562" s="20"/>
      <c r="I562" s="20"/>
      <c r="J562" s="20"/>
      <c r="K562" s="21" t="n">
        <f aca="false">H562+I562</f>
        <v>0</v>
      </c>
      <c r="L562" s="20"/>
      <c r="M562" s="21" t="n">
        <f aca="false">H562-L562</f>
        <v>0</v>
      </c>
      <c r="N562" s="23" t="n">
        <f aca="false">IFERROR(M562/B562*10000,0)</f>
        <v>0</v>
      </c>
      <c r="O562" s="20"/>
      <c r="P562" s="20"/>
      <c r="Q562" s="21" t="n">
        <f aca="false">O562+P562</f>
        <v>0</v>
      </c>
      <c r="R562" s="22" t="n">
        <f aca="false">IF(A562&lt;HlpChangeDate,HlpSharePre,HlpSharePost)</f>
        <v>0.03</v>
      </c>
      <c r="S562" s="21" t="n">
        <f aca="false">Q562*R562/(1-R562)</f>
        <v>0</v>
      </c>
      <c r="T562" s="20"/>
      <c r="U562" s="21" t="n">
        <f aca="false">S562-T562</f>
        <v>0</v>
      </c>
      <c r="V562" s="21" t="n">
        <f aca="false">Y562-O562*R562/(1-R562)</f>
        <v>0</v>
      </c>
      <c r="W562" s="21" t="n">
        <f aca="false">Z562-P562*R562/(1-R562)</f>
        <v>0</v>
      </c>
      <c r="X562" s="21" t="n">
        <f aca="false">S562+V562+W562</f>
        <v>0</v>
      </c>
      <c r="Y562" s="20"/>
      <c r="Z562" s="20"/>
      <c r="AA562" s="19" t="n">
        <v>0</v>
      </c>
      <c r="AB562" s="20"/>
      <c r="AC562" s="20"/>
      <c r="AD562" s="24" t="n">
        <f aca="false">IFERROR(AA562/AC562,0)</f>
        <v>0</v>
      </c>
      <c r="AE562" s="25" t="n">
        <f aca="false">K562-Q562-X562</f>
        <v>0</v>
      </c>
      <c r="AF562" s="25" t="n">
        <f aca="false">Q562-AA562</f>
        <v>0</v>
      </c>
      <c r="AG562" s="20"/>
      <c r="AH562" s="26" t="n">
        <f aca="false">IFERROR(AG562/Q562,0)</f>
        <v>0</v>
      </c>
      <c r="AI562" s="27" t="n">
        <v>0</v>
      </c>
      <c r="AJ562" s="26" t="n">
        <f aca="false">IF(AI562&gt;0,AprCoef/SQRT(AI562),0)</f>
        <v>0</v>
      </c>
      <c r="AK562" s="24" t="n">
        <f aca="false">AI562*AJ562/365</f>
        <v>0</v>
      </c>
      <c r="AL562" s="24" t="n">
        <f aca="false">AD562</f>
        <v>0</v>
      </c>
      <c r="AM562" s="24" t="n">
        <f aca="false">AK562-AL562</f>
        <v>0</v>
      </c>
      <c r="AN562" s="28" t="str">
        <f aca="false">IF(A562&gt;=Hip3LaunchDate,"YES","")</f>
        <v/>
      </c>
      <c r="AO562" s="28" t="str">
        <f aca="false">IF(A562&lt;Hip4LaunchDate,"pre-launch","live (zero-fee)")</f>
        <v>pre-launch</v>
      </c>
      <c r="AP562" s="20"/>
      <c r="AQ562" s="20"/>
      <c r="AR562" s="20"/>
    </row>
    <row r="563" customFormat="false" ht="15" hidden="false" customHeight="false" outlineLevel="0" collapsed="false">
      <c r="A563" s="18" t="n">
        <v>45624</v>
      </c>
      <c r="B563" s="19" t="n">
        <v>1765339288.54</v>
      </c>
      <c r="C563" s="19" t="n">
        <v>0</v>
      </c>
      <c r="D563" s="19" t="n">
        <v>19036485</v>
      </c>
      <c r="E563" s="21" t="n">
        <f aca="false">B563+C563</f>
        <v>1765339288.54</v>
      </c>
      <c r="F563" s="21" t="n">
        <f aca="false">E563+D563</f>
        <v>1784375773.54</v>
      </c>
      <c r="G563" s="22" t="n">
        <f aca="false">IFERROR(C563/E563,0)</f>
        <v>0</v>
      </c>
      <c r="H563" s="20"/>
      <c r="I563" s="20"/>
      <c r="J563" s="20"/>
      <c r="K563" s="21" t="n">
        <f aca="false">H563+I563</f>
        <v>0</v>
      </c>
      <c r="L563" s="20"/>
      <c r="M563" s="21" t="n">
        <f aca="false">H563-L563</f>
        <v>0</v>
      </c>
      <c r="N563" s="23" t="n">
        <f aca="false">IFERROR(M563/B563*10000,0)</f>
        <v>0</v>
      </c>
      <c r="O563" s="20"/>
      <c r="P563" s="20"/>
      <c r="Q563" s="21" t="n">
        <f aca="false">O563+P563</f>
        <v>0</v>
      </c>
      <c r="R563" s="22" t="n">
        <f aca="false">IF(A563&lt;HlpChangeDate,HlpSharePre,HlpSharePost)</f>
        <v>0.03</v>
      </c>
      <c r="S563" s="21" t="n">
        <f aca="false">Q563*R563/(1-R563)</f>
        <v>0</v>
      </c>
      <c r="T563" s="20"/>
      <c r="U563" s="21" t="n">
        <f aca="false">S563-T563</f>
        <v>0</v>
      </c>
      <c r="V563" s="21" t="n">
        <f aca="false">Y563-O563*R563/(1-R563)</f>
        <v>0</v>
      </c>
      <c r="W563" s="21" t="n">
        <f aca="false">Z563-P563*R563/(1-R563)</f>
        <v>0</v>
      </c>
      <c r="X563" s="21" t="n">
        <f aca="false">S563+V563+W563</f>
        <v>0</v>
      </c>
      <c r="Y563" s="20"/>
      <c r="Z563" s="20"/>
      <c r="AA563" s="19" t="n">
        <v>0</v>
      </c>
      <c r="AB563" s="20"/>
      <c r="AC563" s="20"/>
      <c r="AD563" s="24" t="n">
        <f aca="false">IFERROR(AA563/AC563,0)</f>
        <v>0</v>
      </c>
      <c r="AE563" s="25" t="n">
        <f aca="false">K563-Q563-X563</f>
        <v>0</v>
      </c>
      <c r="AF563" s="25" t="n">
        <f aca="false">Q563-AA563</f>
        <v>0</v>
      </c>
      <c r="AG563" s="20"/>
      <c r="AH563" s="26" t="n">
        <f aca="false">IFERROR(AG563/Q563,0)</f>
        <v>0</v>
      </c>
      <c r="AI563" s="27" t="n">
        <v>0</v>
      </c>
      <c r="AJ563" s="26" t="n">
        <f aca="false">IF(AI563&gt;0,AprCoef/SQRT(AI563),0)</f>
        <v>0</v>
      </c>
      <c r="AK563" s="24" t="n">
        <f aca="false">AI563*AJ563/365</f>
        <v>0</v>
      </c>
      <c r="AL563" s="24" t="n">
        <f aca="false">AD563</f>
        <v>0</v>
      </c>
      <c r="AM563" s="24" t="n">
        <f aca="false">AK563-AL563</f>
        <v>0</v>
      </c>
      <c r="AN563" s="28" t="str">
        <f aca="false">IF(A563&gt;=Hip3LaunchDate,"YES","")</f>
        <v/>
      </c>
      <c r="AO563" s="28" t="str">
        <f aca="false">IF(A563&lt;Hip4LaunchDate,"pre-launch","live (zero-fee)")</f>
        <v>pre-launch</v>
      </c>
      <c r="AP563" s="20"/>
      <c r="AQ563" s="20"/>
      <c r="AR563" s="20"/>
    </row>
    <row r="564" customFormat="false" ht="15" hidden="false" customHeight="false" outlineLevel="0" collapsed="false">
      <c r="A564" s="18" t="n">
        <v>45625</v>
      </c>
      <c r="B564" s="19" t="n">
        <v>1814687232.61</v>
      </c>
      <c r="C564" s="19" t="n">
        <v>0</v>
      </c>
      <c r="D564" s="19" t="n">
        <v>951196324</v>
      </c>
      <c r="E564" s="21" t="n">
        <f aca="false">B564+C564</f>
        <v>1814687232.61</v>
      </c>
      <c r="F564" s="21" t="n">
        <f aca="false">E564+D564</f>
        <v>2765883556.61</v>
      </c>
      <c r="G564" s="22" t="n">
        <f aca="false">IFERROR(C564/E564,0)</f>
        <v>0</v>
      </c>
      <c r="H564" s="20"/>
      <c r="I564" s="20"/>
      <c r="J564" s="20"/>
      <c r="K564" s="21" t="n">
        <f aca="false">H564+I564</f>
        <v>0</v>
      </c>
      <c r="L564" s="20"/>
      <c r="M564" s="21" t="n">
        <f aca="false">H564-L564</f>
        <v>0</v>
      </c>
      <c r="N564" s="23" t="n">
        <f aca="false">IFERROR(M564/B564*10000,0)</f>
        <v>0</v>
      </c>
      <c r="O564" s="20"/>
      <c r="P564" s="20"/>
      <c r="Q564" s="21" t="n">
        <f aca="false">O564+P564</f>
        <v>0</v>
      </c>
      <c r="R564" s="22" t="n">
        <f aca="false">IF(A564&lt;HlpChangeDate,HlpSharePre,HlpSharePost)</f>
        <v>0.03</v>
      </c>
      <c r="S564" s="21" t="n">
        <f aca="false">Q564*R564/(1-R564)</f>
        <v>0</v>
      </c>
      <c r="T564" s="20"/>
      <c r="U564" s="21" t="n">
        <f aca="false">S564-T564</f>
        <v>0</v>
      </c>
      <c r="V564" s="21" t="n">
        <f aca="false">Y564-O564*R564/(1-R564)</f>
        <v>0</v>
      </c>
      <c r="W564" s="21" t="n">
        <f aca="false">Z564-P564*R564/(1-R564)</f>
        <v>0</v>
      </c>
      <c r="X564" s="21" t="n">
        <f aca="false">S564+V564+W564</f>
        <v>0</v>
      </c>
      <c r="Y564" s="20"/>
      <c r="Z564" s="20"/>
      <c r="AA564" s="19" t="n">
        <v>0</v>
      </c>
      <c r="AB564" s="29" t="n">
        <v>6.252</v>
      </c>
      <c r="AC564" s="29" t="n">
        <v>4.2155</v>
      </c>
      <c r="AD564" s="24" t="n">
        <f aca="false">IFERROR(AA564/AC564,0)</f>
        <v>0</v>
      </c>
      <c r="AE564" s="25" t="n">
        <f aca="false">K564-Q564-X564</f>
        <v>0</v>
      </c>
      <c r="AF564" s="25" t="n">
        <f aca="false">Q564-AA564</f>
        <v>0</v>
      </c>
      <c r="AG564" s="19" t="n">
        <v>2497425.06847301</v>
      </c>
      <c r="AH564" s="26" t="n">
        <f aca="false">IFERROR(AG564/Q564,0)</f>
        <v>0</v>
      </c>
      <c r="AI564" s="27" t="n">
        <v>0</v>
      </c>
      <c r="AJ564" s="26" t="n">
        <f aca="false">IF(AI564&gt;0,AprCoef/SQRT(AI564),0)</f>
        <v>0</v>
      </c>
      <c r="AK564" s="24" t="n">
        <f aca="false">AI564*AJ564/365</f>
        <v>0</v>
      </c>
      <c r="AL564" s="24" t="n">
        <f aca="false">AD564</f>
        <v>0</v>
      </c>
      <c r="AM564" s="24" t="n">
        <f aca="false">AK564-AL564</f>
        <v>0</v>
      </c>
      <c r="AN564" s="28" t="str">
        <f aca="false">IF(A564&gt;=Hip3LaunchDate,"YES","")</f>
        <v/>
      </c>
      <c r="AO564" s="28" t="str">
        <f aca="false">IF(A564&lt;Hip4LaunchDate,"pre-launch","live (zero-fee)")</f>
        <v>pre-launch</v>
      </c>
      <c r="AP564" s="20"/>
      <c r="AQ564" s="20"/>
      <c r="AR564" s="20"/>
    </row>
    <row r="565" customFormat="false" ht="15" hidden="false" customHeight="false" outlineLevel="0" collapsed="false">
      <c r="A565" s="18" t="n">
        <v>45626</v>
      </c>
      <c r="B565" s="19" t="n">
        <v>1927839626.83</v>
      </c>
      <c r="C565" s="19" t="n">
        <v>0</v>
      </c>
      <c r="D565" s="19" t="n">
        <v>460835741</v>
      </c>
      <c r="E565" s="21" t="n">
        <f aca="false">B565+C565</f>
        <v>1927839626.83</v>
      </c>
      <c r="F565" s="21" t="n">
        <f aca="false">E565+D565</f>
        <v>2388675367.83</v>
      </c>
      <c r="G565" s="22" t="n">
        <f aca="false">IFERROR(C565/E565,0)</f>
        <v>0</v>
      </c>
      <c r="H565" s="20"/>
      <c r="I565" s="20"/>
      <c r="J565" s="20"/>
      <c r="K565" s="21" t="n">
        <f aca="false">H565+I565</f>
        <v>0</v>
      </c>
      <c r="L565" s="20"/>
      <c r="M565" s="21" t="n">
        <f aca="false">H565-L565</f>
        <v>0</v>
      </c>
      <c r="N565" s="23" t="n">
        <f aca="false">IFERROR(M565/B565*10000,0)</f>
        <v>0</v>
      </c>
      <c r="O565" s="20"/>
      <c r="P565" s="20"/>
      <c r="Q565" s="21" t="n">
        <f aca="false">O565+P565</f>
        <v>0</v>
      </c>
      <c r="R565" s="22" t="n">
        <f aca="false">IF(A565&lt;HlpChangeDate,HlpSharePre,HlpSharePost)</f>
        <v>0.03</v>
      </c>
      <c r="S565" s="21" t="n">
        <f aca="false">Q565*R565/(1-R565)</f>
        <v>0</v>
      </c>
      <c r="T565" s="20"/>
      <c r="U565" s="21" t="n">
        <f aca="false">S565-T565</f>
        <v>0</v>
      </c>
      <c r="V565" s="21" t="n">
        <f aca="false">Y565-O565*R565/(1-R565)</f>
        <v>0</v>
      </c>
      <c r="W565" s="21" t="n">
        <f aca="false">Z565-P565*R565/(1-R565)</f>
        <v>0</v>
      </c>
      <c r="X565" s="21" t="n">
        <f aca="false">S565+V565+W565</f>
        <v>0</v>
      </c>
      <c r="Y565" s="20"/>
      <c r="Z565" s="20"/>
      <c r="AA565" s="19" t="n">
        <v>0</v>
      </c>
      <c r="AB565" s="29" t="n">
        <v>8.4985</v>
      </c>
      <c r="AC565" s="29" t="n">
        <v>7.454675</v>
      </c>
      <c r="AD565" s="24" t="n">
        <f aca="false">IFERROR(AA565/AC565,0)</f>
        <v>0</v>
      </c>
      <c r="AE565" s="25" t="n">
        <f aca="false">K565-Q565-X565</f>
        <v>0</v>
      </c>
      <c r="AF565" s="25" t="n">
        <f aca="false">Q565-AA565</f>
        <v>0</v>
      </c>
      <c r="AG565" s="20"/>
      <c r="AH565" s="26" t="n">
        <f aca="false">IFERROR(AG565/Q565,0)</f>
        <v>0</v>
      </c>
      <c r="AI565" s="27" t="n">
        <v>0</v>
      </c>
      <c r="AJ565" s="26" t="n">
        <f aca="false">IF(AI565&gt;0,AprCoef/SQRT(AI565),0)</f>
        <v>0</v>
      </c>
      <c r="AK565" s="24" t="n">
        <f aca="false">AI565*AJ565/365</f>
        <v>0</v>
      </c>
      <c r="AL565" s="24" t="n">
        <f aca="false">AD565</f>
        <v>0</v>
      </c>
      <c r="AM565" s="24" t="n">
        <f aca="false">AK565-AL565</f>
        <v>0</v>
      </c>
      <c r="AN565" s="28" t="str">
        <f aca="false">IF(A565&gt;=Hip3LaunchDate,"YES","")</f>
        <v/>
      </c>
      <c r="AO565" s="28" t="str">
        <f aca="false">IF(A565&lt;Hip4LaunchDate,"pre-launch","live (zero-fee)")</f>
        <v>pre-launch</v>
      </c>
      <c r="AP565" s="20"/>
      <c r="AQ565" s="20"/>
      <c r="AR565" s="20"/>
    </row>
    <row r="566" customFormat="false" ht="15" hidden="false" customHeight="false" outlineLevel="0" collapsed="false">
      <c r="A566" s="18" t="n">
        <v>45627</v>
      </c>
      <c r="B566" s="19" t="n">
        <v>2230952304.39</v>
      </c>
      <c r="C566" s="19" t="n">
        <v>0</v>
      </c>
      <c r="D566" s="19" t="n">
        <v>382137710</v>
      </c>
      <c r="E566" s="21" t="n">
        <f aca="false">B566+C566</f>
        <v>2230952304.39</v>
      </c>
      <c r="F566" s="21" t="n">
        <f aca="false">E566+D566</f>
        <v>2613090014.39</v>
      </c>
      <c r="G566" s="22" t="n">
        <f aca="false">IFERROR(C566/E566,0)</f>
        <v>0</v>
      </c>
      <c r="H566" s="20"/>
      <c r="I566" s="20"/>
      <c r="J566" s="20"/>
      <c r="K566" s="21" t="n">
        <f aca="false">H566+I566</f>
        <v>0</v>
      </c>
      <c r="L566" s="20"/>
      <c r="M566" s="21" t="n">
        <f aca="false">H566-L566</f>
        <v>0</v>
      </c>
      <c r="N566" s="23" t="n">
        <f aca="false">IFERROR(M566/B566*10000,0)</f>
        <v>0</v>
      </c>
      <c r="O566" s="20"/>
      <c r="P566" s="20"/>
      <c r="Q566" s="21" t="n">
        <f aca="false">O566+P566</f>
        <v>0</v>
      </c>
      <c r="R566" s="22" t="n">
        <f aca="false">IF(A566&lt;HlpChangeDate,HlpSharePre,HlpSharePost)</f>
        <v>0.03</v>
      </c>
      <c r="S566" s="21" t="n">
        <f aca="false">Q566*R566/(1-R566)</f>
        <v>0</v>
      </c>
      <c r="T566" s="20"/>
      <c r="U566" s="21" t="n">
        <f aca="false">S566-T566</f>
        <v>0</v>
      </c>
      <c r="V566" s="21" t="n">
        <f aca="false">Y566-O566*R566/(1-R566)</f>
        <v>0</v>
      </c>
      <c r="W566" s="21" t="n">
        <f aca="false">Z566-P566*R566/(1-R566)</f>
        <v>0</v>
      </c>
      <c r="X566" s="21" t="n">
        <f aca="false">S566+V566+W566</f>
        <v>0</v>
      </c>
      <c r="Y566" s="20"/>
      <c r="Z566" s="20"/>
      <c r="AA566" s="19" t="n">
        <v>0</v>
      </c>
      <c r="AB566" s="29" t="n">
        <v>9.4686</v>
      </c>
      <c r="AC566" s="29" t="n">
        <v>8.98335</v>
      </c>
      <c r="AD566" s="24" t="n">
        <f aca="false">IFERROR(AA566/AC566,0)</f>
        <v>0</v>
      </c>
      <c r="AE566" s="25" t="n">
        <f aca="false">K566-Q566-X566</f>
        <v>0</v>
      </c>
      <c r="AF566" s="25" t="n">
        <f aca="false">Q566-AA566</f>
        <v>0</v>
      </c>
      <c r="AG566" s="20"/>
      <c r="AH566" s="26" t="n">
        <f aca="false">IFERROR(AG566/Q566,0)</f>
        <v>0</v>
      </c>
      <c r="AI566" s="27" t="n">
        <v>0</v>
      </c>
      <c r="AJ566" s="26" t="n">
        <f aca="false">IF(AI566&gt;0,AprCoef/SQRT(AI566),0)</f>
        <v>0</v>
      </c>
      <c r="AK566" s="24" t="n">
        <f aca="false">AI566*AJ566/365</f>
        <v>0</v>
      </c>
      <c r="AL566" s="24" t="n">
        <f aca="false">AD566</f>
        <v>0</v>
      </c>
      <c r="AM566" s="24" t="n">
        <f aca="false">AK566-AL566</f>
        <v>0</v>
      </c>
      <c r="AN566" s="28" t="str">
        <f aca="false">IF(A566&gt;=Hip3LaunchDate,"YES","")</f>
        <v/>
      </c>
      <c r="AO566" s="28" t="str">
        <f aca="false">IF(A566&lt;Hip4LaunchDate,"pre-launch","live (zero-fee)")</f>
        <v>pre-launch</v>
      </c>
      <c r="AP566" s="20"/>
      <c r="AQ566" s="20"/>
      <c r="AR566" s="20"/>
    </row>
    <row r="567" customFormat="false" ht="15" hidden="false" customHeight="false" outlineLevel="0" collapsed="false">
      <c r="A567" s="18" t="n">
        <v>45628</v>
      </c>
      <c r="B567" s="19" t="n">
        <v>5333125840.96</v>
      </c>
      <c r="C567" s="19" t="n">
        <v>0</v>
      </c>
      <c r="D567" s="19" t="n">
        <v>320571512</v>
      </c>
      <c r="E567" s="21" t="n">
        <f aca="false">B567+C567</f>
        <v>5333125840.96</v>
      </c>
      <c r="F567" s="21" t="n">
        <f aca="false">E567+D567</f>
        <v>5653697352.96</v>
      </c>
      <c r="G567" s="22" t="n">
        <f aca="false">IFERROR(C567/E567,0)</f>
        <v>0</v>
      </c>
      <c r="H567" s="20"/>
      <c r="I567" s="20"/>
      <c r="J567" s="20"/>
      <c r="K567" s="21" t="n">
        <f aca="false">H567+I567</f>
        <v>0</v>
      </c>
      <c r="L567" s="20"/>
      <c r="M567" s="21" t="n">
        <f aca="false">H567-L567</f>
        <v>0</v>
      </c>
      <c r="N567" s="23" t="n">
        <f aca="false">IFERROR(M567/B567*10000,0)</f>
        <v>0</v>
      </c>
      <c r="O567" s="20"/>
      <c r="P567" s="20"/>
      <c r="Q567" s="21" t="n">
        <f aca="false">O567+P567</f>
        <v>0</v>
      </c>
      <c r="R567" s="22" t="n">
        <f aca="false">IF(A567&lt;HlpChangeDate,HlpSharePre,HlpSharePost)</f>
        <v>0.03</v>
      </c>
      <c r="S567" s="21" t="n">
        <f aca="false">Q567*R567/(1-R567)</f>
        <v>0</v>
      </c>
      <c r="T567" s="20"/>
      <c r="U567" s="21" t="n">
        <f aca="false">S567-T567</f>
        <v>0</v>
      </c>
      <c r="V567" s="21" t="n">
        <f aca="false">Y567-O567*R567/(1-R567)</f>
        <v>0</v>
      </c>
      <c r="W567" s="21" t="n">
        <f aca="false">Z567-P567*R567/(1-R567)</f>
        <v>0</v>
      </c>
      <c r="X567" s="21" t="n">
        <f aca="false">S567+V567+W567</f>
        <v>0</v>
      </c>
      <c r="Y567" s="20"/>
      <c r="Z567" s="20"/>
      <c r="AA567" s="19" t="n">
        <v>0</v>
      </c>
      <c r="AB567" s="29" t="n">
        <v>8.4277</v>
      </c>
      <c r="AC567" s="29" t="n">
        <v>8.68185</v>
      </c>
      <c r="AD567" s="24" t="n">
        <f aca="false">IFERROR(AA567/AC567,0)</f>
        <v>0</v>
      </c>
      <c r="AE567" s="25" t="n">
        <f aca="false">K567-Q567-X567</f>
        <v>0</v>
      </c>
      <c r="AF567" s="25" t="n">
        <f aca="false">Q567-AA567</f>
        <v>0</v>
      </c>
      <c r="AG567" s="19" t="n">
        <v>2313969.68009</v>
      </c>
      <c r="AH567" s="26" t="n">
        <f aca="false">IFERROR(AG567/Q567,0)</f>
        <v>0</v>
      </c>
      <c r="AI567" s="27" t="n">
        <v>0</v>
      </c>
      <c r="AJ567" s="26" t="n">
        <f aca="false">IF(AI567&gt;0,AprCoef/SQRT(AI567),0)</f>
        <v>0</v>
      </c>
      <c r="AK567" s="24" t="n">
        <f aca="false">AI567*AJ567/365</f>
        <v>0</v>
      </c>
      <c r="AL567" s="24" t="n">
        <f aca="false">AD567</f>
        <v>0</v>
      </c>
      <c r="AM567" s="24" t="n">
        <f aca="false">AK567-AL567</f>
        <v>0</v>
      </c>
      <c r="AN567" s="28" t="str">
        <f aca="false">IF(A567&gt;=Hip3LaunchDate,"YES","")</f>
        <v/>
      </c>
      <c r="AO567" s="28" t="str">
        <f aca="false">IF(A567&lt;Hip4LaunchDate,"pre-launch","live (zero-fee)")</f>
        <v>pre-launch</v>
      </c>
      <c r="AP567" s="20"/>
      <c r="AQ567" s="20"/>
      <c r="AR567" s="20"/>
    </row>
    <row r="568" customFormat="false" ht="15" hidden="false" customHeight="false" outlineLevel="0" collapsed="false">
      <c r="A568" s="18" t="n">
        <v>45629</v>
      </c>
      <c r="B568" s="19" t="n">
        <v>4881981857.21</v>
      </c>
      <c r="C568" s="19" t="n">
        <v>0</v>
      </c>
      <c r="D568" s="19" t="n">
        <v>302890343</v>
      </c>
      <c r="E568" s="21" t="n">
        <f aca="false">B568+C568</f>
        <v>4881981857.21</v>
      </c>
      <c r="F568" s="21" t="n">
        <f aca="false">E568+D568</f>
        <v>5184872200.21</v>
      </c>
      <c r="G568" s="22" t="n">
        <f aca="false">IFERROR(C568/E568,0)</f>
        <v>0</v>
      </c>
      <c r="H568" s="20"/>
      <c r="I568" s="20"/>
      <c r="J568" s="20"/>
      <c r="K568" s="21" t="n">
        <f aca="false">H568+I568</f>
        <v>0</v>
      </c>
      <c r="L568" s="20"/>
      <c r="M568" s="21" t="n">
        <f aca="false">H568-L568</f>
        <v>0</v>
      </c>
      <c r="N568" s="23" t="n">
        <f aca="false">IFERROR(M568/B568*10000,0)</f>
        <v>0</v>
      </c>
      <c r="O568" s="20"/>
      <c r="P568" s="20"/>
      <c r="Q568" s="21" t="n">
        <f aca="false">O568+P568</f>
        <v>0</v>
      </c>
      <c r="R568" s="22" t="n">
        <f aca="false">IF(A568&lt;HlpChangeDate,HlpSharePre,HlpSharePost)</f>
        <v>0.03</v>
      </c>
      <c r="S568" s="21" t="n">
        <f aca="false">Q568*R568/(1-R568)</f>
        <v>0</v>
      </c>
      <c r="T568" s="20"/>
      <c r="U568" s="21" t="n">
        <f aca="false">S568-T568</f>
        <v>0</v>
      </c>
      <c r="V568" s="21" t="n">
        <f aca="false">Y568-O568*R568/(1-R568)</f>
        <v>0</v>
      </c>
      <c r="W568" s="21" t="n">
        <f aca="false">Z568-P568*R568/(1-R568)</f>
        <v>0</v>
      </c>
      <c r="X568" s="21" t="n">
        <f aca="false">S568+V568+W568</f>
        <v>0</v>
      </c>
      <c r="Y568" s="20"/>
      <c r="Z568" s="20"/>
      <c r="AA568" s="19" t="n">
        <v>0</v>
      </c>
      <c r="AB568" s="29" t="n">
        <v>11.082</v>
      </c>
      <c r="AC568" s="29" t="n">
        <v>9.76005</v>
      </c>
      <c r="AD568" s="24" t="n">
        <f aca="false">IFERROR(AA568/AC568,0)</f>
        <v>0</v>
      </c>
      <c r="AE568" s="25" t="n">
        <f aca="false">K568-Q568-X568</f>
        <v>0</v>
      </c>
      <c r="AF568" s="25" t="n">
        <f aca="false">Q568-AA568</f>
        <v>0</v>
      </c>
      <c r="AG568" s="20"/>
      <c r="AH568" s="26" t="n">
        <f aca="false">IFERROR(AG568/Q568,0)</f>
        <v>0</v>
      </c>
      <c r="AI568" s="27" t="n">
        <v>0</v>
      </c>
      <c r="AJ568" s="26" t="n">
        <f aca="false">IF(AI568&gt;0,AprCoef/SQRT(AI568),0)</f>
        <v>0</v>
      </c>
      <c r="AK568" s="24" t="n">
        <f aca="false">AI568*AJ568/365</f>
        <v>0</v>
      </c>
      <c r="AL568" s="24" t="n">
        <f aca="false">AD568</f>
        <v>0</v>
      </c>
      <c r="AM568" s="24" t="n">
        <f aca="false">AK568-AL568</f>
        <v>0</v>
      </c>
      <c r="AN568" s="28" t="str">
        <f aca="false">IF(A568&gt;=Hip3LaunchDate,"YES","")</f>
        <v/>
      </c>
      <c r="AO568" s="28" t="str">
        <f aca="false">IF(A568&lt;Hip4LaunchDate,"pre-launch","live (zero-fee)")</f>
        <v>pre-launch</v>
      </c>
      <c r="AP568" s="20"/>
      <c r="AQ568" s="20"/>
      <c r="AR568" s="20"/>
    </row>
    <row r="569" customFormat="false" ht="15" hidden="false" customHeight="false" outlineLevel="0" collapsed="false">
      <c r="A569" s="18" t="n">
        <v>45630</v>
      </c>
      <c r="B569" s="19" t="n">
        <v>6225918535.26</v>
      </c>
      <c r="C569" s="19" t="n">
        <v>0</v>
      </c>
      <c r="D569" s="19" t="n">
        <v>318696984</v>
      </c>
      <c r="E569" s="21" t="n">
        <f aca="false">B569+C569</f>
        <v>6225918535.26</v>
      </c>
      <c r="F569" s="21" t="n">
        <f aca="false">E569+D569</f>
        <v>6544615519.26</v>
      </c>
      <c r="G569" s="22" t="n">
        <f aca="false">IFERROR(C569/E569,0)</f>
        <v>0</v>
      </c>
      <c r="H569" s="20"/>
      <c r="I569" s="20"/>
      <c r="J569" s="20"/>
      <c r="K569" s="21" t="n">
        <f aca="false">H569+I569</f>
        <v>0</v>
      </c>
      <c r="L569" s="20"/>
      <c r="M569" s="21" t="n">
        <f aca="false">H569-L569</f>
        <v>0</v>
      </c>
      <c r="N569" s="23" t="n">
        <f aca="false">IFERROR(M569/B569*10000,0)</f>
        <v>0</v>
      </c>
      <c r="O569" s="20"/>
      <c r="P569" s="20"/>
      <c r="Q569" s="21" t="n">
        <f aca="false">O569+P569</f>
        <v>0</v>
      </c>
      <c r="R569" s="22" t="n">
        <f aca="false">IF(A569&lt;HlpChangeDate,HlpSharePre,HlpSharePost)</f>
        <v>0.03</v>
      </c>
      <c r="S569" s="21" t="n">
        <f aca="false">Q569*R569/(1-R569)</f>
        <v>0</v>
      </c>
      <c r="T569" s="20"/>
      <c r="U569" s="21" t="n">
        <f aca="false">S569-T569</f>
        <v>0</v>
      </c>
      <c r="V569" s="21" t="n">
        <f aca="false">Y569-O569*R569/(1-R569)</f>
        <v>0</v>
      </c>
      <c r="W569" s="21" t="n">
        <f aca="false">Z569-P569*R569/(1-R569)</f>
        <v>0</v>
      </c>
      <c r="X569" s="21" t="n">
        <f aca="false">S569+V569+W569</f>
        <v>0</v>
      </c>
      <c r="Y569" s="20"/>
      <c r="Z569" s="20"/>
      <c r="AA569" s="19" t="n">
        <v>0</v>
      </c>
      <c r="AB569" s="29" t="n">
        <v>11.403</v>
      </c>
      <c r="AC569" s="29" t="n">
        <v>11.6015</v>
      </c>
      <c r="AD569" s="24" t="n">
        <f aca="false">IFERROR(AA569/AC569,0)</f>
        <v>0</v>
      </c>
      <c r="AE569" s="25" t="n">
        <f aca="false">K569-Q569-X569</f>
        <v>0</v>
      </c>
      <c r="AF569" s="25" t="n">
        <f aca="false">Q569-AA569</f>
        <v>0</v>
      </c>
      <c r="AG569" s="20"/>
      <c r="AH569" s="26" t="n">
        <f aca="false">IFERROR(AG569/Q569,0)</f>
        <v>0</v>
      </c>
      <c r="AI569" s="27" t="n">
        <v>0</v>
      </c>
      <c r="AJ569" s="26" t="n">
        <f aca="false">IF(AI569&gt;0,AprCoef/SQRT(AI569),0)</f>
        <v>0</v>
      </c>
      <c r="AK569" s="24" t="n">
        <f aca="false">AI569*AJ569/365</f>
        <v>0</v>
      </c>
      <c r="AL569" s="24" t="n">
        <f aca="false">AD569</f>
        <v>0</v>
      </c>
      <c r="AM569" s="24" t="n">
        <f aca="false">AK569-AL569</f>
        <v>0</v>
      </c>
      <c r="AN569" s="28" t="str">
        <f aca="false">IF(A569&gt;=Hip3LaunchDate,"YES","")</f>
        <v/>
      </c>
      <c r="AO569" s="28" t="str">
        <f aca="false">IF(A569&lt;Hip4LaunchDate,"pre-launch","live (zero-fee)")</f>
        <v>pre-launch</v>
      </c>
      <c r="AP569" s="20"/>
      <c r="AQ569" s="20"/>
      <c r="AR569" s="20"/>
    </row>
    <row r="570" customFormat="false" ht="15" hidden="false" customHeight="false" outlineLevel="0" collapsed="false">
      <c r="A570" s="18" t="n">
        <v>45631</v>
      </c>
      <c r="B570" s="19" t="n">
        <v>9789562819.47</v>
      </c>
      <c r="C570" s="19" t="n">
        <v>0</v>
      </c>
      <c r="D570" s="19" t="n">
        <v>323114172</v>
      </c>
      <c r="E570" s="21" t="n">
        <f aca="false">B570+C570</f>
        <v>9789562819.47</v>
      </c>
      <c r="F570" s="21" t="n">
        <f aca="false">E570+D570</f>
        <v>10112676991.47</v>
      </c>
      <c r="G570" s="22" t="n">
        <f aca="false">IFERROR(C570/E570,0)</f>
        <v>0</v>
      </c>
      <c r="H570" s="20"/>
      <c r="I570" s="20"/>
      <c r="J570" s="20"/>
      <c r="K570" s="21" t="n">
        <f aca="false">H570+I570</f>
        <v>0</v>
      </c>
      <c r="L570" s="20"/>
      <c r="M570" s="21" t="n">
        <f aca="false">H570-L570</f>
        <v>0</v>
      </c>
      <c r="N570" s="23" t="n">
        <f aca="false">IFERROR(M570/B570*10000,0)</f>
        <v>0</v>
      </c>
      <c r="O570" s="20"/>
      <c r="P570" s="20"/>
      <c r="Q570" s="21" t="n">
        <f aca="false">O570+P570</f>
        <v>0</v>
      </c>
      <c r="R570" s="22" t="n">
        <f aca="false">IF(A570&lt;HlpChangeDate,HlpSharePre,HlpSharePost)</f>
        <v>0.03</v>
      </c>
      <c r="S570" s="21" t="n">
        <f aca="false">Q570*R570/(1-R570)</f>
        <v>0</v>
      </c>
      <c r="T570" s="20"/>
      <c r="U570" s="21" t="n">
        <f aca="false">S570-T570</f>
        <v>0</v>
      </c>
      <c r="V570" s="21" t="n">
        <f aca="false">Y570-O570*R570/(1-R570)</f>
        <v>0</v>
      </c>
      <c r="W570" s="21" t="n">
        <f aca="false">Z570-P570*R570/(1-R570)</f>
        <v>0</v>
      </c>
      <c r="X570" s="21" t="n">
        <f aca="false">S570+V570+W570</f>
        <v>0</v>
      </c>
      <c r="Y570" s="20"/>
      <c r="Z570" s="20"/>
      <c r="AA570" s="19" t="n">
        <v>0</v>
      </c>
      <c r="AB570" s="29" t="n">
        <v>12.71</v>
      </c>
      <c r="AC570" s="29" t="n">
        <v>12.115</v>
      </c>
      <c r="AD570" s="24" t="n">
        <f aca="false">IFERROR(AA570/AC570,0)</f>
        <v>0</v>
      </c>
      <c r="AE570" s="25" t="n">
        <f aca="false">K570-Q570-X570</f>
        <v>0</v>
      </c>
      <c r="AF570" s="25" t="n">
        <f aca="false">Q570-AA570</f>
        <v>0</v>
      </c>
      <c r="AG570" s="20"/>
      <c r="AH570" s="26" t="n">
        <f aca="false">IFERROR(AG570/Q570,0)</f>
        <v>0</v>
      </c>
      <c r="AI570" s="27" t="n">
        <v>0</v>
      </c>
      <c r="AJ570" s="26" t="n">
        <f aca="false">IF(AI570&gt;0,AprCoef/SQRT(AI570),0)</f>
        <v>0</v>
      </c>
      <c r="AK570" s="24" t="n">
        <f aca="false">AI570*AJ570/365</f>
        <v>0</v>
      </c>
      <c r="AL570" s="24" t="n">
        <f aca="false">AD570</f>
        <v>0</v>
      </c>
      <c r="AM570" s="24" t="n">
        <f aca="false">AK570-AL570</f>
        <v>0</v>
      </c>
      <c r="AN570" s="28" t="str">
        <f aca="false">IF(A570&gt;=Hip3LaunchDate,"YES","")</f>
        <v/>
      </c>
      <c r="AO570" s="28" t="str">
        <f aca="false">IF(A570&lt;Hip4LaunchDate,"pre-launch","live (zero-fee)")</f>
        <v>pre-launch</v>
      </c>
      <c r="AP570" s="20"/>
      <c r="AQ570" s="20"/>
      <c r="AR570" s="20"/>
    </row>
    <row r="571" customFormat="false" ht="15" hidden="false" customHeight="false" outlineLevel="0" collapsed="false">
      <c r="A571" s="18" t="n">
        <v>45632</v>
      </c>
      <c r="B571" s="19" t="n">
        <v>7811474439.54</v>
      </c>
      <c r="C571" s="19" t="n">
        <v>0</v>
      </c>
      <c r="D571" s="19" t="n">
        <v>218646771</v>
      </c>
      <c r="E571" s="21" t="n">
        <f aca="false">B571+C571</f>
        <v>7811474439.54</v>
      </c>
      <c r="F571" s="21" t="n">
        <f aca="false">E571+D571</f>
        <v>8030121210.54</v>
      </c>
      <c r="G571" s="22" t="n">
        <f aca="false">IFERROR(C571/E571,0)</f>
        <v>0</v>
      </c>
      <c r="H571" s="20"/>
      <c r="I571" s="20"/>
      <c r="J571" s="20"/>
      <c r="K571" s="21" t="n">
        <f aca="false">H571+I571</f>
        <v>0</v>
      </c>
      <c r="L571" s="20"/>
      <c r="M571" s="21" t="n">
        <f aca="false">H571-L571</f>
        <v>0</v>
      </c>
      <c r="N571" s="23" t="n">
        <f aca="false">IFERROR(M571/B571*10000,0)</f>
        <v>0</v>
      </c>
      <c r="O571" s="20"/>
      <c r="P571" s="20"/>
      <c r="Q571" s="21" t="n">
        <f aca="false">O571+P571</f>
        <v>0</v>
      </c>
      <c r="R571" s="22" t="n">
        <f aca="false">IF(A571&lt;HlpChangeDate,HlpSharePre,HlpSharePost)</f>
        <v>0.03</v>
      </c>
      <c r="S571" s="21" t="n">
        <f aca="false">Q571*R571/(1-R571)</f>
        <v>0</v>
      </c>
      <c r="T571" s="20"/>
      <c r="U571" s="21" t="n">
        <f aca="false">S571-T571</f>
        <v>0</v>
      </c>
      <c r="V571" s="21" t="n">
        <f aca="false">Y571-O571*R571/(1-R571)</f>
        <v>0</v>
      </c>
      <c r="W571" s="21" t="n">
        <f aca="false">Z571-P571*R571/(1-R571)</f>
        <v>0</v>
      </c>
      <c r="X571" s="21" t="n">
        <f aca="false">S571+V571+W571</f>
        <v>0</v>
      </c>
      <c r="Y571" s="20"/>
      <c r="Z571" s="20"/>
      <c r="AA571" s="19" t="n">
        <v>0</v>
      </c>
      <c r="AB571" s="29" t="n">
        <v>13.829</v>
      </c>
      <c r="AC571" s="29" t="n">
        <v>13.2985</v>
      </c>
      <c r="AD571" s="24" t="n">
        <f aca="false">IFERROR(AA571/AC571,0)</f>
        <v>0</v>
      </c>
      <c r="AE571" s="25" t="n">
        <f aca="false">K571-Q571-X571</f>
        <v>0</v>
      </c>
      <c r="AF571" s="25" t="n">
        <f aca="false">Q571-AA571</f>
        <v>0</v>
      </c>
      <c r="AG571" s="20"/>
      <c r="AH571" s="26" t="n">
        <f aca="false">IFERROR(AG571/Q571,0)</f>
        <v>0</v>
      </c>
      <c r="AI571" s="27" t="n">
        <v>0</v>
      </c>
      <c r="AJ571" s="26" t="n">
        <f aca="false">IF(AI571&gt;0,AprCoef/SQRT(AI571),0)</f>
        <v>0</v>
      </c>
      <c r="AK571" s="24" t="n">
        <f aca="false">AI571*AJ571/365</f>
        <v>0</v>
      </c>
      <c r="AL571" s="24" t="n">
        <f aca="false">AD571</f>
        <v>0</v>
      </c>
      <c r="AM571" s="24" t="n">
        <f aca="false">AK571-AL571</f>
        <v>0</v>
      </c>
      <c r="AN571" s="28" t="str">
        <f aca="false">IF(A571&gt;=Hip3LaunchDate,"YES","")</f>
        <v/>
      </c>
      <c r="AO571" s="28" t="str">
        <f aca="false">IF(A571&lt;Hip4LaunchDate,"pre-launch","live (zero-fee)")</f>
        <v>pre-launch</v>
      </c>
      <c r="AP571" s="20"/>
      <c r="AQ571" s="20"/>
      <c r="AR571" s="20"/>
    </row>
    <row r="572" customFormat="false" ht="15" hidden="false" customHeight="false" outlineLevel="0" collapsed="false">
      <c r="A572" s="18" t="n">
        <v>45633</v>
      </c>
      <c r="B572" s="19" t="n">
        <v>2862437941.1</v>
      </c>
      <c r="C572" s="19" t="n">
        <v>0</v>
      </c>
      <c r="D572" s="19" t="n">
        <v>182104753</v>
      </c>
      <c r="E572" s="21" t="n">
        <f aca="false">B572+C572</f>
        <v>2862437941.1</v>
      </c>
      <c r="F572" s="21" t="n">
        <f aca="false">E572+D572</f>
        <v>3044542694.1</v>
      </c>
      <c r="G572" s="22" t="n">
        <f aca="false">IFERROR(C572/E572,0)</f>
        <v>0</v>
      </c>
      <c r="H572" s="20"/>
      <c r="I572" s="20"/>
      <c r="J572" s="20"/>
      <c r="K572" s="21" t="n">
        <f aca="false">H572+I572</f>
        <v>0</v>
      </c>
      <c r="L572" s="20"/>
      <c r="M572" s="21" t="n">
        <f aca="false">H572-L572</f>
        <v>0</v>
      </c>
      <c r="N572" s="23" t="n">
        <f aca="false">IFERROR(M572/B572*10000,0)</f>
        <v>0</v>
      </c>
      <c r="O572" s="20"/>
      <c r="P572" s="20"/>
      <c r="Q572" s="21" t="n">
        <f aca="false">O572+P572</f>
        <v>0</v>
      </c>
      <c r="R572" s="22" t="n">
        <f aca="false">IF(A572&lt;HlpChangeDate,HlpSharePre,HlpSharePost)</f>
        <v>0.03</v>
      </c>
      <c r="S572" s="21" t="n">
        <f aca="false">Q572*R572/(1-R572)</f>
        <v>0</v>
      </c>
      <c r="T572" s="20"/>
      <c r="U572" s="21" t="n">
        <f aca="false">S572-T572</f>
        <v>0</v>
      </c>
      <c r="V572" s="21" t="n">
        <f aca="false">Y572-O572*R572/(1-R572)</f>
        <v>0</v>
      </c>
      <c r="W572" s="21" t="n">
        <f aca="false">Z572-P572*R572/(1-R572)</f>
        <v>0</v>
      </c>
      <c r="X572" s="21" t="n">
        <f aca="false">S572+V572+W572</f>
        <v>0</v>
      </c>
      <c r="Y572" s="20"/>
      <c r="Z572" s="20"/>
      <c r="AA572" s="19" t="n">
        <v>0</v>
      </c>
      <c r="AB572" s="29" t="n">
        <v>14.117</v>
      </c>
      <c r="AC572" s="29" t="n">
        <v>14.1115</v>
      </c>
      <c r="AD572" s="24" t="n">
        <f aca="false">IFERROR(AA572/AC572,0)</f>
        <v>0</v>
      </c>
      <c r="AE572" s="25" t="n">
        <f aca="false">K572-Q572-X572</f>
        <v>0</v>
      </c>
      <c r="AF572" s="25" t="n">
        <f aca="false">Q572-AA572</f>
        <v>0</v>
      </c>
      <c r="AG572" s="20"/>
      <c r="AH572" s="26" t="n">
        <f aca="false">IFERROR(AG572/Q572,0)</f>
        <v>0</v>
      </c>
      <c r="AI572" s="27" t="n">
        <v>0</v>
      </c>
      <c r="AJ572" s="26" t="n">
        <f aca="false">IF(AI572&gt;0,AprCoef/SQRT(AI572),0)</f>
        <v>0</v>
      </c>
      <c r="AK572" s="24" t="n">
        <f aca="false">AI572*AJ572/365</f>
        <v>0</v>
      </c>
      <c r="AL572" s="24" t="n">
        <f aca="false">AD572</f>
        <v>0</v>
      </c>
      <c r="AM572" s="24" t="n">
        <f aca="false">AK572-AL572</f>
        <v>0</v>
      </c>
      <c r="AN572" s="28" t="str">
        <f aca="false">IF(A572&gt;=Hip3LaunchDate,"YES","")</f>
        <v/>
      </c>
      <c r="AO572" s="28" t="str">
        <f aca="false">IF(A572&lt;Hip4LaunchDate,"pre-launch","live (zero-fee)")</f>
        <v>pre-launch</v>
      </c>
      <c r="AP572" s="20"/>
      <c r="AQ572" s="20"/>
      <c r="AR572" s="20"/>
    </row>
    <row r="573" customFormat="false" ht="15" hidden="false" customHeight="false" outlineLevel="0" collapsed="false">
      <c r="A573" s="18" t="n">
        <v>45634</v>
      </c>
      <c r="B573" s="19" t="n">
        <v>3252798817.79</v>
      </c>
      <c r="C573" s="19" t="n">
        <v>0</v>
      </c>
      <c r="D573" s="19" t="n">
        <v>136064768</v>
      </c>
      <c r="E573" s="21" t="n">
        <f aca="false">B573+C573</f>
        <v>3252798817.79</v>
      </c>
      <c r="F573" s="21" t="n">
        <f aca="false">E573+D573</f>
        <v>3388863585.79</v>
      </c>
      <c r="G573" s="22" t="n">
        <f aca="false">IFERROR(C573/E573,0)</f>
        <v>0</v>
      </c>
      <c r="H573" s="20"/>
      <c r="I573" s="20"/>
      <c r="J573" s="20"/>
      <c r="K573" s="21" t="n">
        <f aca="false">H573+I573</f>
        <v>0</v>
      </c>
      <c r="L573" s="20"/>
      <c r="M573" s="21" t="n">
        <f aca="false">H573-L573</f>
        <v>0</v>
      </c>
      <c r="N573" s="23" t="n">
        <f aca="false">IFERROR(M573/B573*10000,0)</f>
        <v>0</v>
      </c>
      <c r="O573" s="20"/>
      <c r="P573" s="20"/>
      <c r="Q573" s="21" t="n">
        <f aca="false">O573+P573</f>
        <v>0</v>
      </c>
      <c r="R573" s="22" t="n">
        <f aca="false">IF(A573&lt;HlpChangeDate,HlpSharePre,HlpSharePost)</f>
        <v>0.03</v>
      </c>
      <c r="S573" s="21" t="n">
        <f aca="false">Q573*R573/(1-R573)</f>
        <v>0</v>
      </c>
      <c r="T573" s="20"/>
      <c r="U573" s="21" t="n">
        <f aca="false">S573-T573</f>
        <v>0</v>
      </c>
      <c r="V573" s="21" t="n">
        <f aca="false">Y573-O573*R573/(1-R573)</f>
        <v>0</v>
      </c>
      <c r="W573" s="21" t="n">
        <f aca="false">Z573-P573*R573/(1-R573)</f>
        <v>0</v>
      </c>
      <c r="X573" s="21" t="n">
        <f aca="false">S573+V573+W573</f>
        <v>0</v>
      </c>
      <c r="Y573" s="20"/>
      <c r="Z573" s="20"/>
      <c r="AA573" s="19" t="n">
        <v>0</v>
      </c>
      <c r="AB573" s="29" t="n">
        <v>14.02</v>
      </c>
      <c r="AC573" s="29" t="n">
        <v>14.07775</v>
      </c>
      <c r="AD573" s="24" t="n">
        <f aca="false">IFERROR(AA573/AC573,0)</f>
        <v>0</v>
      </c>
      <c r="AE573" s="25" t="n">
        <f aca="false">K573-Q573-X573</f>
        <v>0</v>
      </c>
      <c r="AF573" s="25" t="n">
        <f aca="false">Q573-AA573</f>
        <v>0</v>
      </c>
      <c r="AG573" s="20"/>
      <c r="AH573" s="26" t="n">
        <f aca="false">IFERROR(AG573/Q573,0)</f>
        <v>0</v>
      </c>
      <c r="AI573" s="27" t="n">
        <v>0</v>
      </c>
      <c r="AJ573" s="26" t="n">
        <f aca="false">IF(AI573&gt;0,AprCoef/SQRT(AI573),0)</f>
        <v>0</v>
      </c>
      <c r="AK573" s="24" t="n">
        <f aca="false">AI573*AJ573/365</f>
        <v>0</v>
      </c>
      <c r="AL573" s="24" t="n">
        <f aca="false">AD573</f>
        <v>0</v>
      </c>
      <c r="AM573" s="24" t="n">
        <f aca="false">AK573-AL573</f>
        <v>0</v>
      </c>
      <c r="AN573" s="28" t="str">
        <f aca="false">IF(A573&gt;=Hip3LaunchDate,"YES","")</f>
        <v/>
      </c>
      <c r="AO573" s="28" t="str">
        <f aca="false">IF(A573&lt;Hip4LaunchDate,"pre-launch","live (zero-fee)")</f>
        <v>pre-launch</v>
      </c>
      <c r="AP573" s="20"/>
      <c r="AQ573" s="20"/>
      <c r="AR573" s="20"/>
    </row>
    <row r="574" customFormat="false" ht="15" hidden="false" customHeight="false" outlineLevel="0" collapsed="false">
      <c r="A574" s="18" t="n">
        <v>45635</v>
      </c>
      <c r="B574" s="19" t="n">
        <v>5306358931.68</v>
      </c>
      <c r="C574" s="19" t="n">
        <v>0</v>
      </c>
      <c r="D574" s="19" t="n">
        <v>270676721</v>
      </c>
      <c r="E574" s="21" t="n">
        <f aca="false">B574+C574</f>
        <v>5306358931.68</v>
      </c>
      <c r="F574" s="21" t="n">
        <f aca="false">E574+D574</f>
        <v>5577035652.68</v>
      </c>
      <c r="G574" s="22" t="n">
        <f aca="false">IFERROR(C574/E574,0)</f>
        <v>0</v>
      </c>
      <c r="H574" s="20"/>
      <c r="I574" s="20"/>
      <c r="J574" s="20"/>
      <c r="K574" s="21" t="n">
        <f aca="false">H574+I574</f>
        <v>0</v>
      </c>
      <c r="L574" s="20"/>
      <c r="M574" s="21" t="n">
        <f aca="false">H574-L574</f>
        <v>0</v>
      </c>
      <c r="N574" s="23" t="n">
        <f aca="false">IFERROR(M574/B574*10000,0)</f>
        <v>0</v>
      </c>
      <c r="O574" s="20"/>
      <c r="P574" s="20"/>
      <c r="Q574" s="21" t="n">
        <f aca="false">O574+P574</f>
        <v>0</v>
      </c>
      <c r="R574" s="22" t="n">
        <f aca="false">IF(A574&lt;HlpChangeDate,HlpSharePre,HlpSharePost)</f>
        <v>0.03</v>
      </c>
      <c r="S574" s="21" t="n">
        <f aca="false">Q574*R574/(1-R574)</f>
        <v>0</v>
      </c>
      <c r="T574" s="20"/>
      <c r="U574" s="21" t="n">
        <f aca="false">S574-T574</f>
        <v>0</v>
      </c>
      <c r="V574" s="21" t="n">
        <f aca="false">Y574-O574*R574/(1-R574)</f>
        <v>0</v>
      </c>
      <c r="W574" s="21" t="n">
        <f aca="false">Z574-P574*R574/(1-R574)</f>
        <v>0</v>
      </c>
      <c r="X574" s="21" t="n">
        <f aca="false">S574+V574+W574</f>
        <v>0</v>
      </c>
      <c r="Y574" s="20"/>
      <c r="Z574" s="20"/>
      <c r="AA574" s="19" t="n">
        <v>0</v>
      </c>
      <c r="AB574" s="29" t="n">
        <v>13.541</v>
      </c>
      <c r="AC574" s="29" t="n">
        <v>13.4875</v>
      </c>
      <c r="AD574" s="24" t="n">
        <f aca="false">IFERROR(AA574/AC574,0)</f>
        <v>0</v>
      </c>
      <c r="AE574" s="25" t="n">
        <f aca="false">K574-Q574-X574</f>
        <v>0</v>
      </c>
      <c r="AF574" s="25" t="n">
        <f aca="false">Q574-AA574</f>
        <v>0</v>
      </c>
      <c r="AG574" s="20"/>
      <c r="AH574" s="26" t="n">
        <f aca="false">IFERROR(AG574/Q574,0)</f>
        <v>0</v>
      </c>
      <c r="AI574" s="27" t="n">
        <v>0</v>
      </c>
      <c r="AJ574" s="26" t="n">
        <f aca="false">IF(AI574&gt;0,AprCoef/SQRT(AI574),0)</f>
        <v>0</v>
      </c>
      <c r="AK574" s="24" t="n">
        <f aca="false">AI574*AJ574/365</f>
        <v>0</v>
      </c>
      <c r="AL574" s="24" t="n">
        <f aca="false">AD574</f>
        <v>0</v>
      </c>
      <c r="AM574" s="24" t="n">
        <f aca="false">AK574-AL574</f>
        <v>0</v>
      </c>
      <c r="AN574" s="28" t="str">
        <f aca="false">IF(A574&gt;=Hip3LaunchDate,"YES","")</f>
        <v/>
      </c>
      <c r="AO574" s="28" t="str">
        <f aca="false">IF(A574&lt;Hip4LaunchDate,"pre-launch","live (zero-fee)")</f>
        <v>pre-launch</v>
      </c>
      <c r="AP574" s="20"/>
      <c r="AQ574" s="20"/>
      <c r="AR574" s="20"/>
    </row>
    <row r="575" customFormat="false" ht="15" hidden="false" customHeight="false" outlineLevel="0" collapsed="false">
      <c r="A575" s="18" t="n">
        <v>45636</v>
      </c>
      <c r="B575" s="19" t="n">
        <v>10009953606.92</v>
      </c>
      <c r="C575" s="19" t="n">
        <v>0</v>
      </c>
      <c r="D575" s="19" t="n">
        <v>208129108</v>
      </c>
      <c r="E575" s="21" t="n">
        <f aca="false">B575+C575</f>
        <v>10009953606.92</v>
      </c>
      <c r="F575" s="21" t="n">
        <f aca="false">E575+D575</f>
        <v>10218082714.92</v>
      </c>
      <c r="G575" s="22" t="n">
        <f aca="false">IFERROR(C575/E575,0)</f>
        <v>0</v>
      </c>
      <c r="H575" s="20"/>
      <c r="I575" s="20"/>
      <c r="J575" s="20"/>
      <c r="K575" s="21" t="n">
        <f aca="false">H575+I575</f>
        <v>0</v>
      </c>
      <c r="L575" s="20"/>
      <c r="M575" s="21" t="n">
        <f aca="false">H575-L575</f>
        <v>0</v>
      </c>
      <c r="N575" s="23" t="n">
        <f aca="false">IFERROR(M575/B575*10000,0)</f>
        <v>0</v>
      </c>
      <c r="O575" s="20"/>
      <c r="P575" s="20"/>
      <c r="Q575" s="21" t="n">
        <f aca="false">O575+P575</f>
        <v>0</v>
      </c>
      <c r="R575" s="22" t="n">
        <f aca="false">IF(A575&lt;HlpChangeDate,HlpSharePre,HlpSharePost)</f>
        <v>0.03</v>
      </c>
      <c r="S575" s="21" t="n">
        <f aca="false">Q575*R575/(1-R575)</f>
        <v>0</v>
      </c>
      <c r="T575" s="20"/>
      <c r="U575" s="21" t="n">
        <f aca="false">S575-T575</f>
        <v>0</v>
      </c>
      <c r="V575" s="21" t="n">
        <f aca="false">Y575-O575*R575/(1-R575)</f>
        <v>0</v>
      </c>
      <c r="W575" s="21" t="n">
        <f aca="false">Z575-P575*R575/(1-R575)</f>
        <v>0</v>
      </c>
      <c r="X575" s="21" t="n">
        <f aca="false">S575+V575+W575</f>
        <v>0</v>
      </c>
      <c r="Y575" s="20"/>
      <c r="Z575" s="20"/>
      <c r="AA575" s="19" t="n">
        <v>0</v>
      </c>
      <c r="AB575" s="29" t="n">
        <v>13.562</v>
      </c>
      <c r="AC575" s="29" t="n">
        <v>13.54725</v>
      </c>
      <c r="AD575" s="24" t="n">
        <f aca="false">IFERROR(AA575/AC575,0)</f>
        <v>0</v>
      </c>
      <c r="AE575" s="25" t="n">
        <f aca="false">K575-Q575-X575</f>
        <v>0</v>
      </c>
      <c r="AF575" s="25" t="n">
        <f aca="false">Q575-AA575</f>
        <v>0</v>
      </c>
      <c r="AG575" s="20"/>
      <c r="AH575" s="26" t="n">
        <f aca="false">IFERROR(AG575/Q575,0)</f>
        <v>0</v>
      </c>
      <c r="AI575" s="27" t="n">
        <v>0</v>
      </c>
      <c r="AJ575" s="26" t="n">
        <f aca="false">IF(AI575&gt;0,AprCoef/SQRT(AI575),0)</f>
        <v>0</v>
      </c>
      <c r="AK575" s="24" t="n">
        <f aca="false">AI575*AJ575/365</f>
        <v>0</v>
      </c>
      <c r="AL575" s="24" t="n">
        <f aca="false">AD575</f>
        <v>0</v>
      </c>
      <c r="AM575" s="24" t="n">
        <f aca="false">AK575-AL575</f>
        <v>0</v>
      </c>
      <c r="AN575" s="28" t="str">
        <f aca="false">IF(A575&gt;=Hip3LaunchDate,"YES","")</f>
        <v/>
      </c>
      <c r="AO575" s="28" t="str">
        <f aca="false">IF(A575&lt;Hip4LaunchDate,"pre-launch","live (zero-fee)")</f>
        <v>pre-launch</v>
      </c>
      <c r="AP575" s="20"/>
      <c r="AQ575" s="20"/>
      <c r="AR575" s="20"/>
    </row>
    <row r="576" customFormat="false" ht="15" hidden="false" customHeight="false" outlineLevel="0" collapsed="false">
      <c r="A576" s="18" t="n">
        <v>45637</v>
      </c>
      <c r="B576" s="19" t="n">
        <v>3979399218.48</v>
      </c>
      <c r="C576" s="19" t="n">
        <v>0</v>
      </c>
      <c r="D576" s="19" t="n">
        <v>211797447</v>
      </c>
      <c r="E576" s="21" t="n">
        <f aca="false">B576+C576</f>
        <v>3979399218.48</v>
      </c>
      <c r="F576" s="21" t="n">
        <f aca="false">E576+D576</f>
        <v>4191196665.48</v>
      </c>
      <c r="G576" s="22" t="n">
        <f aca="false">IFERROR(C576/E576,0)</f>
        <v>0</v>
      </c>
      <c r="H576" s="20"/>
      <c r="I576" s="20"/>
      <c r="J576" s="20"/>
      <c r="K576" s="21" t="n">
        <f aca="false">H576+I576</f>
        <v>0</v>
      </c>
      <c r="L576" s="20"/>
      <c r="M576" s="21" t="n">
        <f aca="false">H576-L576</f>
        <v>0</v>
      </c>
      <c r="N576" s="23" t="n">
        <f aca="false">IFERROR(M576/B576*10000,0)</f>
        <v>0</v>
      </c>
      <c r="O576" s="20"/>
      <c r="P576" s="20"/>
      <c r="Q576" s="21" t="n">
        <f aca="false">O576+P576</f>
        <v>0</v>
      </c>
      <c r="R576" s="22" t="n">
        <f aca="false">IF(A576&lt;HlpChangeDate,HlpSharePre,HlpSharePost)</f>
        <v>0.03</v>
      </c>
      <c r="S576" s="21" t="n">
        <f aca="false">Q576*R576/(1-R576)</f>
        <v>0</v>
      </c>
      <c r="T576" s="20"/>
      <c r="U576" s="21" t="n">
        <f aca="false">S576-T576</f>
        <v>0</v>
      </c>
      <c r="V576" s="21" t="n">
        <f aca="false">Y576-O576*R576/(1-R576)</f>
        <v>0</v>
      </c>
      <c r="W576" s="21" t="n">
        <f aca="false">Z576-P576*R576/(1-R576)</f>
        <v>0</v>
      </c>
      <c r="X576" s="21" t="n">
        <f aca="false">S576+V576+W576</f>
        <v>0</v>
      </c>
      <c r="Y576" s="20"/>
      <c r="Z576" s="20"/>
      <c r="AA576" s="19" t="n">
        <v>0</v>
      </c>
      <c r="AB576" s="29" t="n">
        <v>16.115</v>
      </c>
      <c r="AC576" s="29" t="n">
        <v>14.80575</v>
      </c>
      <c r="AD576" s="24" t="n">
        <f aca="false">IFERROR(AA576/AC576,0)</f>
        <v>0</v>
      </c>
      <c r="AE576" s="25" t="n">
        <f aca="false">K576-Q576-X576</f>
        <v>0</v>
      </c>
      <c r="AF576" s="25" t="n">
        <f aca="false">Q576-AA576</f>
        <v>0</v>
      </c>
      <c r="AG576" s="20"/>
      <c r="AH576" s="26" t="n">
        <f aca="false">IFERROR(AG576/Q576,0)</f>
        <v>0</v>
      </c>
      <c r="AI576" s="27" t="n">
        <v>0</v>
      </c>
      <c r="AJ576" s="26" t="n">
        <f aca="false">IF(AI576&gt;0,AprCoef/SQRT(AI576),0)</f>
        <v>0</v>
      </c>
      <c r="AK576" s="24" t="n">
        <f aca="false">AI576*AJ576/365</f>
        <v>0</v>
      </c>
      <c r="AL576" s="24" t="n">
        <f aca="false">AD576</f>
        <v>0</v>
      </c>
      <c r="AM576" s="24" t="n">
        <f aca="false">AK576-AL576</f>
        <v>0</v>
      </c>
      <c r="AN576" s="28" t="str">
        <f aca="false">IF(A576&gt;=Hip3LaunchDate,"YES","")</f>
        <v/>
      </c>
      <c r="AO576" s="28" t="str">
        <f aca="false">IF(A576&lt;Hip4LaunchDate,"pre-launch","live (zero-fee)")</f>
        <v>pre-launch</v>
      </c>
      <c r="AP576" s="20"/>
      <c r="AQ576" s="20"/>
      <c r="AR576" s="20"/>
    </row>
    <row r="577" customFormat="false" ht="15" hidden="false" customHeight="false" outlineLevel="0" collapsed="false">
      <c r="A577" s="18" t="n">
        <v>45638</v>
      </c>
      <c r="B577" s="19" t="n">
        <v>4839045908.12</v>
      </c>
      <c r="C577" s="19" t="n">
        <v>0</v>
      </c>
      <c r="D577" s="19" t="n">
        <v>324908474</v>
      </c>
      <c r="E577" s="21" t="n">
        <f aca="false">B577+C577</f>
        <v>4839045908.12</v>
      </c>
      <c r="F577" s="21" t="n">
        <f aca="false">E577+D577</f>
        <v>5163954382.12</v>
      </c>
      <c r="G577" s="22" t="n">
        <f aca="false">IFERROR(C577/E577,0)</f>
        <v>0</v>
      </c>
      <c r="H577" s="20"/>
      <c r="I577" s="20"/>
      <c r="J577" s="20"/>
      <c r="K577" s="21" t="n">
        <f aca="false">H577+I577</f>
        <v>0</v>
      </c>
      <c r="L577" s="20"/>
      <c r="M577" s="21" t="n">
        <f aca="false">H577-L577</f>
        <v>0</v>
      </c>
      <c r="N577" s="23" t="n">
        <f aca="false">IFERROR(M577/B577*10000,0)</f>
        <v>0</v>
      </c>
      <c r="O577" s="20"/>
      <c r="P577" s="20"/>
      <c r="Q577" s="21" t="n">
        <f aca="false">O577+P577</f>
        <v>0</v>
      </c>
      <c r="R577" s="22" t="n">
        <f aca="false">IF(A577&lt;HlpChangeDate,HlpSharePre,HlpSharePost)</f>
        <v>0.03</v>
      </c>
      <c r="S577" s="21" t="n">
        <f aca="false">Q577*R577/(1-R577)</f>
        <v>0</v>
      </c>
      <c r="T577" s="20"/>
      <c r="U577" s="21" t="n">
        <f aca="false">S577-T577</f>
        <v>0</v>
      </c>
      <c r="V577" s="21" t="n">
        <f aca="false">Y577-O577*R577/(1-R577)</f>
        <v>0</v>
      </c>
      <c r="W577" s="21" t="n">
        <f aca="false">Z577-P577*R577/(1-R577)</f>
        <v>0</v>
      </c>
      <c r="X577" s="21" t="n">
        <f aca="false">S577+V577+W577</f>
        <v>0</v>
      </c>
      <c r="Y577" s="20"/>
      <c r="Z577" s="20"/>
      <c r="AA577" s="19" t="n">
        <v>0</v>
      </c>
      <c r="AB577" s="29" t="n">
        <v>18.041</v>
      </c>
      <c r="AC577" s="29" t="n">
        <v>17.1275</v>
      </c>
      <c r="AD577" s="24" t="n">
        <f aca="false">IFERROR(AA577/AC577,0)</f>
        <v>0</v>
      </c>
      <c r="AE577" s="25" t="n">
        <f aca="false">K577-Q577-X577</f>
        <v>0</v>
      </c>
      <c r="AF577" s="25" t="n">
        <f aca="false">Q577-AA577</f>
        <v>0</v>
      </c>
      <c r="AG577" s="20"/>
      <c r="AH577" s="26" t="n">
        <f aca="false">IFERROR(AG577/Q577,0)</f>
        <v>0</v>
      </c>
      <c r="AI577" s="27" t="n">
        <v>0</v>
      </c>
      <c r="AJ577" s="26" t="n">
        <f aca="false">IF(AI577&gt;0,AprCoef/SQRT(AI577),0)</f>
        <v>0</v>
      </c>
      <c r="AK577" s="24" t="n">
        <f aca="false">AI577*AJ577/365</f>
        <v>0</v>
      </c>
      <c r="AL577" s="24" t="n">
        <f aca="false">AD577</f>
        <v>0</v>
      </c>
      <c r="AM577" s="24" t="n">
        <f aca="false">AK577-AL577</f>
        <v>0</v>
      </c>
      <c r="AN577" s="28" t="str">
        <f aca="false">IF(A577&gt;=Hip3LaunchDate,"YES","")</f>
        <v/>
      </c>
      <c r="AO577" s="28" t="str">
        <f aca="false">IF(A577&lt;Hip4LaunchDate,"pre-launch","live (zero-fee)")</f>
        <v>pre-launch</v>
      </c>
      <c r="AP577" s="20"/>
      <c r="AQ577" s="20"/>
      <c r="AR577" s="20"/>
    </row>
    <row r="578" customFormat="false" ht="15" hidden="false" customHeight="false" outlineLevel="0" collapsed="false">
      <c r="A578" s="18" t="n">
        <v>45639</v>
      </c>
      <c r="B578" s="19" t="n">
        <v>4253319332.02</v>
      </c>
      <c r="C578" s="19" t="n">
        <v>0</v>
      </c>
      <c r="D578" s="19" t="n">
        <v>334237923</v>
      </c>
      <c r="E578" s="21" t="n">
        <f aca="false">B578+C578</f>
        <v>4253319332.02</v>
      </c>
      <c r="F578" s="21" t="n">
        <f aca="false">E578+D578</f>
        <v>4587557255.02</v>
      </c>
      <c r="G578" s="22" t="n">
        <f aca="false">IFERROR(C578/E578,0)</f>
        <v>0</v>
      </c>
      <c r="H578" s="20"/>
      <c r="I578" s="20"/>
      <c r="J578" s="20"/>
      <c r="K578" s="21" t="n">
        <f aca="false">H578+I578</f>
        <v>0</v>
      </c>
      <c r="L578" s="20"/>
      <c r="M578" s="21" t="n">
        <f aca="false">H578-L578</f>
        <v>0</v>
      </c>
      <c r="N578" s="23" t="n">
        <f aca="false">IFERROR(M578/B578*10000,0)</f>
        <v>0</v>
      </c>
      <c r="O578" s="20"/>
      <c r="P578" s="20"/>
      <c r="Q578" s="21" t="n">
        <f aca="false">O578+P578</f>
        <v>0</v>
      </c>
      <c r="R578" s="22" t="n">
        <f aca="false">IF(A578&lt;HlpChangeDate,HlpSharePre,HlpSharePost)</f>
        <v>0.03</v>
      </c>
      <c r="S578" s="21" t="n">
        <f aca="false">Q578*R578/(1-R578)</f>
        <v>0</v>
      </c>
      <c r="T578" s="20"/>
      <c r="U578" s="21" t="n">
        <f aca="false">S578-T578</f>
        <v>0</v>
      </c>
      <c r="V578" s="21" t="n">
        <f aca="false">Y578-O578*R578/(1-R578)</f>
        <v>0</v>
      </c>
      <c r="W578" s="21" t="n">
        <f aca="false">Z578-P578*R578/(1-R578)</f>
        <v>0</v>
      </c>
      <c r="X578" s="21" t="n">
        <f aca="false">S578+V578+W578</f>
        <v>0</v>
      </c>
      <c r="Y578" s="20"/>
      <c r="Z578" s="20"/>
      <c r="AA578" s="19" t="n">
        <v>0</v>
      </c>
      <c r="AB578" s="29" t="n">
        <v>19.48</v>
      </c>
      <c r="AC578" s="29" t="n">
        <v>18.50825</v>
      </c>
      <c r="AD578" s="24" t="n">
        <f aca="false">IFERROR(AA578/AC578,0)</f>
        <v>0</v>
      </c>
      <c r="AE578" s="25" t="n">
        <f aca="false">K578-Q578-X578</f>
        <v>0</v>
      </c>
      <c r="AF578" s="25" t="n">
        <f aca="false">Q578-AA578</f>
        <v>0</v>
      </c>
      <c r="AG578" s="20"/>
      <c r="AH578" s="26" t="n">
        <f aca="false">IFERROR(AG578/Q578,0)</f>
        <v>0</v>
      </c>
      <c r="AI578" s="27" t="n">
        <v>0</v>
      </c>
      <c r="AJ578" s="26" t="n">
        <f aca="false">IF(AI578&gt;0,AprCoef/SQRT(AI578),0)</f>
        <v>0</v>
      </c>
      <c r="AK578" s="24" t="n">
        <f aca="false">AI578*AJ578/365</f>
        <v>0</v>
      </c>
      <c r="AL578" s="24" t="n">
        <f aca="false">AD578</f>
        <v>0</v>
      </c>
      <c r="AM578" s="24" t="n">
        <f aca="false">AK578-AL578</f>
        <v>0</v>
      </c>
      <c r="AN578" s="28" t="str">
        <f aca="false">IF(A578&gt;=Hip3LaunchDate,"YES","")</f>
        <v/>
      </c>
      <c r="AO578" s="28" t="str">
        <f aca="false">IF(A578&lt;Hip4LaunchDate,"pre-launch","live (zero-fee)")</f>
        <v>pre-launch</v>
      </c>
      <c r="AP578" s="20"/>
      <c r="AQ578" s="20"/>
      <c r="AR578" s="20"/>
    </row>
    <row r="579" customFormat="false" ht="15" hidden="false" customHeight="false" outlineLevel="0" collapsed="false">
      <c r="A579" s="18" t="n">
        <v>45640</v>
      </c>
      <c r="B579" s="19" t="n">
        <v>3170522123.29</v>
      </c>
      <c r="C579" s="19" t="n">
        <v>0</v>
      </c>
      <c r="D579" s="19" t="n">
        <v>546075604</v>
      </c>
      <c r="E579" s="21" t="n">
        <f aca="false">B579+C579</f>
        <v>3170522123.29</v>
      </c>
      <c r="F579" s="21" t="n">
        <f aca="false">E579+D579</f>
        <v>3716597727.29</v>
      </c>
      <c r="G579" s="22" t="n">
        <f aca="false">IFERROR(C579/E579,0)</f>
        <v>0</v>
      </c>
      <c r="H579" s="20"/>
      <c r="I579" s="20"/>
      <c r="J579" s="20"/>
      <c r="K579" s="21" t="n">
        <f aca="false">H579+I579</f>
        <v>0</v>
      </c>
      <c r="L579" s="20"/>
      <c r="M579" s="21" t="n">
        <f aca="false">H579-L579</f>
        <v>0</v>
      </c>
      <c r="N579" s="23" t="n">
        <f aca="false">IFERROR(M579/B579*10000,0)</f>
        <v>0</v>
      </c>
      <c r="O579" s="20"/>
      <c r="P579" s="20"/>
      <c r="Q579" s="21" t="n">
        <f aca="false">O579+P579</f>
        <v>0</v>
      </c>
      <c r="R579" s="22" t="n">
        <f aca="false">IF(A579&lt;HlpChangeDate,HlpSharePre,HlpSharePost)</f>
        <v>0.03</v>
      </c>
      <c r="S579" s="21" t="n">
        <f aca="false">Q579*R579/(1-R579)</f>
        <v>0</v>
      </c>
      <c r="T579" s="20"/>
      <c r="U579" s="21" t="n">
        <f aca="false">S579-T579</f>
        <v>0</v>
      </c>
      <c r="V579" s="21" t="n">
        <f aca="false">Y579-O579*R579/(1-R579)</f>
        <v>0</v>
      </c>
      <c r="W579" s="21" t="n">
        <f aca="false">Z579-P579*R579/(1-R579)</f>
        <v>0</v>
      </c>
      <c r="X579" s="21" t="n">
        <f aca="false">S579+V579+W579</f>
        <v>0</v>
      </c>
      <c r="Y579" s="20"/>
      <c r="Z579" s="20"/>
      <c r="AA579" s="19" t="n">
        <v>0</v>
      </c>
      <c r="AB579" s="29" t="n">
        <v>24.151</v>
      </c>
      <c r="AC579" s="29" t="n">
        <v>21.7505</v>
      </c>
      <c r="AD579" s="24" t="n">
        <f aca="false">IFERROR(AA579/AC579,0)</f>
        <v>0</v>
      </c>
      <c r="AE579" s="25" t="n">
        <f aca="false">K579-Q579-X579</f>
        <v>0</v>
      </c>
      <c r="AF579" s="25" t="n">
        <f aca="false">Q579-AA579</f>
        <v>0</v>
      </c>
      <c r="AG579" s="20"/>
      <c r="AH579" s="26" t="n">
        <f aca="false">IFERROR(AG579/Q579,0)</f>
        <v>0</v>
      </c>
      <c r="AI579" s="27" t="n">
        <v>0</v>
      </c>
      <c r="AJ579" s="26" t="n">
        <f aca="false">IF(AI579&gt;0,AprCoef/SQRT(AI579),0)</f>
        <v>0</v>
      </c>
      <c r="AK579" s="24" t="n">
        <f aca="false">AI579*AJ579/365</f>
        <v>0</v>
      </c>
      <c r="AL579" s="24" t="n">
        <f aca="false">AD579</f>
        <v>0</v>
      </c>
      <c r="AM579" s="24" t="n">
        <f aca="false">AK579-AL579</f>
        <v>0</v>
      </c>
      <c r="AN579" s="28" t="str">
        <f aca="false">IF(A579&gt;=Hip3LaunchDate,"YES","")</f>
        <v/>
      </c>
      <c r="AO579" s="28" t="str">
        <f aca="false">IF(A579&lt;Hip4LaunchDate,"pre-launch","live (zero-fee)")</f>
        <v>pre-launch</v>
      </c>
      <c r="AP579" s="20"/>
      <c r="AQ579" s="20"/>
      <c r="AR579" s="20"/>
    </row>
    <row r="580" customFormat="false" ht="15" hidden="false" customHeight="false" outlineLevel="0" collapsed="false">
      <c r="A580" s="18" t="n">
        <v>45641</v>
      </c>
      <c r="B580" s="19" t="n">
        <v>3786628958.91</v>
      </c>
      <c r="C580" s="19" t="n">
        <v>0</v>
      </c>
      <c r="D580" s="19" t="n">
        <v>517821521</v>
      </c>
      <c r="E580" s="21" t="n">
        <f aca="false">B580+C580</f>
        <v>3786628958.91</v>
      </c>
      <c r="F580" s="21" t="n">
        <f aca="false">E580+D580</f>
        <v>4304450479.91</v>
      </c>
      <c r="G580" s="22" t="n">
        <f aca="false">IFERROR(C580/E580,0)</f>
        <v>0</v>
      </c>
      <c r="H580" s="20"/>
      <c r="I580" s="20"/>
      <c r="J580" s="20"/>
      <c r="K580" s="21" t="n">
        <f aca="false">H580+I580</f>
        <v>0</v>
      </c>
      <c r="L580" s="20"/>
      <c r="M580" s="21" t="n">
        <f aca="false">H580-L580</f>
        <v>0</v>
      </c>
      <c r="N580" s="23" t="n">
        <f aca="false">IFERROR(M580/B580*10000,0)</f>
        <v>0</v>
      </c>
      <c r="O580" s="20"/>
      <c r="P580" s="20"/>
      <c r="Q580" s="21" t="n">
        <f aca="false">O580+P580</f>
        <v>0</v>
      </c>
      <c r="R580" s="22" t="n">
        <f aca="false">IF(A580&lt;HlpChangeDate,HlpSharePre,HlpSharePost)</f>
        <v>0.03</v>
      </c>
      <c r="S580" s="21" t="n">
        <f aca="false">Q580*R580/(1-R580)</f>
        <v>0</v>
      </c>
      <c r="T580" s="20"/>
      <c r="U580" s="21" t="n">
        <f aca="false">S580-T580</f>
        <v>0</v>
      </c>
      <c r="V580" s="21" t="n">
        <f aca="false">Y580-O580*R580/(1-R580)</f>
        <v>0</v>
      </c>
      <c r="W580" s="21" t="n">
        <f aca="false">Z580-P580*R580/(1-R580)</f>
        <v>0</v>
      </c>
      <c r="X580" s="21" t="n">
        <f aca="false">S580+V580+W580</f>
        <v>0</v>
      </c>
      <c r="Y580" s="20"/>
      <c r="Z580" s="20"/>
      <c r="AA580" s="19" t="n">
        <v>0</v>
      </c>
      <c r="AB580" s="29" t="n">
        <v>23.89</v>
      </c>
      <c r="AC580" s="29" t="n">
        <v>23.55375</v>
      </c>
      <c r="AD580" s="24" t="n">
        <f aca="false">IFERROR(AA580/AC580,0)</f>
        <v>0</v>
      </c>
      <c r="AE580" s="25" t="n">
        <f aca="false">K580-Q580-X580</f>
        <v>0</v>
      </c>
      <c r="AF580" s="25" t="n">
        <f aca="false">Q580-AA580</f>
        <v>0</v>
      </c>
      <c r="AG580" s="20"/>
      <c r="AH580" s="26" t="n">
        <f aca="false">IFERROR(AG580/Q580,0)</f>
        <v>0</v>
      </c>
      <c r="AI580" s="27" t="n">
        <v>0</v>
      </c>
      <c r="AJ580" s="26" t="n">
        <f aca="false">IF(AI580&gt;0,AprCoef/SQRT(AI580),0)</f>
        <v>0</v>
      </c>
      <c r="AK580" s="24" t="n">
        <f aca="false">AI580*AJ580/365</f>
        <v>0</v>
      </c>
      <c r="AL580" s="24" t="n">
        <f aca="false">AD580</f>
        <v>0</v>
      </c>
      <c r="AM580" s="24" t="n">
        <f aca="false">AK580-AL580</f>
        <v>0</v>
      </c>
      <c r="AN580" s="28" t="str">
        <f aca="false">IF(A580&gt;=Hip3LaunchDate,"YES","")</f>
        <v/>
      </c>
      <c r="AO580" s="28" t="str">
        <f aca="false">IF(A580&lt;Hip4LaunchDate,"pre-launch","live (zero-fee)")</f>
        <v>pre-launch</v>
      </c>
      <c r="AP580" s="20"/>
      <c r="AQ580" s="20"/>
      <c r="AR580" s="20"/>
    </row>
    <row r="581" customFormat="false" ht="15" hidden="false" customHeight="false" outlineLevel="0" collapsed="false">
      <c r="A581" s="18" t="n">
        <v>45642</v>
      </c>
      <c r="B581" s="19" t="n">
        <v>6267294832.56</v>
      </c>
      <c r="C581" s="19" t="n">
        <v>0</v>
      </c>
      <c r="D581" s="19" t="n">
        <v>552491542</v>
      </c>
      <c r="E581" s="21" t="n">
        <f aca="false">B581+C581</f>
        <v>6267294832.56</v>
      </c>
      <c r="F581" s="21" t="n">
        <f aca="false">E581+D581</f>
        <v>6819786374.56</v>
      </c>
      <c r="G581" s="22" t="n">
        <f aca="false">IFERROR(C581/E581,0)</f>
        <v>0</v>
      </c>
      <c r="H581" s="20"/>
      <c r="I581" s="20"/>
      <c r="J581" s="20"/>
      <c r="K581" s="21" t="n">
        <f aca="false">H581+I581</f>
        <v>0</v>
      </c>
      <c r="L581" s="20"/>
      <c r="M581" s="21" t="n">
        <f aca="false">H581-L581</f>
        <v>0</v>
      </c>
      <c r="N581" s="23" t="n">
        <f aca="false">IFERROR(M581/B581*10000,0)</f>
        <v>0</v>
      </c>
      <c r="O581" s="20"/>
      <c r="P581" s="20"/>
      <c r="Q581" s="21" t="n">
        <f aca="false">O581+P581</f>
        <v>0</v>
      </c>
      <c r="R581" s="22" t="n">
        <f aca="false">IF(A581&lt;HlpChangeDate,HlpSharePre,HlpSharePost)</f>
        <v>0.03</v>
      </c>
      <c r="S581" s="21" t="n">
        <f aca="false">Q581*R581/(1-R581)</f>
        <v>0</v>
      </c>
      <c r="T581" s="20"/>
      <c r="U581" s="21" t="n">
        <f aca="false">S581-T581</f>
        <v>0</v>
      </c>
      <c r="V581" s="21" t="n">
        <f aca="false">Y581-O581*R581/(1-R581)</f>
        <v>0</v>
      </c>
      <c r="W581" s="21" t="n">
        <f aca="false">Z581-P581*R581/(1-R581)</f>
        <v>0</v>
      </c>
      <c r="X581" s="21" t="n">
        <f aca="false">S581+V581+W581</f>
        <v>0</v>
      </c>
      <c r="Y581" s="20"/>
      <c r="Z581" s="20"/>
      <c r="AA581" s="19" t="n">
        <v>0</v>
      </c>
      <c r="AB581" s="29" t="n">
        <v>27.243</v>
      </c>
      <c r="AC581" s="29" t="n">
        <v>25.658</v>
      </c>
      <c r="AD581" s="24" t="n">
        <f aca="false">IFERROR(AA581/AC581,0)</f>
        <v>0</v>
      </c>
      <c r="AE581" s="25" t="n">
        <f aca="false">K581-Q581-X581</f>
        <v>0</v>
      </c>
      <c r="AF581" s="25" t="n">
        <f aca="false">Q581-AA581</f>
        <v>0</v>
      </c>
      <c r="AG581" s="20"/>
      <c r="AH581" s="26" t="n">
        <f aca="false">IFERROR(AG581/Q581,0)</f>
        <v>0</v>
      </c>
      <c r="AI581" s="27" t="n">
        <v>0</v>
      </c>
      <c r="AJ581" s="26" t="n">
        <f aca="false">IF(AI581&gt;0,AprCoef/SQRT(AI581),0)</f>
        <v>0</v>
      </c>
      <c r="AK581" s="24" t="n">
        <f aca="false">AI581*AJ581/365</f>
        <v>0</v>
      </c>
      <c r="AL581" s="24" t="n">
        <f aca="false">AD581</f>
        <v>0</v>
      </c>
      <c r="AM581" s="24" t="n">
        <f aca="false">AK581-AL581</f>
        <v>0</v>
      </c>
      <c r="AN581" s="28" t="str">
        <f aca="false">IF(A581&gt;=Hip3LaunchDate,"YES","")</f>
        <v/>
      </c>
      <c r="AO581" s="28" t="str">
        <f aca="false">IF(A581&lt;Hip4LaunchDate,"pre-launch","live (zero-fee)")</f>
        <v>pre-launch</v>
      </c>
      <c r="AP581" s="20"/>
      <c r="AQ581" s="20"/>
      <c r="AR581" s="20"/>
    </row>
    <row r="582" customFormat="false" ht="15" hidden="false" customHeight="false" outlineLevel="0" collapsed="false">
      <c r="A582" s="18" t="n">
        <v>45643</v>
      </c>
      <c r="B582" s="19" t="n">
        <v>5593864857.27</v>
      </c>
      <c r="C582" s="19" t="n">
        <v>0</v>
      </c>
      <c r="D582" s="19" t="n">
        <v>533018011</v>
      </c>
      <c r="E582" s="21" t="n">
        <f aca="false">B582+C582</f>
        <v>5593864857.27</v>
      </c>
      <c r="F582" s="21" t="n">
        <f aca="false">E582+D582</f>
        <v>6126882868.27</v>
      </c>
      <c r="G582" s="22" t="n">
        <f aca="false">IFERROR(C582/E582,0)</f>
        <v>0</v>
      </c>
      <c r="H582" s="20"/>
      <c r="I582" s="20"/>
      <c r="J582" s="20"/>
      <c r="K582" s="21" t="n">
        <f aca="false">H582+I582</f>
        <v>0</v>
      </c>
      <c r="L582" s="20"/>
      <c r="M582" s="21" t="n">
        <f aca="false">H582-L582</f>
        <v>0</v>
      </c>
      <c r="N582" s="23" t="n">
        <f aca="false">IFERROR(M582/B582*10000,0)</f>
        <v>0</v>
      </c>
      <c r="O582" s="20"/>
      <c r="P582" s="20"/>
      <c r="Q582" s="21" t="n">
        <f aca="false">O582+P582</f>
        <v>0</v>
      </c>
      <c r="R582" s="22" t="n">
        <f aca="false">IF(A582&lt;HlpChangeDate,HlpSharePre,HlpSharePost)</f>
        <v>0.03</v>
      </c>
      <c r="S582" s="21" t="n">
        <f aca="false">Q582*R582/(1-R582)</f>
        <v>0</v>
      </c>
      <c r="T582" s="20"/>
      <c r="U582" s="21" t="n">
        <f aca="false">S582-T582</f>
        <v>0</v>
      </c>
      <c r="V582" s="21" t="n">
        <f aca="false">Y582-O582*R582/(1-R582)</f>
        <v>0</v>
      </c>
      <c r="W582" s="21" t="n">
        <f aca="false">Z582-P582*R582/(1-R582)</f>
        <v>0</v>
      </c>
      <c r="X582" s="21" t="n">
        <f aca="false">S582+V582+W582</f>
        <v>0</v>
      </c>
      <c r="Y582" s="20"/>
      <c r="Z582" s="20"/>
      <c r="AA582" s="19" t="n">
        <v>0</v>
      </c>
      <c r="AB582" s="29" t="n">
        <v>25.583</v>
      </c>
      <c r="AC582" s="29" t="n">
        <v>26.38125</v>
      </c>
      <c r="AD582" s="24" t="n">
        <f aca="false">IFERROR(AA582/AC582,0)</f>
        <v>0</v>
      </c>
      <c r="AE582" s="25" t="n">
        <f aca="false">K582-Q582-X582</f>
        <v>0</v>
      </c>
      <c r="AF582" s="25" t="n">
        <f aca="false">Q582-AA582</f>
        <v>0</v>
      </c>
      <c r="AG582" s="20"/>
      <c r="AH582" s="26" t="n">
        <f aca="false">IFERROR(AG582/Q582,0)</f>
        <v>0</v>
      </c>
      <c r="AI582" s="27" t="n">
        <v>0</v>
      </c>
      <c r="AJ582" s="26" t="n">
        <f aca="false">IF(AI582&gt;0,AprCoef/SQRT(AI582),0)</f>
        <v>0</v>
      </c>
      <c r="AK582" s="24" t="n">
        <f aca="false">AI582*AJ582/365</f>
        <v>0</v>
      </c>
      <c r="AL582" s="24" t="n">
        <f aca="false">AD582</f>
        <v>0</v>
      </c>
      <c r="AM582" s="24" t="n">
        <f aca="false">AK582-AL582</f>
        <v>0</v>
      </c>
      <c r="AN582" s="28" t="str">
        <f aca="false">IF(A582&gt;=Hip3LaunchDate,"YES","")</f>
        <v/>
      </c>
      <c r="AO582" s="28" t="str">
        <f aca="false">IF(A582&lt;Hip4LaunchDate,"pre-launch","live (zero-fee)")</f>
        <v>pre-launch</v>
      </c>
      <c r="AP582" s="20"/>
      <c r="AQ582" s="20"/>
      <c r="AR582" s="20"/>
    </row>
    <row r="583" customFormat="false" ht="15" hidden="false" customHeight="false" outlineLevel="0" collapsed="false">
      <c r="A583" s="18" t="n">
        <v>45644</v>
      </c>
      <c r="B583" s="19" t="n">
        <v>8540539048.42</v>
      </c>
      <c r="C583" s="19" t="n">
        <v>0</v>
      </c>
      <c r="D583" s="19" t="n">
        <v>472394527</v>
      </c>
      <c r="E583" s="21" t="n">
        <f aca="false">B583+C583</f>
        <v>8540539048.42</v>
      </c>
      <c r="F583" s="21" t="n">
        <f aca="false">E583+D583</f>
        <v>9012933575.42</v>
      </c>
      <c r="G583" s="22" t="n">
        <f aca="false">IFERROR(C583/E583,0)</f>
        <v>0</v>
      </c>
      <c r="H583" s="20"/>
      <c r="I583" s="20"/>
      <c r="J583" s="20"/>
      <c r="K583" s="21" t="n">
        <f aca="false">H583+I583</f>
        <v>0</v>
      </c>
      <c r="L583" s="20"/>
      <c r="M583" s="21" t="n">
        <f aca="false">H583-L583</f>
        <v>0</v>
      </c>
      <c r="N583" s="23" t="n">
        <f aca="false">IFERROR(M583/B583*10000,0)</f>
        <v>0</v>
      </c>
      <c r="O583" s="20"/>
      <c r="P583" s="20"/>
      <c r="Q583" s="21" t="n">
        <f aca="false">O583+P583</f>
        <v>0</v>
      </c>
      <c r="R583" s="22" t="n">
        <f aca="false">IF(A583&lt;HlpChangeDate,HlpSharePre,HlpSharePost)</f>
        <v>0.03</v>
      </c>
      <c r="S583" s="21" t="n">
        <f aca="false">Q583*R583/(1-R583)</f>
        <v>0</v>
      </c>
      <c r="T583" s="20"/>
      <c r="U583" s="21" t="n">
        <f aca="false">S583-T583</f>
        <v>0</v>
      </c>
      <c r="V583" s="21" t="n">
        <f aca="false">Y583-O583*R583/(1-R583)</f>
        <v>0</v>
      </c>
      <c r="W583" s="21" t="n">
        <f aca="false">Z583-P583*R583/(1-R583)</f>
        <v>0</v>
      </c>
      <c r="X583" s="21" t="n">
        <f aca="false">S583+V583+W583</f>
        <v>0</v>
      </c>
      <c r="Y583" s="20"/>
      <c r="Z583" s="20"/>
      <c r="AA583" s="19" t="n">
        <v>0</v>
      </c>
      <c r="AB583" s="29" t="n">
        <v>23.218</v>
      </c>
      <c r="AC583" s="29" t="n">
        <v>24.74275</v>
      </c>
      <c r="AD583" s="24" t="n">
        <f aca="false">IFERROR(AA583/AC583,0)</f>
        <v>0</v>
      </c>
      <c r="AE583" s="25" t="n">
        <f aca="false">K583-Q583-X583</f>
        <v>0</v>
      </c>
      <c r="AF583" s="25" t="n">
        <f aca="false">Q583-AA583</f>
        <v>0</v>
      </c>
      <c r="AG583" s="19" t="n">
        <v>23328960.239018</v>
      </c>
      <c r="AH583" s="26" t="n">
        <f aca="false">IFERROR(AG583/Q583,0)</f>
        <v>0</v>
      </c>
      <c r="AI583" s="27" t="n">
        <v>0</v>
      </c>
      <c r="AJ583" s="26" t="n">
        <f aca="false">IF(AI583&gt;0,AprCoef/SQRT(AI583),0)</f>
        <v>0</v>
      </c>
      <c r="AK583" s="24" t="n">
        <f aca="false">AI583*AJ583/365</f>
        <v>0</v>
      </c>
      <c r="AL583" s="24" t="n">
        <f aca="false">AD583</f>
        <v>0</v>
      </c>
      <c r="AM583" s="24" t="n">
        <f aca="false">AK583-AL583</f>
        <v>0</v>
      </c>
      <c r="AN583" s="28" t="str">
        <f aca="false">IF(A583&gt;=Hip3LaunchDate,"YES","")</f>
        <v/>
      </c>
      <c r="AO583" s="28" t="str">
        <f aca="false">IF(A583&lt;Hip4LaunchDate,"pre-launch","live (zero-fee)")</f>
        <v>pre-launch</v>
      </c>
      <c r="AP583" s="20"/>
      <c r="AQ583" s="20"/>
      <c r="AR583" s="20"/>
    </row>
    <row r="584" customFormat="false" ht="15" hidden="false" customHeight="false" outlineLevel="0" collapsed="false">
      <c r="A584" s="18" t="n">
        <v>45645</v>
      </c>
      <c r="B584" s="19" t="n">
        <v>11512982470.23</v>
      </c>
      <c r="C584" s="19" t="n">
        <v>0</v>
      </c>
      <c r="D584" s="19" t="n">
        <v>564194362</v>
      </c>
      <c r="E584" s="21" t="n">
        <f aca="false">B584+C584</f>
        <v>11512982470.23</v>
      </c>
      <c r="F584" s="21" t="n">
        <f aca="false">E584+D584</f>
        <v>12077176832.23</v>
      </c>
      <c r="G584" s="22" t="n">
        <f aca="false">IFERROR(C584/E584,0)</f>
        <v>0</v>
      </c>
      <c r="H584" s="20"/>
      <c r="I584" s="20"/>
      <c r="J584" s="20"/>
      <c r="K584" s="21" t="n">
        <f aca="false">H584+I584</f>
        <v>0</v>
      </c>
      <c r="L584" s="20"/>
      <c r="M584" s="21" t="n">
        <f aca="false">H584-L584</f>
        <v>0</v>
      </c>
      <c r="N584" s="23" t="n">
        <f aca="false">IFERROR(M584/B584*10000,0)</f>
        <v>0</v>
      </c>
      <c r="O584" s="20"/>
      <c r="P584" s="20"/>
      <c r="Q584" s="21" t="n">
        <f aca="false">O584+P584</f>
        <v>0</v>
      </c>
      <c r="R584" s="22" t="n">
        <f aca="false">IF(A584&lt;HlpChangeDate,HlpSharePre,HlpSharePost)</f>
        <v>0.03</v>
      </c>
      <c r="S584" s="21" t="n">
        <f aca="false">Q584*R584/(1-R584)</f>
        <v>0</v>
      </c>
      <c r="T584" s="20"/>
      <c r="U584" s="21" t="n">
        <f aca="false">S584-T584</f>
        <v>0</v>
      </c>
      <c r="V584" s="21" t="n">
        <f aca="false">Y584-O584*R584/(1-R584)</f>
        <v>0</v>
      </c>
      <c r="W584" s="21" t="n">
        <f aca="false">Z584-P584*R584/(1-R584)</f>
        <v>0</v>
      </c>
      <c r="X584" s="21" t="n">
        <f aca="false">S584+V584+W584</f>
        <v>0</v>
      </c>
      <c r="Y584" s="20"/>
      <c r="Z584" s="20"/>
      <c r="AA584" s="19" t="n">
        <v>0</v>
      </c>
      <c r="AB584" s="29" t="n">
        <v>24.92</v>
      </c>
      <c r="AC584" s="29" t="n">
        <v>24.34625</v>
      </c>
      <c r="AD584" s="24" t="n">
        <f aca="false">IFERROR(AA584/AC584,0)</f>
        <v>0</v>
      </c>
      <c r="AE584" s="25" t="n">
        <f aca="false">K584-Q584-X584</f>
        <v>0</v>
      </c>
      <c r="AF584" s="25" t="n">
        <f aca="false">Q584-AA584</f>
        <v>0</v>
      </c>
      <c r="AG584" s="20"/>
      <c r="AH584" s="26" t="n">
        <f aca="false">IFERROR(AG584/Q584,0)</f>
        <v>0</v>
      </c>
      <c r="AI584" s="27" t="n">
        <v>0</v>
      </c>
      <c r="AJ584" s="26" t="n">
        <f aca="false">IF(AI584&gt;0,AprCoef/SQRT(AI584),0)</f>
        <v>0</v>
      </c>
      <c r="AK584" s="24" t="n">
        <f aca="false">AI584*AJ584/365</f>
        <v>0</v>
      </c>
      <c r="AL584" s="24" t="n">
        <f aca="false">AD584</f>
        <v>0</v>
      </c>
      <c r="AM584" s="24" t="n">
        <f aca="false">AK584-AL584</f>
        <v>0</v>
      </c>
      <c r="AN584" s="28" t="str">
        <f aca="false">IF(A584&gt;=Hip3LaunchDate,"YES","")</f>
        <v/>
      </c>
      <c r="AO584" s="28" t="str">
        <f aca="false">IF(A584&lt;Hip4LaunchDate,"pre-launch","live (zero-fee)")</f>
        <v>pre-launch</v>
      </c>
      <c r="AP584" s="20"/>
      <c r="AQ584" s="20"/>
      <c r="AR584" s="20"/>
    </row>
    <row r="585" customFormat="false" ht="15" hidden="false" customHeight="false" outlineLevel="0" collapsed="false">
      <c r="A585" s="18" t="n">
        <v>45646</v>
      </c>
      <c r="B585" s="19" t="n">
        <v>9878521130.99</v>
      </c>
      <c r="C585" s="19" t="n">
        <v>0</v>
      </c>
      <c r="D585" s="19" t="n">
        <v>703781781</v>
      </c>
      <c r="E585" s="21" t="n">
        <f aca="false">B585+C585</f>
        <v>9878521130.99</v>
      </c>
      <c r="F585" s="21" t="n">
        <f aca="false">E585+D585</f>
        <v>10582302911.99</v>
      </c>
      <c r="G585" s="22" t="n">
        <f aca="false">IFERROR(C585/E585,0)</f>
        <v>0</v>
      </c>
      <c r="H585" s="20"/>
      <c r="I585" s="20"/>
      <c r="J585" s="20"/>
      <c r="K585" s="21" t="n">
        <f aca="false">H585+I585</f>
        <v>0</v>
      </c>
      <c r="L585" s="20"/>
      <c r="M585" s="21" t="n">
        <f aca="false">H585-L585</f>
        <v>0</v>
      </c>
      <c r="N585" s="23" t="n">
        <f aca="false">IFERROR(M585/B585*10000,0)</f>
        <v>0</v>
      </c>
      <c r="O585" s="20"/>
      <c r="P585" s="20"/>
      <c r="Q585" s="21" t="n">
        <f aca="false">O585+P585</f>
        <v>0</v>
      </c>
      <c r="R585" s="22" t="n">
        <f aca="false">IF(A585&lt;HlpChangeDate,HlpSharePre,HlpSharePost)</f>
        <v>0.03</v>
      </c>
      <c r="S585" s="21" t="n">
        <f aca="false">Q585*R585/(1-R585)</f>
        <v>0</v>
      </c>
      <c r="T585" s="20"/>
      <c r="U585" s="21" t="n">
        <f aca="false">S585-T585</f>
        <v>0</v>
      </c>
      <c r="V585" s="21" t="n">
        <f aca="false">Y585-O585*R585/(1-R585)</f>
        <v>0</v>
      </c>
      <c r="W585" s="21" t="n">
        <f aca="false">Z585-P585*R585/(1-R585)</f>
        <v>0</v>
      </c>
      <c r="X585" s="21" t="n">
        <f aca="false">S585+V585+W585</f>
        <v>0</v>
      </c>
      <c r="Y585" s="20"/>
      <c r="Z585" s="20"/>
      <c r="AA585" s="19" t="n">
        <v>0</v>
      </c>
      <c r="AB585" s="29" t="n">
        <v>29.749</v>
      </c>
      <c r="AC585" s="29" t="n">
        <v>27.3575</v>
      </c>
      <c r="AD585" s="24" t="n">
        <f aca="false">IFERROR(AA585/AC585,0)</f>
        <v>0</v>
      </c>
      <c r="AE585" s="25" t="n">
        <f aca="false">K585-Q585-X585</f>
        <v>0</v>
      </c>
      <c r="AF585" s="25" t="n">
        <f aca="false">Q585-AA585</f>
        <v>0</v>
      </c>
      <c r="AG585" s="20"/>
      <c r="AH585" s="26" t="n">
        <f aca="false">IFERROR(AG585/Q585,0)</f>
        <v>0</v>
      </c>
      <c r="AI585" s="27" t="n">
        <v>0</v>
      </c>
      <c r="AJ585" s="26" t="n">
        <f aca="false">IF(AI585&gt;0,AprCoef/SQRT(AI585),0)</f>
        <v>0</v>
      </c>
      <c r="AK585" s="24" t="n">
        <f aca="false">AI585*AJ585/365</f>
        <v>0</v>
      </c>
      <c r="AL585" s="24" t="n">
        <f aca="false">AD585</f>
        <v>0</v>
      </c>
      <c r="AM585" s="24" t="n">
        <f aca="false">AK585-AL585</f>
        <v>0</v>
      </c>
      <c r="AN585" s="28" t="str">
        <f aca="false">IF(A585&gt;=Hip3LaunchDate,"YES","")</f>
        <v/>
      </c>
      <c r="AO585" s="28" t="str">
        <f aca="false">IF(A585&lt;Hip4LaunchDate,"pre-launch","live (zero-fee)")</f>
        <v>pre-launch</v>
      </c>
      <c r="AP585" s="20"/>
      <c r="AQ585" s="20"/>
      <c r="AR585" s="20"/>
    </row>
    <row r="586" customFormat="false" ht="15" hidden="false" customHeight="false" outlineLevel="0" collapsed="false">
      <c r="A586" s="18" t="n">
        <v>45647</v>
      </c>
      <c r="B586" s="19" t="n">
        <v>5203028237.29</v>
      </c>
      <c r="C586" s="19" t="n">
        <v>0</v>
      </c>
      <c r="D586" s="19" t="n">
        <v>527191283</v>
      </c>
      <c r="E586" s="21" t="n">
        <f aca="false">B586+C586</f>
        <v>5203028237.29</v>
      </c>
      <c r="F586" s="21" t="n">
        <f aca="false">E586+D586</f>
        <v>5730219520.29</v>
      </c>
      <c r="G586" s="22" t="n">
        <f aca="false">IFERROR(C586/E586,0)</f>
        <v>0</v>
      </c>
      <c r="H586" s="20"/>
      <c r="I586" s="20"/>
      <c r="J586" s="20"/>
      <c r="K586" s="21" t="n">
        <f aca="false">H586+I586</f>
        <v>0</v>
      </c>
      <c r="L586" s="20"/>
      <c r="M586" s="21" t="n">
        <f aca="false">H586-L586</f>
        <v>0</v>
      </c>
      <c r="N586" s="23" t="n">
        <f aca="false">IFERROR(M586/B586*10000,0)</f>
        <v>0</v>
      </c>
      <c r="O586" s="20"/>
      <c r="P586" s="20"/>
      <c r="Q586" s="21" t="n">
        <f aca="false">O586+P586</f>
        <v>0</v>
      </c>
      <c r="R586" s="22" t="n">
        <f aca="false">IF(A586&lt;HlpChangeDate,HlpSharePre,HlpSharePost)</f>
        <v>0.03</v>
      </c>
      <c r="S586" s="21" t="n">
        <f aca="false">Q586*R586/(1-R586)</f>
        <v>0</v>
      </c>
      <c r="T586" s="20"/>
      <c r="U586" s="21" t="n">
        <f aca="false">S586-T586</f>
        <v>0</v>
      </c>
      <c r="V586" s="21" t="n">
        <f aca="false">Y586-O586*R586/(1-R586)</f>
        <v>0</v>
      </c>
      <c r="W586" s="21" t="n">
        <f aca="false">Z586-P586*R586/(1-R586)</f>
        <v>0</v>
      </c>
      <c r="X586" s="21" t="n">
        <f aca="false">S586+V586+W586</f>
        <v>0</v>
      </c>
      <c r="Y586" s="20"/>
      <c r="Z586" s="20"/>
      <c r="AA586" s="19" t="n">
        <v>0</v>
      </c>
      <c r="AB586" s="29" t="n">
        <v>32.029</v>
      </c>
      <c r="AC586" s="29" t="n">
        <v>31.49625</v>
      </c>
      <c r="AD586" s="24" t="n">
        <f aca="false">IFERROR(AA586/AC586,0)</f>
        <v>0</v>
      </c>
      <c r="AE586" s="25" t="n">
        <f aca="false">K586-Q586-X586</f>
        <v>0</v>
      </c>
      <c r="AF586" s="25" t="n">
        <f aca="false">Q586-AA586</f>
        <v>0</v>
      </c>
      <c r="AG586" s="20"/>
      <c r="AH586" s="26" t="n">
        <f aca="false">IFERROR(AG586/Q586,0)</f>
        <v>0</v>
      </c>
      <c r="AI586" s="27" t="n">
        <v>0</v>
      </c>
      <c r="AJ586" s="26" t="n">
        <f aca="false">IF(AI586&gt;0,AprCoef/SQRT(AI586),0)</f>
        <v>0</v>
      </c>
      <c r="AK586" s="24" t="n">
        <f aca="false">AI586*AJ586/365</f>
        <v>0</v>
      </c>
      <c r="AL586" s="24" t="n">
        <f aca="false">AD586</f>
        <v>0</v>
      </c>
      <c r="AM586" s="24" t="n">
        <f aca="false">AK586-AL586</f>
        <v>0</v>
      </c>
      <c r="AN586" s="28" t="str">
        <f aca="false">IF(A586&gt;=Hip3LaunchDate,"YES","")</f>
        <v/>
      </c>
      <c r="AO586" s="28" t="str">
        <f aca="false">IF(A586&lt;Hip4LaunchDate,"pre-launch","live (zero-fee)")</f>
        <v>pre-launch</v>
      </c>
      <c r="AP586" s="20"/>
      <c r="AQ586" s="20"/>
      <c r="AR586" s="20"/>
    </row>
    <row r="587" customFormat="false" ht="15" hidden="false" customHeight="false" outlineLevel="0" collapsed="false">
      <c r="A587" s="18" t="n">
        <v>45648</v>
      </c>
      <c r="B587" s="19" t="n">
        <v>4686731737.85</v>
      </c>
      <c r="C587" s="19" t="n">
        <v>0</v>
      </c>
      <c r="D587" s="19" t="n">
        <v>471634786</v>
      </c>
      <c r="E587" s="21" t="n">
        <f aca="false">B587+C587</f>
        <v>4686731737.85</v>
      </c>
      <c r="F587" s="21" t="n">
        <f aca="false">E587+D587</f>
        <v>5158366523.85</v>
      </c>
      <c r="G587" s="22" t="n">
        <f aca="false">IFERROR(C587/E587,0)</f>
        <v>0</v>
      </c>
      <c r="H587" s="20"/>
      <c r="I587" s="20"/>
      <c r="J587" s="20"/>
      <c r="K587" s="21" t="n">
        <f aca="false">H587+I587</f>
        <v>0</v>
      </c>
      <c r="L587" s="20"/>
      <c r="M587" s="21" t="n">
        <f aca="false">H587-L587</f>
        <v>0</v>
      </c>
      <c r="N587" s="23" t="n">
        <f aca="false">IFERROR(M587/B587*10000,0)</f>
        <v>0</v>
      </c>
      <c r="O587" s="20"/>
      <c r="P587" s="20"/>
      <c r="Q587" s="21" t="n">
        <f aca="false">O587+P587</f>
        <v>0</v>
      </c>
      <c r="R587" s="22" t="n">
        <f aca="false">IF(A587&lt;HlpChangeDate,HlpSharePre,HlpSharePost)</f>
        <v>0.03</v>
      </c>
      <c r="S587" s="21" t="n">
        <f aca="false">Q587*R587/(1-R587)</f>
        <v>0</v>
      </c>
      <c r="T587" s="20"/>
      <c r="U587" s="21" t="n">
        <f aca="false">S587-T587</f>
        <v>0</v>
      </c>
      <c r="V587" s="21" t="n">
        <f aca="false">Y587-O587*R587/(1-R587)</f>
        <v>0</v>
      </c>
      <c r="W587" s="21" t="n">
        <f aca="false">Z587-P587*R587/(1-R587)</f>
        <v>0</v>
      </c>
      <c r="X587" s="21" t="n">
        <f aca="false">S587+V587+W587</f>
        <v>0</v>
      </c>
      <c r="Y587" s="20"/>
      <c r="Z587" s="20"/>
      <c r="AA587" s="19" t="n">
        <v>0</v>
      </c>
      <c r="AB587" s="29" t="n">
        <v>28.459</v>
      </c>
      <c r="AC587" s="29" t="n">
        <v>30.707</v>
      </c>
      <c r="AD587" s="24" t="n">
        <f aca="false">IFERROR(AA587/AC587,0)</f>
        <v>0</v>
      </c>
      <c r="AE587" s="25" t="n">
        <f aca="false">K587-Q587-X587</f>
        <v>0</v>
      </c>
      <c r="AF587" s="25" t="n">
        <f aca="false">Q587-AA587</f>
        <v>0</v>
      </c>
      <c r="AG587" s="19" t="n">
        <v>10580501.087875</v>
      </c>
      <c r="AH587" s="26" t="n">
        <f aca="false">IFERROR(AG587/Q587,0)</f>
        <v>0</v>
      </c>
      <c r="AI587" s="27" t="n">
        <v>0</v>
      </c>
      <c r="AJ587" s="26" t="n">
        <f aca="false">IF(AI587&gt;0,AprCoef/SQRT(AI587),0)</f>
        <v>0</v>
      </c>
      <c r="AK587" s="24" t="n">
        <f aca="false">AI587*AJ587/365</f>
        <v>0</v>
      </c>
      <c r="AL587" s="24" t="n">
        <f aca="false">AD587</f>
        <v>0</v>
      </c>
      <c r="AM587" s="24" t="n">
        <f aca="false">AK587-AL587</f>
        <v>0</v>
      </c>
      <c r="AN587" s="28" t="str">
        <f aca="false">IF(A587&gt;=Hip3LaunchDate,"YES","")</f>
        <v/>
      </c>
      <c r="AO587" s="28" t="str">
        <f aca="false">IF(A587&lt;Hip4LaunchDate,"pre-launch","live (zero-fee)")</f>
        <v>pre-launch</v>
      </c>
      <c r="AP587" s="20"/>
      <c r="AQ587" s="20"/>
      <c r="AR587" s="20"/>
    </row>
    <row r="588" customFormat="false" ht="15" hidden="false" customHeight="false" outlineLevel="0" collapsed="false">
      <c r="A588" s="18" t="n">
        <v>45649</v>
      </c>
      <c r="B588" s="19" t="n">
        <v>6168463521.78</v>
      </c>
      <c r="C588" s="19" t="n">
        <v>0</v>
      </c>
      <c r="D588" s="19" t="n">
        <v>375034673</v>
      </c>
      <c r="E588" s="21" t="n">
        <f aca="false">B588+C588</f>
        <v>6168463521.78</v>
      </c>
      <c r="F588" s="21" t="n">
        <f aca="false">E588+D588</f>
        <v>6543498194.78</v>
      </c>
      <c r="G588" s="22" t="n">
        <f aca="false">IFERROR(C588/E588,0)</f>
        <v>0</v>
      </c>
      <c r="H588" s="19" t="n">
        <v>1372264</v>
      </c>
      <c r="I588" s="19" t="n">
        <v>96254</v>
      </c>
      <c r="J588" s="19" t="n">
        <v>0</v>
      </c>
      <c r="K588" s="21" t="n">
        <f aca="false">H588+I588</f>
        <v>1468518</v>
      </c>
      <c r="L588" s="20"/>
      <c r="M588" s="21" t="n">
        <f aca="false">H588-L588</f>
        <v>1372264</v>
      </c>
      <c r="N588" s="23" t="n">
        <f aca="false">IFERROR(M588/B588*10000,0)</f>
        <v>2.22464475173554</v>
      </c>
      <c r="O588" s="19" t="n">
        <v>1331096</v>
      </c>
      <c r="P588" s="19" t="n">
        <v>93366</v>
      </c>
      <c r="Q588" s="21" t="n">
        <f aca="false">O588+P588</f>
        <v>1424462</v>
      </c>
      <c r="R588" s="22" t="n">
        <f aca="false">IF(A588&lt;HlpChangeDate,HlpSharePre,HlpSharePost)</f>
        <v>0.03</v>
      </c>
      <c r="S588" s="21" t="n">
        <f aca="false">Q588*R588/(1-R588)</f>
        <v>44055.5257731959</v>
      </c>
      <c r="T588" s="19" t="n">
        <v>0</v>
      </c>
      <c r="U588" s="21" t="n">
        <f aca="false">S588-T588</f>
        <v>44055.5257731959</v>
      </c>
      <c r="V588" s="21" t="n">
        <f aca="false">Y588-O588*R588/(1-R588)</f>
        <v>0.0824742268086993</v>
      </c>
      <c r="W588" s="21" t="n">
        <f aca="false">Z588-P588*R588/(1-R588)</f>
        <v>0.391752577319494</v>
      </c>
      <c r="X588" s="21" t="n">
        <f aca="false">S588+V588+W588</f>
        <v>44056</v>
      </c>
      <c r="Y588" s="19" t="n">
        <v>41168</v>
      </c>
      <c r="Z588" s="19" t="n">
        <v>2888</v>
      </c>
      <c r="AA588" s="19" t="n">
        <v>1424462</v>
      </c>
      <c r="AB588" s="29" t="n">
        <v>28.623</v>
      </c>
      <c r="AC588" s="29" t="n">
        <v>28.0155</v>
      </c>
      <c r="AD588" s="24" t="n">
        <f aca="false">IFERROR(AA588/AC588,0)</f>
        <v>50845.4962431511</v>
      </c>
      <c r="AE588" s="25" t="n">
        <f aca="false">K588-Q588-X588</f>
        <v>0</v>
      </c>
      <c r="AF588" s="25" t="n">
        <f aca="false">Q588-AA588</f>
        <v>0</v>
      </c>
      <c r="AG588" s="19" t="n">
        <v>1461253.22964099</v>
      </c>
      <c r="AH588" s="26" t="n">
        <f aca="false">IFERROR(AG588/Q588,0)</f>
        <v>1.02582815802808</v>
      </c>
      <c r="AI588" s="27" t="n">
        <v>0</v>
      </c>
      <c r="AJ588" s="26" t="n">
        <f aca="false">IF(AI588&gt;0,AprCoef/SQRT(AI588),0)</f>
        <v>0</v>
      </c>
      <c r="AK588" s="24" t="n">
        <f aca="false">AI588*AJ588/365</f>
        <v>0</v>
      </c>
      <c r="AL588" s="24" t="n">
        <f aca="false">AD588</f>
        <v>50845.4962431511</v>
      </c>
      <c r="AM588" s="24" t="n">
        <f aca="false">AK588-AL588</f>
        <v>-50845.4962431511</v>
      </c>
      <c r="AN588" s="28" t="str">
        <f aca="false">IF(A588&gt;=Hip3LaunchDate,"YES","")</f>
        <v/>
      </c>
      <c r="AO588" s="28" t="str">
        <f aca="false">IF(A588&lt;Hip4LaunchDate,"pre-launch","live (zero-fee)")</f>
        <v>pre-launch</v>
      </c>
      <c r="AP588" s="20"/>
      <c r="AQ588" s="20"/>
      <c r="AR588" s="20"/>
    </row>
    <row r="589" customFormat="false" ht="15" hidden="false" customHeight="false" outlineLevel="0" collapsed="false">
      <c r="A589" s="18" t="n">
        <v>45650</v>
      </c>
      <c r="B589" s="19" t="n">
        <v>4401565232.73</v>
      </c>
      <c r="C589" s="19" t="n">
        <v>0</v>
      </c>
      <c r="D589" s="19" t="n">
        <v>319403848</v>
      </c>
      <c r="E589" s="21" t="n">
        <f aca="false">B589+C589</f>
        <v>4401565232.73</v>
      </c>
      <c r="F589" s="21" t="n">
        <f aca="false">E589+D589</f>
        <v>4720969080.73</v>
      </c>
      <c r="G589" s="22" t="n">
        <f aca="false">IFERROR(C589/E589,0)</f>
        <v>0</v>
      </c>
      <c r="H589" s="19" t="n">
        <v>1296670</v>
      </c>
      <c r="I589" s="19" t="n">
        <v>47315</v>
      </c>
      <c r="J589" s="19" t="n">
        <v>40320</v>
      </c>
      <c r="K589" s="21" t="n">
        <f aca="false">H589+I589</f>
        <v>1343985</v>
      </c>
      <c r="L589" s="20"/>
      <c r="M589" s="21" t="n">
        <f aca="false">H589-L589</f>
        <v>1296670</v>
      </c>
      <c r="N589" s="23" t="n">
        <f aca="false">IFERROR(M589/B589*10000,0)</f>
        <v>2.94592930341682</v>
      </c>
      <c r="O589" s="19" t="n">
        <v>1257770</v>
      </c>
      <c r="P589" s="19" t="n">
        <v>45895</v>
      </c>
      <c r="Q589" s="21" t="n">
        <f aca="false">O589+P589</f>
        <v>1303665</v>
      </c>
      <c r="R589" s="22" t="n">
        <f aca="false">IF(A589&lt;HlpChangeDate,HlpSharePre,HlpSharePost)</f>
        <v>0.03</v>
      </c>
      <c r="S589" s="21" t="n">
        <f aca="false">Q589*R589/(1-R589)</f>
        <v>40319.5360824742</v>
      </c>
      <c r="T589" s="19" t="n">
        <v>40320</v>
      </c>
      <c r="U589" s="21" t="n">
        <f aca="false">S589-T589</f>
        <v>-0.463917525776196</v>
      </c>
      <c r="V589" s="21" t="n">
        <f aca="false">Y589-O589*R589/(1-R589)</f>
        <v>-0.103092783501779</v>
      </c>
      <c r="W589" s="21" t="n">
        <f aca="false">Z589-P589*R589/(1-R589)</f>
        <v>-0.43298969072157</v>
      </c>
      <c r="X589" s="21" t="n">
        <f aca="false">S589+V589+W589</f>
        <v>40319</v>
      </c>
      <c r="Y589" s="19" t="n">
        <v>38900</v>
      </c>
      <c r="Z589" s="19" t="n">
        <v>1419</v>
      </c>
      <c r="AA589" s="19" t="n">
        <v>1303665</v>
      </c>
      <c r="AB589" s="29" t="n">
        <v>29.783</v>
      </c>
      <c r="AC589" s="29" t="n">
        <v>29.311</v>
      </c>
      <c r="AD589" s="24" t="n">
        <f aca="false">IFERROR(AA589/AC589,0)</f>
        <v>44476.9881614411</v>
      </c>
      <c r="AE589" s="25" t="n">
        <f aca="false">K589-Q589-X589</f>
        <v>1</v>
      </c>
      <c r="AF589" s="25" t="n">
        <f aca="false">Q589-AA589</f>
        <v>0</v>
      </c>
      <c r="AG589" s="19" t="n">
        <v>1368596.35482401</v>
      </c>
      <c r="AH589" s="26" t="n">
        <f aca="false">IFERROR(AG589/Q589,0)</f>
        <v>1.04980677921399</v>
      </c>
      <c r="AI589" s="27" t="n">
        <v>0</v>
      </c>
      <c r="AJ589" s="26" t="n">
        <f aca="false">IF(AI589&gt;0,AprCoef/SQRT(AI589),0)</f>
        <v>0</v>
      </c>
      <c r="AK589" s="24" t="n">
        <f aca="false">AI589*AJ589/365</f>
        <v>0</v>
      </c>
      <c r="AL589" s="24" t="n">
        <f aca="false">AD589</f>
        <v>44476.9881614411</v>
      </c>
      <c r="AM589" s="24" t="n">
        <f aca="false">AK589-AL589</f>
        <v>-44476.9881614411</v>
      </c>
      <c r="AN589" s="28" t="str">
        <f aca="false">IF(A589&gt;=Hip3LaunchDate,"YES","")</f>
        <v/>
      </c>
      <c r="AO589" s="28" t="str">
        <f aca="false">IF(A589&lt;Hip4LaunchDate,"pre-launch","live (zero-fee)")</f>
        <v>pre-launch</v>
      </c>
      <c r="AP589" s="20"/>
      <c r="AQ589" s="20"/>
      <c r="AR589" s="20"/>
    </row>
    <row r="590" customFormat="false" ht="15" hidden="false" customHeight="false" outlineLevel="0" collapsed="false">
      <c r="A590" s="18" t="n">
        <v>45651</v>
      </c>
      <c r="B590" s="19" t="n">
        <v>3090026719.56</v>
      </c>
      <c r="C590" s="19" t="n">
        <v>0</v>
      </c>
      <c r="D590" s="19" t="n">
        <v>310480616</v>
      </c>
      <c r="E590" s="21" t="n">
        <f aca="false">B590+C590</f>
        <v>3090026719.56</v>
      </c>
      <c r="F590" s="21" t="n">
        <f aca="false">E590+D590</f>
        <v>3400507335.56</v>
      </c>
      <c r="G590" s="22" t="n">
        <f aca="false">IFERROR(C590/E590,0)</f>
        <v>0</v>
      </c>
      <c r="H590" s="19" t="n">
        <v>1002334</v>
      </c>
      <c r="I590" s="19" t="n">
        <v>43561</v>
      </c>
      <c r="J590" s="19" t="n">
        <v>31377</v>
      </c>
      <c r="K590" s="21" t="n">
        <f aca="false">H590+I590</f>
        <v>1045895</v>
      </c>
      <c r="L590" s="20"/>
      <c r="M590" s="21" t="n">
        <f aca="false">H590-L590</f>
        <v>1002334</v>
      </c>
      <c r="N590" s="23" t="n">
        <f aca="false">IFERROR(M590/B590*10000,0)</f>
        <v>3.24377130351393</v>
      </c>
      <c r="O590" s="19" t="n">
        <v>972264</v>
      </c>
      <c r="P590" s="19" t="n">
        <v>42254</v>
      </c>
      <c r="Q590" s="21" t="n">
        <f aca="false">O590+P590</f>
        <v>1014518</v>
      </c>
      <c r="R590" s="22" t="n">
        <f aca="false">IF(A590&lt;HlpChangeDate,HlpSharePre,HlpSharePost)</f>
        <v>0.03</v>
      </c>
      <c r="S590" s="21" t="n">
        <f aca="false">Q590*R590/(1-R590)</f>
        <v>31376.8453608247</v>
      </c>
      <c r="T590" s="19" t="n">
        <v>31377</v>
      </c>
      <c r="U590" s="21" t="n">
        <f aca="false">S590-T590</f>
        <v>-0.154639175259945</v>
      </c>
      <c r="V590" s="21" t="n">
        <f aca="false">Y590-O590*R590/(1-R590)</f>
        <v>-0.0206185567003558</v>
      </c>
      <c r="W590" s="21" t="n">
        <f aca="false">Z590-P590*R590/(1-R590)</f>
        <v>0.175257731958936</v>
      </c>
      <c r="X590" s="21" t="n">
        <f aca="false">S590+V590+W590</f>
        <v>31377</v>
      </c>
      <c r="Y590" s="19" t="n">
        <v>30070</v>
      </c>
      <c r="Z590" s="19" t="n">
        <v>1307</v>
      </c>
      <c r="AA590" s="19" t="n">
        <v>1014518</v>
      </c>
      <c r="AB590" s="29" t="n">
        <v>26.544</v>
      </c>
      <c r="AC590" s="29" t="n">
        <v>28.2515</v>
      </c>
      <c r="AD590" s="24" t="n">
        <f aca="false">IFERROR(AA590/AC590,0)</f>
        <v>35910.2348547865</v>
      </c>
      <c r="AE590" s="25" t="n">
        <f aca="false">K590-Q590-X590</f>
        <v>0</v>
      </c>
      <c r="AF590" s="25" t="n">
        <f aca="false">Q590-AA590</f>
        <v>0</v>
      </c>
      <c r="AG590" s="19" t="n">
        <v>1047430.85459</v>
      </c>
      <c r="AH590" s="26" t="n">
        <f aca="false">IFERROR(AG590/Q590,0)</f>
        <v>1.03244186361405</v>
      </c>
      <c r="AI590" s="27" t="n">
        <v>0</v>
      </c>
      <c r="AJ590" s="26" t="n">
        <f aca="false">IF(AI590&gt;0,AprCoef/SQRT(AI590),0)</f>
        <v>0</v>
      </c>
      <c r="AK590" s="24" t="n">
        <f aca="false">AI590*AJ590/365</f>
        <v>0</v>
      </c>
      <c r="AL590" s="24" t="n">
        <f aca="false">AD590</f>
        <v>35910.2348547865</v>
      </c>
      <c r="AM590" s="24" t="n">
        <f aca="false">AK590-AL590</f>
        <v>-35910.2348547865</v>
      </c>
      <c r="AN590" s="28" t="str">
        <f aca="false">IF(A590&gt;=Hip3LaunchDate,"YES","")</f>
        <v/>
      </c>
      <c r="AO590" s="28" t="str">
        <f aca="false">IF(A590&lt;Hip4LaunchDate,"pre-launch","live (zero-fee)")</f>
        <v>pre-launch</v>
      </c>
      <c r="AP590" s="20"/>
      <c r="AQ590" s="20"/>
      <c r="AR590" s="20"/>
    </row>
    <row r="591" customFormat="false" ht="15" hidden="false" customHeight="false" outlineLevel="0" collapsed="false">
      <c r="A591" s="18" t="n">
        <v>45652</v>
      </c>
      <c r="B591" s="19" t="n">
        <v>3897465234.44</v>
      </c>
      <c r="C591" s="19" t="n">
        <v>0</v>
      </c>
      <c r="D591" s="19" t="n">
        <v>214091088</v>
      </c>
      <c r="E591" s="21" t="n">
        <f aca="false">B591+C591</f>
        <v>3897465234.44</v>
      </c>
      <c r="F591" s="21" t="n">
        <f aca="false">E591+D591</f>
        <v>4111556322.44</v>
      </c>
      <c r="G591" s="22" t="n">
        <f aca="false">IFERROR(C591/E591,0)</f>
        <v>0</v>
      </c>
      <c r="H591" s="19" t="n">
        <v>1269042</v>
      </c>
      <c r="I591" s="19" t="n">
        <v>44254</v>
      </c>
      <c r="J591" s="19" t="n">
        <v>39399</v>
      </c>
      <c r="K591" s="21" t="n">
        <f aca="false">H591+I591</f>
        <v>1313296</v>
      </c>
      <c r="L591" s="20"/>
      <c r="M591" s="21" t="n">
        <f aca="false">H591-L591</f>
        <v>1269042</v>
      </c>
      <c r="N591" s="23" t="n">
        <f aca="false">IFERROR(M591/B591*10000,0)</f>
        <v>3.25607009598468</v>
      </c>
      <c r="O591" s="19" t="n">
        <v>1230971</v>
      </c>
      <c r="P591" s="19" t="n">
        <v>42926</v>
      </c>
      <c r="Q591" s="21" t="n">
        <f aca="false">O591+P591</f>
        <v>1273897</v>
      </c>
      <c r="R591" s="22" t="n">
        <f aca="false">IF(A591&lt;HlpChangeDate,HlpSharePre,HlpSharePost)</f>
        <v>0.03</v>
      </c>
      <c r="S591" s="21" t="n">
        <f aca="false">Q591*R591/(1-R591)</f>
        <v>39398.8762886598</v>
      </c>
      <c r="T591" s="19" t="n">
        <v>39399</v>
      </c>
      <c r="U591" s="21" t="n">
        <f aca="false">S591-T591</f>
        <v>-0.123711340209411</v>
      </c>
      <c r="V591" s="21" t="n">
        <f aca="false">Y591-O591*R591/(1-R591)</f>
        <v>-0.268041237111902</v>
      </c>
      <c r="W591" s="21" t="n">
        <f aca="false">Z591-P591*R591/(1-R591)</f>
        <v>0.391752577319494</v>
      </c>
      <c r="X591" s="21" t="n">
        <f aca="false">S591+V591+W591</f>
        <v>39399</v>
      </c>
      <c r="Y591" s="19" t="n">
        <v>38071</v>
      </c>
      <c r="Z591" s="19" t="n">
        <v>1328</v>
      </c>
      <c r="AA591" s="19" t="n">
        <v>1273897</v>
      </c>
      <c r="AB591" s="29" t="n">
        <v>27.217</v>
      </c>
      <c r="AC591" s="29" t="n">
        <v>26.22475</v>
      </c>
      <c r="AD591" s="24" t="n">
        <f aca="false">IFERROR(AA591/AC591,0)</f>
        <v>48576.1351395152</v>
      </c>
      <c r="AE591" s="25" t="n">
        <f aca="false">K591-Q591-X591</f>
        <v>0</v>
      </c>
      <c r="AF591" s="25" t="n">
        <f aca="false">Q591-AA591</f>
        <v>0</v>
      </c>
      <c r="AG591" s="19" t="n">
        <v>1019237.99825001</v>
      </c>
      <c r="AH591" s="26" t="n">
        <f aca="false">IFERROR(AG591/Q591,0)</f>
        <v>0.800094511761946</v>
      </c>
      <c r="AI591" s="27" t="n">
        <v>0</v>
      </c>
      <c r="AJ591" s="26" t="n">
        <f aca="false">IF(AI591&gt;0,AprCoef/SQRT(AI591),0)</f>
        <v>0</v>
      </c>
      <c r="AK591" s="24" t="n">
        <f aca="false">AI591*AJ591/365</f>
        <v>0</v>
      </c>
      <c r="AL591" s="24" t="n">
        <f aca="false">AD591</f>
        <v>48576.1351395152</v>
      </c>
      <c r="AM591" s="24" t="n">
        <f aca="false">AK591-AL591</f>
        <v>-48576.1351395152</v>
      </c>
      <c r="AN591" s="28" t="str">
        <f aca="false">IF(A591&gt;=Hip3LaunchDate,"YES","")</f>
        <v/>
      </c>
      <c r="AO591" s="28" t="str">
        <f aca="false">IF(A591&lt;Hip4LaunchDate,"pre-launch","live (zero-fee)")</f>
        <v>pre-launch</v>
      </c>
      <c r="AP591" s="20"/>
      <c r="AQ591" s="20"/>
      <c r="AR591" s="20"/>
    </row>
    <row r="592" customFormat="false" ht="15" hidden="false" customHeight="false" outlineLevel="0" collapsed="false">
      <c r="A592" s="18" t="n">
        <v>45653</v>
      </c>
      <c r="B592" s="19" t="n">
        <v>3889473140.94</v>
      </c>
      <c r="C592" s="19" t="n">
        <v>0</v>
      </c>
      <c r="D592" s="19" t="n">
        <v>216391282</v>
      </c>
      <c r="E592" s="21" t="n">
        <f aca="false">B592+C592</f>
        <v>3889473140.94</v>
      </c>
      <c r="F592" s="21" t="n">
        <f aca="false">E592+D592</f>
        <v>4105864422.94</v>
      </c>
      <c r="G592" s="22" t="n">
        <f aca="false">IFERROR(C592/E592,0)</f>
        <v>0</v>
      </c>
      <c r="H592" s="19" t="n">
        <v>1268921</v>
      </c>
      <c r="I592" s="19" t="n">
        <v>28523</v>
      </c>
      <c r="J592" s="19" t="n">
        <v>38923</v>
      </c>
      <c r="K592" s="21" t="n">
        <f aca="false">H592+I592</f>
        <v>1297444</v>
      </c>
      <c r="L592" s="20"/>
      <c r="M592" s="21" t="n">
        <f aca="false">H592-L592</f>
        <v>1268921</v>
      </c>
      <c r="N592" s="23" t="n">
        <f aca="false">IFERROR(M592/B592*10000,0)</f>
        <v>3.26244957612262</v>
      </c>
      <c r="O592" s="19" t="n">
        <v>1230853</v>
      </c>
      <c r="P592" s="19" t="n">
        <v>27667</v>
      </c>
      <c r="Q592" s="21" t="n">
        <f aca="false">O592+P592</f>
        <v>1258520</v>
      </c>
      <c r="R592" s="22" t="n">
        <f aca="false">IF(A592&lt;HlpChangeDate,HlpSharePre,HlpSharePost)</f>
        <v>0.03</v>
      </c>
      <c r="S592" s="21" t="n">
        <f aca="false">Q592*R592/(1-R592)</f>
        <v>38923.2989690722</v>
      </c>
      <c r="T592" s="19" t="n">
        <v>38923</v>
      </c>
      <c r="U592" s="21" t="n">
        <f aca="false">S592-T592</f>
        <v>0.298969072166074</v>
      </c>
      <c r="V592" s="21" t="n">
        <f aca="false">Y592-O592*R592/(1-R592)</f>
        <v>0.381443298974773</v>
      </c>
      <c r="W592" s="21" t="n">
        <f aca="false">Z592-P592*R592/(1-R592)</f>
        <v>0.319587628865975</v>
      </c>
      <c r="X592" s="21" t="n">
        <f aca="false">S592+V592+W592</f>
        <v>38924</v>
      </c>
      <c r="Y592" s="19" t="n">
        <v>38068</v>
      </c>
      <c r="Z592" s="19" t="n">
        <v>856</v>
      </c>
      <c r="AA592" s="19" t="n">
        <v>1258520</v>
      </c>
      <c r="AB592" s="29" t="n">
        <v>27.111</v>
      </c>
      <c r="AC592" s="29" t="n">
        <v>27.21625</v>
      </c>
      <c r="AD592" s="24" t="n">
        <f aca="false">IFERROR(AA592/AC592,0)</f>
        <v>46241.4917558444</v>
      </c>
      <c r="AE592" s="25" t="n">
        <f aca="false">K592-Q592-X592</f>
        <v>0</v>
      </c>
      <c r="AF592" s="25" t="n">
        <f aca="false">Q592-AA592</f>
        <v>0</v>
      </c>
      <c r="AG592" s="19" t="n">
        <v>1633333.41357899</v>
      </c>
      <c r="AH592" s="26" t="n">
        <f aca="false">IFERROR(AG592/Q592,0)</f>
        <v>1.29782078439674</v>
      </c>
      <c r="AI592" s="27" t="n">
        <v>0</v>
      </c>
      <c r="AJ592" s="26" t="n">
        <f aca="false">IF(AI592&gt;0,AprCoef/SQRT(AI592),0)</f>
        <v>0</v>
      </c>
      <c r="AK592" s="24" t="n">
        <f aca="false">AI592*AJ592/365</f>
        <v>0</v>
      </c>
      <c r="AL592" s="24" t="n">
        <f aca="false">AD592</f>
        <v>46241.4917558444</v>
      </c>
      <c r="AM592" s="24" t="n">
        <f aca="false">AK592-AL592</f>
        <v>-46241.4917558444</v>
      </c>
      <c r="AN592" s="28" t="str">
        <f aca="false">IF(A592&gt;=Hip3LaunchDate,"YES","")</f>
        <v/>
      </c>
      <c r="AO592" s="28" t="str">
        <f aca="false">IF(A592&lt;Hip4LaunchDate,"pre-launch","live (zero-fee)")</f>
        <v>pre-launch</v>
      </c>
      <c r="AP592" s="20"/>
      <c r="AQ592" s="20"/>
      <c r="AR592" s="20"/>
    </row>
    <row r="593" customFormat="false" ht="15" hidden="false" customHeight="false" outlineLevel="0" collapsed="false">
      <c r="A593" s="18" t="n">
        <v>45654</v>
      </c>
      <c r="B593" s="19" t="n">
        <v>2077191362.01</v>
      </c>
      <c r="C593" s="19" t="n">
        <v>0</v>
      </c>
      <c r="D593" s="19" t="n">
        <v>212391739</v>
      </c>
      <c r="E593" s="21" t="n">
        <f aca="false">B593+C593</f>
        <v>2077191362.01</v>
      </c>
      <c r="F593" s="21" t="n">
        <f aca="false">E593+D593</f>
        <v>2289583101.01</v>
      </c>
      <c r="G593" s="22" t="n">
        <f aca="false">IFERROR(C593/E593,0)</f>
        <v>0</v>
      </c>
      <c r="H593" s="19" t="n">
        <v>950246</v>
      </c>
      <c r="I593" s="19" t="n">
        <v>28430</v>
      </c>
      <c r="J593" s="19" t="n">
        <v>29360</v>
      </c>
      <c r="K593" s="21" t="n">
        <f aca="false">H593+I593</f>
        <v>978676</v>
      </c>
      <c r="L593" s="20"/>
      <c r="M593" s="21" t="n">
        <f aca="false">H593-L593</f>
        <v>950246</v>
      </c>
      <c r="N593" s="23" t="n">
        <f aca="false">IFERROR(M593/B593*10000,0)</f>
        <v>4.57466758902989</v>
      </c>
      <c r="O593" s="19" t="n">
        <v>921738</v>
      </c>
      <c r="P593" s="19" t="n">
        <v>27577</v>
      </c>
      <c r="Q593" s="21" t="n">
        <f aca="false">O593+P593</f>
        <v>949315</v>
      </c>
      <c r="R593" s="22" t="n">
        <f aca="false">IF(A593&lt;HlpChangeDate,HlpSharePre,HlpSharePost)</f>
        <v>0.03</v>
      </c>
      <c r="S593" s="21" t="n">
        <f aca="false">Q593*R593/(1-R593)</f>
        <v>29360.2577319588</v>
      </c>
      <c r="T593" s="19" t="n">
        <v>29360</v>
      </c>
      <c r="U593" s="21" t="n">
        <f aca="false">S593-T593</f>
        <v>0.257731958765362</v>
      </c>
      <c r="V593" s="21" t="n">
        <f aca="false">Y593-O593*R593/(1-R593)</f>
        <v>-0.360824742267141</v>
      </c>
      <c r="W593" s="21" t="n">
        <f aca="false">Z593-P593*R593/(1-R593)</f>
        <v>0.10309278350519</v>
      </c>
      <c r="X593" s="21" t="n">
        <f aca="false">S593+V593+W593</f>
        <v>29360</v>
      </c>
      <c r="Y593" s="19" t="n">
        <v>28507</v>
      </c>
      <c r="Z593" s="19" t="n">
        <v>853</v>
      </c>
      <c r="AA593" s="19" t="n">
        <v>949315</v>
      </c>
      <c r="AB593" s="29" t="n">
        <v>29.265</v>
      </c>
      <c r="AC593" s="29" t="n">
        <v>27.85575</v>
      </c>
      <c r="AD593" s="24" t="n">
        <f aca="false">IFERROR(AA593/AC593,0)</f>
        <v>34079.6783428915</v>
      </c>
      <c r="AE593" s="25" t="n">
        <f aca="false">K593-Q593-X593</f>
        <v>0.999999999996362</v>
      </c>
      <c r="AF593" s="25" t="n">
        <f aca="false">Q593-AA593</f>
        <v>0</v>
      </c>
      <c r="AG593" s="19" t="n">
        <v>978675.747127011</v>
      </c>
      <c r="AH593" s="26" t="n">
        <f aca="false">IFERROR(AG593/Q593,0)</f>
        <v>1.03092835057595</v>
      </c>
      <c r="AI593" s="27" t="n">
        <v>0</v>
      </c>
      <c r="AJ593" s="26" t="n">
        <f aca="false">IF(AI593&gt;0,AprCoef/SQRT(AI593),0)</f>
        <v>0</v>
      </c>
      <c r="AK593" s="24" t="n">
        <f aca="false">AI593*AJ593/365</f>
        <v>0</v>
      </c>
      <c r="AL593" s="24" t="n">
        <f aca="false">AD593</f>
        <v>34079.6783428915</v>
      </c>
      <c r="AM593" s="24" t="n">
        <f aca="false">AK593-AL593</f>
        <v>-34079.6783428915</v>
      </c>
      <c r="AN593" s="28" t="str">
        <f aca="false">IF(A593&gt;=Hip3LaunchDate,"YES","")</f>
        <v/>
      </c>
      <c r="AO593" s="28" t="str">
        <f aca="false">IF(A593&lt;Hip4LaunchDate,"pre-launch","live (zero-fee)")</f>
        <v>pre-launch</v>
      </c>
      <c r="AP593" s="20"/>
      <c r="AQ593" s="20"/>
      <c r="AR593" s="20"/>
    </row>
    <row r="594" customFormat="false" ht="15" hidden="false" customHeight="false" outlineLevel="0" collapsed="false">
      <c r="A594" s="18" t="n">
        <v>45655</v>
      </c>
      <c r="B594" s="19" t="n">
        <v>1965931599.67</v>
      </c>
      <c r="C594" s="19" t="n">
        <v>0</v>
      </c>
      <c r="D594" s="19" t="n">
        <v>342862746</v>
      </c>
      <c r="E594" s="21" t="n">
        <f aca="false">B594+C594</f>
        <v>1965931599.67</v>
      </c>
      <c r="F594" s="21" t="n">
        <f aca="false">E594+D594</f>
        <v>2308794345.67</v>
      </c>
      <c r="G594" s="22" t="n">
        <f aca="false">IFERROR(C594/E594,0)</f>
        <v>0</v>
      </c>
      <c r="H594" s="19" t="n">
        <v>454244</v>
      </c>
      <c r="I594" s="19" t="n">
        <v>31496</v>
      </c>
      <c r="J594" s="19" t="n">
        <v>14412</v>
      </c>
      <c r="K594" s="21" t="n">
        <f aca="false">H594+I594</f>
        <v>485740</v>
      </c>
      <c r="L594" s="20"/>
      <c r="M594" s="21" t="n">
        <f aca="false">H594-L594</f>
        <v>454244</v>
      </c>
      <c r="N594" s="23" t="n">
        <f aca="false">IFERROR(M594/B594*10000,0)</f>
        <v>2.31057886284675</v>
      </c>
      <c r="O594" s="19" t="n">
        <v>440616</v>
      </c>
      <c r="P594" s="19" t="n">
        <v>30551</v>
      </c>
      <c r="Q594" s="21" t="n">
        <f aca="false">O594+P594</f>
        <v>471167</v>
      </c>
      <c r="R594" s="22" t="n">
        <f aca="false">IF(A594&lt;HlpChangeDate,HlpSharePre,HlpSharePost)</f>
        <v>0.03</v>
      </c>
      <c r="S594" s="21" t="n">
        <f aca="false">Q594*R594/(1-R594)</f>
        <v>14572.175257732</v>
      </c>
      <c r="T594" s="19" t="n">
        <v>14412</v>
      </c>
      <c r="U594" s="21" t="n">
        <f aca="false">S594-T594</f>
        <v>160.175257731958</v>
      </c>
      <c r="V594" s="21" t="n">
        <f aca="false">Y594-O594*R594/(1-R594)</f>
        <v>-0.298969072164255</v>
      </c>
      <c r="W594" s="21" t="n">
        <f aca="false">Z594-P594*R594/(1-R594)</f>
        <v>0.123711340206228</v>
      </c>
      <c r="X594" s="21" t="n">
        <f aca="false">S594+V594+W594</f>
        <v>14572</v>
      </c>
      <c r="Y594" s="19" t="n">
        <v>13627</v>
      </c>
      <c r="Z594" s="19" t="n">
        <v>945</v>
      </c>
      <c r="AA594" s="19" t="n">
        <v>471167</v>
      </c>
      <c r="AB594" s="29" t="n">
        <v>27.446</v>
      </c>
      <c r="AC594" s="29" t="n">
        <v>28.20625</v>
      </c>
      <c r="AD594" s="24" t="n">
        <f aca="false">IFERROR(AA594/AC594,0)</f>
        <v>16704.3474407268</v>
      </c>
      <c r="AE594" s="25" t="n">
        <f aca="false">K594-Q594-X594</f>
        <v>1</v>
      </c>
      <c r="AF594" s="25" t="n">
        <f aca="false">Q594-AA594</f>
        <v>0</v>
      </c>
      <c r="AG594" s="19" t="n">
        <v>480409.761299998</v>
      </c>
      <c r="AH594" s="26" t="n">
        <f aca="false">IFERROR(AG594/Q594,0)</f>
        <v>1.01961674162239</v>
      </c>
      <c r="AI594" s="27" t="n">
        <v>0</v>
      </c>
      <c r="AJ594" s="26" t="n">
        <f aca="false">IF(AI594&gt;0,AprCoef/SQRT(AI594),0)</f>
        <v>0</v>
      </c>
      <c r="AK594" s="24" t="n">
        <f aca="false">AI594*AJ594/365</f>
        <v>0</v>
      </c>
      <c r="AL594" s="24" t="n">
        <f aca="false">AD594</f>
        <v>16704.3474407268</v>
      </c>
      <c r="AM594" s="24" t="n">
        <f aca="false">AK594-AL594</f>
        <v>-16704.3474407268</v>
      </c>
      <c r="AN594" s="28" t="str">
        <f aca="false">IF(A594&gt;=Hip3LaunchDate,"YES","")</f>
        <v/>
      </c>
      <c r="AO594" s="28" t="str">
        <f aca="false">IF(A594&lt;Hip4LaunchDate,"pre-launch","live (zero-fee)")</f>
        <v>pre-launch</v>
      </c>
      <c r="AP594" s="20"/>
      <c r="AQ594" s="20"/>
      <c r="AR594" s="20"/>
    </row>
    <row r="595" customFormat="false" ht="15" hidden="false" customHeight="false" outlineLevel="0" collapsed="false">
      <c r="A595" s="18" t="n">
        <v>45656</v>
      </c>
      <c r="B595" s="19" t="n">
        <v>4697171101.98</v>
      </c>
      <c r="C595" s="19" t="n">
        <v>0</v>
      </c>
      <c r="D595" s="19" t="n">
        <v>267028183</v>
      </c>
      <c r="E595" s="21" t="n">
        <f aca="false">B595+C595</f>
        <v>4697171101.98</v>
      </c>
      <c r="F595" s="21" t="n">
        <f aca="false">E595+D595</f>
        <v>4964199284.98</v>
      </c>
      <c r="G595" s="22" t="n">
        <f aca="false">IFERROR(C595/E595,0)</f>
        <v>0</v>
      </c>
      <c r="H595" s="19" t="n">
        <v>1483664</v>
      </c>
      <c r="I595" s="19" t="n">
        <v>49113</v>
      </c>
      <c r="J595" s="19" t="n">
        <v>45905</v>
      </c>
      <c r="K595" s="21" t="n">
        <f aca="false">H595+I595</f>
        <v>1532777</v>
      </c>
      <c r="L595" s="20"/>
      <c r="M595" s="21" t="n">
        <f aca="false">H595-L595</f>
        <v>1483664</v>
      </c>
      <c r="N595" s="23" t="n">
        <f aca="false">IFERROR(M595/B595*10000,0)</f>
        <v>3.1586330746491</v>
      </c>
      <c r="O595" s="19" t="n">
        <v>1439154</v>
      </c>
      <c r="P595" s="19" t="n">
        <v>47640</v>
      </c>
      <c r="Q595" s="21" t="n">
        <f aca="false">O595+P595</f>
        <v>1486794</v>
      </c>
      <c r="R595" s="22" t="n">
        <f aca="false">IF(A595&lt;HlpChangeDate,HlpSharePre,HlpSharePost)</f>
        <v>0.03</v>
      </c>
      <c r="S595" s="21" t="n">
        <f aca="false">Q595*R595/(1-R595)</f>
        <v>45983.3195876289</v>
      </c>
      <c r="T595" s="19" t="n">
        <v>45905</v>
      </c>
      <c r="U595" s="21" t="n">
        <f aca="false">S595-T595</f>
        <v>78.3195876288664</v>
      </c>
      <c r="V595" s="21" t="n">
        <f aca="false">Y595-O595*R595/(1-R595)</f>
        <v>0.0824742268086993</v>
      </c>
      <c r="W595" s="21" t="n">
        <f aca="false">Z595-P595*R595/(1-R595)</f>
        <v>-0.402061855670127</v>
      </c>
      <c r="X595" s="21" t="n">
        <f aca="false">S595+V595+W595</f>
        <v>45983</v>
      </c>
      <c r="Y595" s="19" t="n">
        <v>44510</v>
      </c>
      <c r="Z595" s="19" t="n">
        <v>1473</v>
      </c>
      <c r="AA595" s="19" t="n">
        <v>1486794</v>
      </c>
      <c r="AB595" s="29" t="n">
        <v>26.953</v>
      </c>
      <c r="AC595" s="29" t="n">
        <v>27.52475</v>
      </c>
      <c r="AD595" s="24" t="n">
        <f aca="false">IFERROR(AA595/AC595,0)</f>
        <v>54016.6214043724</v>
      </c>
      <c r="AE595" s="25" t="n">
        <f aca="false">K595-Q595-X595</f>
        <v>0</v>
      </c>
      <c r="AF595" s="25" t="n">
        <f aca="false">Q595-AA595</f>
        <v>0</v>
      </c>
      <c r="AG595" s="19" t="n">
        <v>1530159.41485</v>
      </c>
      <c r="AH595" s="26" t="n">
        <f aca="false">IFERROR(AG595/Q595,0)</f>
        <v>1.02916706339277</v>
      </c>
      <c r="AI595" s="27" t="n">
        <v>301000000</v>
      </c>
      <c r="AJ595" s="26" t="n">
        <f aca="false">IF(AI595&gt;0,AprCoef/SQRT(AI595),0)</f>
        <v>0.0273209057991807</v>
      </c>
      <c r="AK595" s="24" t="n">
        <f aca="false">AI595*AJ595/365</f>
        <v>22530.3908097354</v>
      </c>
      <c r="AL595" s="24" t="n">
        <f aca="false">AD595</f>
        <v>54016.6214043724</v>
      </c>
      <c r="AM595" s="24" t="n">
        <f aca="false">AK595-AL595</f>
        <v>-31486.2305946371</v>
      </c>
      <c r="AN595" s="28" t="str">
        <f aca="false">IF(A595&gt;=Hip3LaunchDate,"YES","")</f>
        <v/>
      </c>
      <c r="AO595" s="28" t="str">
        <f aca="false">IF(A595&lt;Hip4LaunchDate,"pre-launch","live (zero-fee)")</f>
        <v>pre-launch</v>
      </c>
      <c r="AP595" s="20"/>
      <c r="AQ595" s="20"/>
      <c r="AR595" s="20"/>
    </row>
    <row r="596" customFormat="false" ht="15" hidden="false" customHeight="false" outlineLevel="0" collapsed="false">
      <c r="A596" s="18" t="n">
        <v>45657</v>
      </c>
      <c r="B596" s="19" t="n">
        <v>3450514508.28</v>
      </c>
      <c r="C596" s="19" t="n">
        <v>0</v>
      </c>
      <c r="D596" s="19" t="n">
        <v>225503235</v>
      </c>
      <c r="E596" s="21" t="n">
        <f aca="false">B596+C596</f>
        <v>3450514508.28</v>
      </c>
      <c r="F596" s="21" t="n">
        <f aca="false">E596+D596</f>
        <v>3676017743.28</v>
      </c>
      <c r="G596" s="22" t="n">
        <f aca="false">IFERROR(C596/E596,0)</f>
        <v>0</v>
      </c>
      <c r="H596" s="19" t="n">
        <v>1326087</v>
      </c>
      <c r="I596" s="19" t="n">
        <v>42962</v>
      </c>
      <c r="J596" s="19" t="n">
        <v>41146</v>
      </c>
      <c r="K596" s="21" t="n">
        <f aca="false">H596+I596</f>
        <v>1369049</v>
      </c>
      <c r="L596" s="20"/>
      <c r="M596" s="21" t="n">
        <f aca="false">H596-L596</f>
        <v>1326087</v>
      </c>
      <c r="N596" s="23" t="n">
        <f aca="false">IFERROR(M596/B596*10000,0)</f>
        <v>3.84315729384086</v>
      </c>
      <c r="O596" s="19" t="n">
        <v>1286304</v>
      </c>
      <c r="P596" s="19" t="n">
        <v>41673</v>
      </c>
      <c r="Q596" s="21" t="n">
        <f aca="false">O596+P596</f>
        <v>1327977</v>
      </c>
      <c r="R596" s="22" t="n">
        <f aca="false">IF(A596&lt;HlpChangeDate,HlpSharePre,HlpSharePost)</f>
        <v>0.03</v>
      </c>
      <c r="S596" s="21" t="n">
        <f aca="false">Q596*R596/(1-R596)</f>
        <v>41071.4536082474</v>
      </c>
      <c r="T596" s="19" t="n">
        <v>41146</v>
      </c>
      <c r="U596" s="21" t="n">
        <f aca="false">S596-T596</f>
        <v>-74.5463917525776</v>
      </c>
      <c r="V596" s="21" t="n">
        <f aca="false">Y596-O596*R596/(1-R596)</f>
        <v>0.402061855675129</v>
      </c>
      <c r="W596" s="21" t="n">
        <f aca="false">Z596-P596*R596/(1-R596)</f>
        <v>0.144329896907038</v>
      </c>
      <c r="X596" s="21" t="n">
        <f aca="false">S596+V596+W596</f>
        <v>41072</v>
      </c>
      <c r="Y596" s="19" t="n">
        <v>39783</v>
      </c>
      <c r="Z596" s="19" t="n">
        <v>1289</v>
      </c>
      <c r="AA596" s="19" t="n">
        <v>1327977</v>
      </c>
      <c r="AB596" s="29" t="n">
        <v>24.007</v>
      </c>
      <c r="AC596" s="29" t="n">
        <v>25.2725</v>
      </c>
      <c r="AD596" s="24" t="n">
        <f aca="false">IFERROR(AA596/AC596,0)</f>
        <v>52546.32505688</v>
      </c>
      <c r="AE596" s="25" t="n">
        <f aca="false">K596-Q596-X596</f>
        <v>0</v>
      </c>
      <c r="AF596" s="25" t="n">
        <f aca="false">Q596-AA596</f>
        <v>0</v>
      </c>
      <c r="AG596" s="19" t="n">
        <v>1371530.621852</v>
      </c>
      <c r="AH596" s="26" t="n">
        <f aca="false">IFERROR(AG596/Q596,0)</f>
        <v>1.0327969700168</v>
      </c>
      <c r="AI596" s="27" t="n">
        <v>301716981.132076</v>
      </c>
      <c r="AJ596" s="26" t="n">
        <f aca="false">IF(AI596&gt;0,AprCoef/SQRT(AI596),0)</f>
        <v>0.0272884246557512</v>
      </c>
      <c r="AK596" s="24" t="n">
        <f aca="false">AI596*AJ596/365</f>
        <v>22557.2085122831</v>
      </c>
      <c r="AL596" s="24" t="n">
        <f aca="false">AD596</f>
        <v>52546.32505688</v>
      </c>
      <c r="AM596" s="24" t="n">
        <f aca="false">AK596-AL596</f>
        <v>-29989.1165445969</v>
      </c>
      <c r="AN596" s="28" t="str">
        <f aca="false">IF(A596&gt;=Hip3LaunchDate,"YES","")</f>
        <v/>
      </c>
      <c r="AO596" s="28" t="str">
        <f aca="false">IF(A596&lt;Hip4LaunchDate,"pre-launch","live (zero-fee)")</f>
        <v>pre-launch</v>
      </c>
      <c r="AP596" s="20"/>
      <c r="AQ596" s="20"/>
      <c r="AR596" s="20"/>
    </row>
    <row r="597" customFormat="false" ht="15" hidden="false" customHeight="false" outlineLevel="0" collapsed="false">
      <c r="A597" s="18" t="n">
        <v>45658</v>
      </c>
      <c r="B597" s="19" t="n">
        <v>2157256818.44</v>
      </c>
      <c r="C597" s="19" t="n">
        <v>0</v>
      </c>
      <c r="D597" s="19" t="n">
        <v>256438336</v>
      </c>
      <c r="E597" s="21" t="n">
        <f aca="false">B597+C597</f>
        <v>2157256818.44</v>
      </c>
      <c r="F597" s="21" t="n">
        <f aca="false">E597+D597</f>
        <v>2413695154.44</v>
      </c>
      <c r="G597" s="22" t="n">
        <f aca="false">IFERROR(C597/E597,0)</f>
        <v>0</v>
      </c>
      <c r="H597" s="19" t="n">
        <v>483299</v>
      </c>
      <c r="I597" s="19" t="n">
        <v>30141</v>
      </c>
      <c r="J597" s="19" t="n">
        <v>15396</v>
      </c>
      <c r="K597" s="21" t="n">
        <f aca="false">H597+I597</f>
        <v>513440</v>
      </c>
      <c r="L597" s="20"/>
      <c r="M597" s="21" t="n">
        <f aca="false">H597-L597</f>
        <v>483299</v>
      </c>
      <c r="N597" s="23" t="n">
        <f aca="false">IFERROR(M597/B597*10000,0)</f>
        <v>2.24034058378591</v>
      </c>
      <c r="O597" s="19" t="n">
        <v>468800</v>
      </c>
      <c r="P597" s="19" t="n">
        <v>29237</v>
      </c>
      <c r="Q597" s="21" t="n">
        <f aca="false">O597+P597</f>
        <v>498037</v>
      </c>
      <c r="R597" s="22" t="n">
        <f aca="false">IF(A597&lt;HlpChangeDate,HlpSharePre,HlpSharePost)</f>
        <v>0.03</v>
      </c>
      <c r="S597" s="21" t="n">
        <f aca="false">Q597*R597/(1-R597)</f>
        <v>15403.206185567</v>
      </c>
      <c r="T597" s="19" t="n">
        <v>15396</v>
      </c>
      <c r="U597" s="21" t="n">
        <f aca="false">S597-T597</f>
        <v>7.20618556700902</v>
      </c>
      <c r="V597" s="21" t="n">
        <f aca="false">Y597-O597*R597/(1-R597)</f>
        <v>0.0309278350505338</v>
      </c>
      <c r="W597" s="21" t="n">
        <f aca="false">Z597-P597*R597/(1-R597)</f>
        <v>-0.237113402061937</v>
      </c>
      <c r="X597" s="21" t="n">
        <f aca="false">S597+V597+W597</f>
        <v>15403</v>
      </c>
      <c r="Y597" s="19" t="n">
        <v>14499</v>
      </c>
      <c r="Z597" s="19" t="n">
        <v>904</v>
      </c>
      <c r="AA597" s="19" t="n">
        <v>498037</v>
      </c>
      <c r="AB597" s="29" t="n">
        <v>26.315</v>
      </c>
      <c r="AC597" s="29" t="n">
        <v>25.052</v>
      </c>
      <c r="AD597" s="24" t="n">
        <f aca="false">IFERROR(AA597/AC597,0)</f>
        <v>19880.1293309915</v>
      </c>
      <c r="AE597" s="25" t="n">
        <f aca="false">K597-Q597-X597</f>
        <v>0</v>
      </c>
      <c r="AF597" s="25" t="n">
        <f aca="false">Q597-AA597</f>
        <v>0</v>
      </c>
      <c r="AG597" s="19" t="n">
        <v>513195.559570998</v>
      </c>
      <c r="AH597" s="26" t="n">
        <f aca="false">IFERROR(AG597/Q597,0)</f>
        <v>1.03043661328576</v>
      </c>
      <c r="AI597" s="27" t="n">
        <v>302433962.264151</v>
      </c>
      <c r="AJ597" s="26" t="n">
        <f aca="false">IF(AI597&gt;0,AprCoef/SQRT(AI597),0)</f>
        <v>0.0272560590856081</v>
      </c>
      <c r="AK597" s="24" t="n">
        <f aca="false">AI597*AJ597/365</f>
        <v>22583.9943697706</v>
      </c>
      <c r="AL597" s="24" t="n">
        <f aca="false">AD597</f>
        <v>19880.1293309915</v>
      </c>
      <c r="AM597" s="24" t="n">
        <f aca="false">AK597-AL597</f>
        <v>2703.86503877904</v>
      </c>
      <c r="AN597" s="28" t="str">
        <f aca="false">IF(A597&gt;=Hip3LaunchDate,"YES","")</f>
        <v/>
      </c>
      <c r="AO597" s="28" t="str">
        <f aca="false">IF(A597&lt;Hip4LaunchDate,"pre-launch","live (zero-fee)")</f>
        <v>pre-launch</v>
      </c>
      <c r="AP597" s="20"/>
      <c r="AQ597" s="20"/>
      <c r="AR597" s="20"/>
    </row>
    <row r="598" customFormat="false" ht="15" hidden="false" customHeight="false" outlineLevel="0" collapsed="false">
      <c r="A598" s="18" t="n">
        <v>45659</v>
      </c>
      <c r="B598" s="19" t="n">
        <v>3645816158.63</v>
      </c>
      <c r="C598" s="19" t="n">
        <v>0</v>
      </c>
      <c r="D598" s="19" t="n">
        <v>267239456</v>
      </c>
      <c r="E598" s="21" t="n">
        <f aca="false">B598+C598</f>
        <v>3645816158.63</v>
      </c>
      <c r="F598" s="21" t="n">
        <f aca="false">E598+D598</f>
        <v>3913055614.63</v>
      </c>
      <c r="G598" s="22" t="n">
        <f aca="false">IFERROR(C598/E598,0)</f>
        <v>0</v>
      </c>
      <c r="H598" s="19" t="n">
        <v>1267839</v>
      </c>
      <c r="I598" s="19" t="n">
        <v>41666</v>
      </c>
      <c r="J598" s="19" t="n">
        <v>39456</v>
      </c>
      <c r="K598" s="21" t="n">
        <f aca="false">H598+I598</f>
        <v>1309505</v>
      </c>
      <c r="L598" s="20"/>
      <c r="M598" s="21" t="n">
        <f aca="false">H598-L598</f>
        <v>1267839</v>
      </c>
      <c r="N598" s="23" t="n">
        <f aca="false">IFERROR(M598/B598*10000,0)</f>
        <v>3.4775176389487</v>
      </c>
      <c r="O598" s="19" t="n">
        <v>1229804</v>
      </c>
      <c r="P598" s="19" t="n">
        <v>40416</v>
      </c>
      <c r="Q598" s="21" t="n">
        <f aca="false">O598+P598</f>
        <v>1270220</v>
      </c>
      <c r="R598" s="22" t="n">
        <f aca="false">IF(A598&lt;HlpChangeDate,HlpSharePre,HlpSharePost)</f>
        <v>0.03</v>
      </c>
      <c r="S598" s="21" t="n">
        <f aca="false">Q598*R598/(1-R598)</f>
        <v>39285.1546391753</v>
      </c>
      <c r="T598" s="19" t="n">
        <v>39456</v>
      </c>
      <c r="U598" s="21" t="n">
        <f aca="false">S598-T598</f>
        <v>-170.845360824744</v>
      </c>
      <c r="V598" s="21" t="n">
        <f aca="false">Y598-O598*R598/(1-R598)</f>
        <v>-0.175257731956663</v>
      </c>
      <c r="W598" s="21" t="n">
        <f aca="false">Z598-P598*R598/(1-R598)</f>
        <v>0.020618556701038</v>
      </c>
      <c r="X598" s="21" t="n">
        <f aca="false">S598+V598+W598</f>
        <v>39285</v>
      </c>
      <c r="Y598" s="19" t="n">
        <v>38035</v>
      </c>
      <c r="Z598" s="19" t="n">
        <v>1250</v>
      </c>
      <c r="AA598" s="19" t="n">
        <v>1270220</v>
      </c>
      <c r="AB598" s="29" t="n">
        <v>23.163</v>
      </c>
      <c r="AC598" s="29" t="n">
        <v>24.7135</v>
      </c>
      <c r="AD598" s="24" t="n">
        <f aca="false">IFERROR(AA598/AC598,0)</f>
        <v>51397.8190058065</v>
      </c>
      <c r="AE598" s="25" t="n">
        <f aca="false">K598-Q598-X598</f>
        <v>0</v>
      </c>
      <c r="AF598" s="25" t="n">
        <f aca="false">Q598-AA598</f>
        <v>0</v>
      </c>
      <c r="AG598" s="19" t="n">
        <v>1315214.812271</v>
      </c>
      <c r="AH598" s="26" t="n">
        <f aca="false">IFERROR(AG598/Q598,0)</f>
        <v>1.03542284979846</v>
      </c>
      <c r="AI598" s="27" t="n">
        <v>303150943.396226</v>
      </c>
      <c r="AJ598" s="26" t="n">
        <f aca="false">IF(AI598&gt;0,AprCoef/SQRT(AI598),0)</f>
        <v>0.0272238084049918</v>
      </c>
      <c r="AK598" s="24" t="n">
        <f aca="false">AI598*AJ598/365</f>
        <v>22610.7484953736</v>
      </c>
      <c r="AL598" s="24" t="n">
        <f aca="false">AD598</f>
        <v>51397.8190058065</v>
      </c>
      <c r="AM598" s="24" t="n">
        <f aca="false">AK598-AL598</f>
        <v>-28787.0705104329</v>
      </c>
      <c r="AN598" s="28" t="str">
        <f aca="false">IF(A598&gt;=Hip3LaunchDate,"YES","")</f>
        <v/>
      </c>
      <c r="AO598" s="28" t="str">
        <f aca="false">IF(A598&lt;Hip4LaunchDate,"pre-launch","live (zero-fee)")</f>
        <v>pre-launch</v>
      </c>
      <c r="AP598" s="20"/>
      <c r="AQ598" s="20"/>
      <c r="AR598" s="20"/>
    </row>
    <row r="599" customFormat="false" ht="15" hidden="false" customHeight="false" outlineLevel="0" collapsed="false">
      <c r="A599" s="18" t="n">
        <v>45660</v>
      </c>
      <c r="B599" s="19" t="n">
        <v>3573160271.4</v>
      </c>
      <c r="C599" s="19" t="n">
        <v>0</v>
      </c>
      <c r="D599" s="19" t="n">
        <v>176550030</v>
      </c>
      <c r="E599" s="21" t="n">
        <f aca="false">B599+C599</f>
        <v>3573160271.4</v>
      </c>
      <c r="F599" s="21" t="n">
        <f aca="false">E599+D599</f>
        <v>3749710301.4</v>
      </c>
      <c r="G599" s="22" t="n">
        <f aca="false">IFERROR(C599/E599,0)</f>
        <v>0</v>
      </c>
      <c r="H599" s="19" t="n">
        <v>1374850</v>
      </c>
      <c r="I599" s="19" t="n">
        <v>37005</v>
      </c>
      <c r="J599" s="19" t="n">
        <v>42237</v>
      </c>
      <c r="K599" s="21" t="n">
        <f aca="false">H599+I599</f>
        <v>1411855</v>
      </c>
      <c r="L599" s="20"/>
      <c r="M599" s="21" t="n">
        <f aca="false">H599-L599</f>
        <v>1374850</v>
      </c>
      <c r="N599" s="23" t="n">
        <f aca="false">IFERROR(M599/B599*10000,0)</f>
        <v>3.84771433569455</v>
      </c>
      <c r="O599" s="19" t="n">
        <v>1333605</v>
      </c>
      <c r="P599" s="19" t="n">
        <v>35895</v>
      </c>
      <c r="Q599" s="21" t="n">
        <f aca="false">O599+P599</f>
        <v>1369500</v>
      </c>
      <c r="R599" s="22" t="n">
        <f aca="false">IF(A599&lt;HlpChangeDate,HlpSharePre,HlpSharePost)</f>
        <v>0.03</v>
      </c>
      <c r="S599" s="21" t="n">
        <f aca="false">Q599*R599/(1-R599)</f>
        <v>42355.6701030928</v>
      </c>
      <c r="T599" s="19" t="n">
        <v>42237</v>
      </c>
      <c r="U599" s="21" t="n">
        <f aca="false">S599-T599</f>
        <v>118.670103092787</v>
      </c>
      <c r="V599" s="21" t="n">
        <f aca="false">Y599-O599*R599/(1-R599)</f>
        <v>0.484536082469276</v>
      </c>
      <c r="W599" s="21" t="n">
        <f aca="false">Z599-P599*R599/(1-R599)</f>
        <v>-0.154639175257671</v>
      </c>
      <c r="X599" s="21" t="n">
        <f aca="false">S599+V599+W599</f>
        <v>42356</v>
      </c>
      <c r="Y599" s="19" t="n">
        <v>41246</v>
      </c>
      <c r="Z599" s="19" t="n">
        <v>1110</v>
      </c>
      <c r="AA599" s="19" t="n">
        <v>1369500</v>
      </c>
      <c r="AB599" s="29" t="n">
        <v>24.442</v>
      </c>
      <c r="AC599" s="29" t="n">
        <v>23.553</v>
      </c>
      <c r="AD599" s="24" t="n">
        <f aca="false">IFERROR(AA599/AC599,0)</f>
        <v>58145.4591771749</v>
      </c>
      <c r="AE599" s="25" t="n">
        <f aca="false">K599-Q599-X599</f>
        <v>-1</v>
      </c>
      <c r="AF599" s="25" t="n">
        <f aca="false">Q599-AA599</f>
        <v>0</v>
      </c>
      <c r="AG599" s="19" t="n">
        <v>1407906.33726302</v>
      </c>
      <c r="AH599" s="26" t="n">
        <f aca="false">IFERROR(AG599/Q599,0)</f>
        <v>1.02804405787734</v>
      </c>
      <c r="AI599" s="27" t="n">
        <v>303867924.528302</v>
      </c>
      <c r="AJ599" s="26" t="n">
        <f aca="false">IF(AI599&gt;0,AprCoef/SQRT(AI599),0)</f>
        <v>0.0271916719357926</v>
      </c>
      <c r="AK599" s="24" t="n">
        <f aca="false">AI599*AJ599/365</f>
        <v>22637.4710015993</v>
      </c>
      <c r="AL599" s="24" t="n">
        <f aca="false">AD599</f>
        <v>58145.4591771749</v>
      </c>
      <c r="AM599" s="24" t="n">
        <f aca="false">AK599-AL599</f>
        <v>-35507.9881755756</v>
      </c>
      <c r="AN599" s="28" t="str">
        <f aca="false">IF(A599&gt;=Hip3LaunchDate,"YES","")</f>
        <v/>
      </c>
      <c r="AO599" s="28" t="str">
        <f aca="false">IF(A599&lt;Hip4LaunchDate,"pre-launch","live (zero-fee)")</f>
        <v>pre-launch</v>
      </c>
      <c r="AP599" s="20"/>
      <c r="AQ599" s="20"/>
      <c r="AR599" s="20"/>
    </row>
    <row r="600" customFormat="false" ht="15" hidden="false" customHeight="false" outlineLevel="0" collapsed="false">
      <c r="A600" s="18" t="n">
        <v>45661</v>
      </c>
      <c r="B600" s="19" t="n">
        <v>2506267603.42</v>
      </c>
      <c r="C600" s="19" t="n">
        <v>0</v>
      </c>
      <c r="D600" s="19" t="n">
        <v>119410641</v>
      </c>
      <c r="E600" s="21" t="n">
        <f aca="false">B600+C600</f>
        <v>2506267603.42</v>
      </c>
      <c r="F600" s="21" t="n">
        <f aca="false">E600+D600</f>
        <v>2625678244.42</v>
      </c>
      <c r="G600" s="22" t="n">
        <f aca="false">IFERROR(C600/E600,0)</f>
        <v>0</v>
      </c>
      <c r="H600" s="19" t="n">
        <v>1049852</v>
      </c>
      <c r="I600" s="19" t="n">
        <v>25377</v>
      </c>
      <c r="J600" s="19" t="n">
        <v>32375</v>
      </c>
      <c r="K600" s="21" t="n">
        <f aca="false">H600+I600</f>
        <v>1075229</v>
      </c>
      <c r="L600" s="20"/>
      <c r="M600" s="21" t="n">
        <f aca="false">H600-L600</f>
        <v>1049852</v>
      </c>
      <c r="N600" s="23" t="n">
        <f aca="false">IFERROR(M600/B600*10000,0)</f>
        <v>4.18890623877272</v>
      </c>
      <c r="O600" s="19" t="n">
        <v>1018356</v>
      </c>
      <c r="P600" s="19" t="n">
        <v>24616</v>
      </c>
      <c r="Q600" s="21" t="n">
        <f aca="false">O600+P600</f>
        <v>1042972</v>
      </c>
      <c r="R600" s="22" t="n">
        <f aca="false">IF(A600&lt;HlpChangeDate,HlpSharePre,HlpSharePost)</f>
        <v>0.03</v>
      </c>
      <c r="S600" s="21" t="n">
        <f aca="false">Q600*R600/(1-R600)</f>
        <v>32256.8659793814</v>
      </c>
      <c r="T600" s="19" t="n">
        <v>32375</v>
      </c>
      <c r="U600" s="21" t="n">
        <f aca="false">S600-T600</f>
        <v>-118.134020618556</v>
      </c>
      <c r="V600" s="21" t="n">
        <f aca="false">Y600-O600*R600/(1-R600)</f>
        <v>0.45360824742238</v>
      </c>
      <c r="W600" s="21" t="n">
        <f aca="false">Z600-P600*R600/(1-R600)</f>
        <v>-0.319587628865975</v>
      </c>
      <c r="X600" s="21" t="n">
        <f aca="false">S600+V600+W600</f>
        <v>32257</v>
      </c>
      <c r="Y600" s="19" t="n">
        <v>31496</v>
      </c>
      <c r="Z600" s="19" t="n">
        <v>761</v>
      </c>
      <c r="AA600" s="19" t="n">
        <v>1042972</v>
      </c>
      <c r="AB600" s="29" t="n">
        <v>25.022</v>
      </c>
      <c r="AC600" s="29" t="n">
        <v>24.50225</v>
      </c>
      <c r="AD600" s="24" t="n">
        <f aca="false">IFERROR(AA600/AC600,0)</f>
        <v>42566.3765572549</v>
      </c>
      <c r="AE600" s="25" t="n">
        <f aca="false">K600-Q600-X600</f>
        <v>0</v>
      </c>
      <c r="AF600" s="25" t="n">
        <f aca="false">Q600-AA600</f>
        <v>0</v>
      </c>
      <c r="AG600" s="19" t="n">
        <v>1079177.15722698</v>
      </c>
      <c r="AH600" s="26" t="n">
        <f aca="false">IFERROR(AG600/Q600,0)</f>
        <v>1.03471345081841</v>
      </c>
      <c r="AI600" s="27" t="n">
        <v>304584905.660377</v>
      </c>
      <c r="AJ600" s="26" t="n">
        <f aca="false">IF(AI600&gt;0,AprCoef/SQRT(AI600),0)</f>
        <v>0.027159649005491</v>
      </c>
      <c r="AK600" s="24" t="n">
        <f aca="false">AI600*AJ600/365</f>
        <v>22664.1620002916</v>
      </c>
      <c r="AL600" s="24" t="n">
        <f aca="false">AD600</f>
        <v>42566.3765572549</v>
      </c>
      <c r="AM600" s="24" t="n">
        <f aca="false">AK600-AL600</f>
        <v>-19902.2145569633</v>
      </c>
      <c r="AN600" s="28" t="str">
        <f aca="false">IF(A600&gt;=Hip3LaunchDate,"YES","")</f>
        <v/>
      </c>
      <c r="AO600" s="28" t="str">
        <f aca="false">IF(A600&lt;Hip4LaunchDate,"pre-launch","live (zero-fee)")</f>
        <v>pre-launch</v>
      </c>
      <c r="AP600" s="20"/>
      <c r="AQ600" s="20"/>
      <c r="AR600" s="20"/>
    </row>
    <row r="601" customFormat="false" ht="15" hidden="false" customHeight="false" outlineLevel="0" collapsed="false">
      <c r="A601" s="18" t="n">
        <v>45662</v>
      </c>
      <c r="B601" s="19" t="n">
        <v>2149149006.15</v>
      </c>
      <c r="C601" s="19" t="n">
        <v>0</v>
      </c>
      <c r="D601" s="19" t="n">
        <v>174388254</v>
      </c>
      <c r="E601" s="21" t="n">
        <f aca="false">B601+C601</f>
        <v>2149149006.15</v>
      </c>
      <c r="F601" s="21" t="n">
        <f aca="false">E601+D601</f>
        <v>2323537260.15</v>
      </c>
      <c r="G601" s="22" t="n">
        <f aca="false">IFERROR(C601/E601,0)</f>
        <v>0</v>
      </c>
      <c r="H601" s="19" t="n">
        <v>996395</v>
      </c>
      <c r="I601" s="19" t="n">
        <v>19262</v>
      </c>
      <c r="J601" s="19" t="n">
        <v>30390</v>
      </c>
      <c r="K601" s="21" t="n">
        <f aca="false">H601+I601</f>
        <v>1015657</v>
      </c>
      <c r="L601" s="20"/>
      <c r="M601" s="21" t="n">
        <f aca="false">H601-L601</f>
        <v>996395</v>
      </c>
      <c r="N601" s="23" t="n">
        <f aca="false">IFERROR(M601/B601*10000,0)</f>
        <v>4.63623042026736</v>
      </c>
      <c r="O601" s="19" t="n">
        <v>966503</v>
      </c>
      <c r="P601" s="19" t="n">
        <v>18684</v>
      </c>
      <c r="Q601" s="21" t="n">
        <f aca="false">O601+P601</f>
        <v>985187</v>
      </c>
      <c r="R601" s="22" t="n">
        <f aca="false">IF(A601&lt;HlpChangeDate,HlpSharePre,HlpSharePost)</f>
        <v>0.03</v>
      </c>
      <c r="S601" s="21" t="n">
        <f aca="false">Q601*R601/(1-R601)</f>
        <v>30469.7010309278</v>
      </c>
      <c r="T601" s="19" t="n">
        <v>30390</v>
      </c>
      <c r="U601" s="21" t="n">
        <f aca="false">S601-T601</f>
        <v>79.7010309278376</v>
      </c>
      <c r="V601" s="21" t="n">
        <f aca="false">Y601-O601*R601/(1-R601)</f>
        <v>0.154639175256307</v>
      </c>
      <c r="W601" s="21" t="n">
        <f aca="false">Z601-P601*R601/(1-R601)</f>
        <v>0.144329896907266</v>
      </c>
      <c r="X601" s="21" t="n">
        <f aca="false">S601+V601+W601</f>
        <v>30470</v>
      </c>
      <c r="Y601" s="19" t="n">
        <v>29892</v>
      </c>
      <c r="Z601" s="19" t="n">
        <v>578</v>
      </c>
      <c r="AA601" s="19" t="n">
        <v>985187</v>
      </c>
      <c r="AB601" s="29" t="n">
        <v>24.401</v>
      </c>
      <c r="AC601" s="29" t="n">
        <v>24.84725</v>
      </c>
      <c r="AD601" s="24" t="n">
        <f aca="false">IFERROR(AA601/AC601,0)</f>
        <v>39649.7399108553</v>
      </c>
      <c r="AE601" s="25" t="n">
        <f aca="false">K601-Q601-X601</f>
        <v>0</v>
      </c>
      <c r="AF601" s="25" t="n">
        <f aca="false">Q601-AA601</f>
        <v>0</v>
      </c>
      <c r="AG601" s="19" t="n">
        <v>1013010.196435</v>
      </c>
      <c r="AH601" s="26" t="n">
        <f aca="false">IFERROR(AG601/Q601,0)</f>
        <v>1.02824153834247</v>
      </c>
      <c r="AI601" s="27" t="n">
        <v>305301886.792453</v>
      </c>
      <c r="AJ601" s="26" t="n">
        <f aca="false">IF(AI601&gt;0,AprCoef/SQRT(AI601),0)</f>
        <v>0.0271277389470986</v>
      </c>
      <c r="AK601" s="24" t="n">
        <f aca="false">AI601*AJ601/365</f>
        <v>22690.8216026365</v>
      </c>
      <c r="AL601" s="24" t="n">
        <f aca="false">AD601</f>
        <v>39649.7399108553</v>
      </c>
      <c r="AM601" s="24" t="n">
        <f aca="false">AK601-AL601</f>
        <v>-16958.9183082189</v>
      </c>
      <c r="AN601" s="28" t="str">
        <f aca="false">IF(A601&gt;=Hip3LaunchDate,"YES","")</f>
        <v/>
      </c>
      <c r="AO601" s="28" t="str">
        <f aca="false">IF(A601&lt;Hip4LaunchDate,"pre-launch","live (zero-fee)")</f>
        <v>pre-launch</v>
      </c>
      <c r="AP601" s="20"/>
      <c r="AQ601" s="20"/>
      <c r="AR601" s="20"/>
    </row>
    <row r="602" customFormat="false" ht="15" hidden="false" customHeight="false" outlineLevel="0" collapsed="false">
      <c r="A602" s="18" t="n">
        <v>45663</v>
      </c>
      <c r="B602" s="19" t="n">
        <v>4404918704.1</v>
      </c>
      <c r="C602" s="19" t="n">
        <v>0</v>
      </c>
      <c r="D602" s="19" t="n">
        <v>194364069</v>
      </c>
      <c r="E602" s="21" t="n">
        <f aca="false">B602+C602</f>
        <v>4404918704.1</v>
      </c>
      <c r="F602" s="21" t="n">
        <f aca="false">E602+D602</f>
        <v>4599282773.1</v>
      </c>
      <c r="G602" s="22" t="n">
        <f aca="false">IFERROR(C602/E602,0)</f>
        <v>0</v>
      </c>
      <c r="H602" s="19" t="n">
        <v>1045371</v>
      </c>
      <c r="I602" s="19" t="n">
        <v>23453</v>
      </c>
      <c r="J602" s="19" t="n">
        <v>32144</v>
      </c>
      <c r="K602" s="21" t="n">
        <f aca="false">H602+I602</f>
        <v>1068824</v>
      </c>
      <c r="L602" s="20"/>
      <c r="M602" s="21" t="n">
        <f aca="false">H602-L602</f>
        <v>1045371</v>
      </c>
      <c r="N602" s="23" t="n">
        <f aca="false">IFERROR(M602/B602*10000,0)</f>
        <v>2.37319022261862</v>
      </c>
      <c r="O602" s="19" t="n">
        <v>1014010</v>
      </c>
      <c r="P602" s="19" t="n">
        <v>22750</v>
      </c>
      <c r="Q602" s="21" t="n">
        <f aca="false">O602+P602</f>
        <v>1036760</v>
      </c>
      <c r="R602" s="22" t="n">
        <f aca="false">IF(A602&lt;HlpChangeDate,HlpSharePre,HlpSharePost)</f>
        <v>0.03</v>
      </c>
      <c r="S602" s="21" t="n">
        <f aca="false">Q602*R602/(1-R602)</f>
        <v>32064.7422680412</v>
      </c>
      <c r="T602" s="19" t="n">
        <v>32144</v>
      </c>
      <c r="U602" s="21" t="n">
        <f aca="false">S602-T602</f>
        <v>-79.2577319587617</v>
      </c>
      <c r="V602" s="21" t="n">
        <f aca="false">Y602-O602*R602/(1-R602)</f>
        <v>-0.134020618555951</v>
      </c>
      <c r="W602" s="21" t="n">
        <f aca="false">Z602-P602*R602/(1-R602)</f>
        <v>0.391752577319608</v>
      </c>
      <c r="X602" s="21" t="n">
        <f aca="false">S602+V602+W602</f>
        <v>32065</v>
      </c>
      <c r="Y602" s="19" t="n">
        <v>31361</v>
      </c>
      <c r="Z602" s="19" t="n">
        <v>704</v>
      </c>
      <c r="AA602" s="19" t="n">
        <v>1036760</v>
      </c>
      <c r="AB602" s="29" t="n">
        <v>25.231</v>
      </c>
      <c r="AC602" s="29" t="n">
        <v>24.98975</v>
      </c>
      <c r="AD602" s="24" t="n">
        <f aca="false">IFERROR(AA602/AC602,0)</f>
        <v>41487.4098380336</v>
      </c>
      <c r="AE602" s="25" t="n">
        <f aca="false">K602-Q602-X602</f>
        <v>-1.00000000000364</v>
      </c>
      <c r="AF602" s="25" t="n">
        <f aca="false">Q602-AA602</f>
        <v>0</v>
      </c>
      <c r="AG602" s="19" t="n">
        <v>1071471.743931</v>
      </c>
      <c r="AH602" s="26" t="n">
        <f aca="false">IFERROR(AG602/Q602,0)</f>
        <v>1.03348098299606</v>
      </c>
      <c r="AI602" s="27" t="n">
        <v>306018867.924528</v>
      </c>
      <c r="AJ602" s="26" t="n">
        <f aca="false">IF(AI602&gt;0,AprCoef/SQRT(AI602),0)</f>
        <v>0.0270959410990996</v>
      </c>
      <c r="AK602" s="24" t="n">
        <f aca="false">AI602*AJ602/365</f>
        <v>22717.4499191675</v>
      </c>
      <c r="AL602" s="24" t="n">
        <f aca="false">AD602</f>
        <v>41487.4098380336</v>
      </c>
      <c r="AM602" s="24" t="n">
        <f aca="false">AK602-AL602</f>
        <v>-18769.9599188661</v>
      </c>
      <c r="AN602" s="28" t="str">
        <f aca="false">IF(A602&gt;=Hip3LaunchDate,"YES","")</f>
        <v/>
      </c>
      <c r="AO602" s="28" t="str">
        <f aca="false">IF(A602&lt;Hip4LaunchDate,"pre-launch","live (zero-fee)")</f>
        <v>pre-launch</v>
      </c>
      <c r="AP602" s="20"/>
      <c r="AQ602" s="20"/>
      <c r="AR602" s="20"/>
    </row>
    <row r="603" customFormat="false" ht="15" hidden="false" customHeight="false" outlineLevel="0" collapsed="false">
      <c r="A603" s="18" t="n">
        <v>45664</v>
      </c>
      <c r="B603" s="19" t="n">
        <v>7004545546.81</v>
      </c>
      <c r="C603" s="19" t="n">
        <v>0</v>
      </c>
      <c r="D603" s="19" t="n">
        <v>298520602</v>
      </c>
      <c r="E603" s="21" t="n">
        <f aca="false">B603+C603</f>
        <v>7004545546.81</v>
      </c>
      <c r="F603" s="21" t="n">
        <f aca="false">E603+D603</f>
        <v>7303066148.81</v>
      </c>
      <c r="G603" s="22" t="n">
        <f aca="false">IFERROR(C603/E603,0)</f>
        <v>0</v>
      </c>
      <c r="H603" s="19" t="n">
        <v>2149311</v>
      </c>
      <c r="I603" s="19" t="n">
        <v>30214</v>
      </c>
      <c r="J603" s="19" t="n">
        <v>65386</v>
      </c>
      <c r="K603" s="21" t="n">
        <f aca="false">H603+I603</f>
        <v>2179525</v>
      </c>
      <c r="L603" s="20"/>
      <c r="M603" s="21" t="n">
        <f aca="false">H603-L603</f>
        <v>2149311</v>
      </c>
      <c r="N603" s="23" t="n">
        <f aca="false">IFERROR(M603/B603*10000,0)</f>
        <v>3.06845174413754</v>
      </c>
      <c r="O603" s="19" t="n">
        <v>2084832</v>
      </c>
      <c r="P603" s="19" t="n">
        <v>29308</v>
      </c>
      <c r="Q603" s="21" t="n">
        <f aca="false">O603+P603</f>
        <v>2114140</v>
      </c>
      <c r="R603" s="22" t="n">
        <f aca="false">IF(A603&lt;HlpChangeDate,HlpSharePre,HlpSharePost)</f>
        <v>0.03</v>
      </c>
      <c r="S603" s="21" t="n">
        <f aca="false">Q603*R603/(1-R603)</f>
        <v>65385.7731958763</v>
      </c>
      <c r="T603" s="19" t="n">
        <v>65386</v>
      </c>
      <c r="U603" s="21" t="n">
        <f aca="false">S603-T603</f>
        <v>-0.22680412371119</v>
      </c>
      <c r="V603" s="21" t="n">
        <f aca="false">Y603-O603*R603/(1-R603)</f>
        <v>-0.340206185566785</v>
      </c>
      <c r="W603" s="21" t="n">
        <f aca="false">Z603-P603*R603/(1-R603)</f>
        <v>-0.432989690721684</v>
      </c>
      <c r="X603" s="21" t="n">
        <f aca="false">S603+V603+W603</f>
        <v>65385</v>
      </c>
      <c r="Y603" s="19" t="n">
        <v>64479</v>
      </c>
      <c r="Z603" s="19" t="n">
        <v>906</v>
      </c>
      <c r="AA603" s="19" t="n">
        <v>2114140</v>
      </c>
      <c r="AB603" s="29" t="n">
        <v>23.496</v>
      </c>
      <c r="AC603" s="29" t="n">
        <v>24.45975</v>
      </c>
      <c r="AD603" s="24" t="n">
        <f aca="false">IFERROR(AA603/AC603,0)</f>
        <v>86433.4263432783</v>
      </c>
      <c r="AE603" s="25" t="n">
        <f aca="false">K603-Q603-X603</f>
        <v>0</v>
      </c>
      <c r="AF603" s="25" t="n">
        <f aca="false">Q603-AA603</f>
        <v>0</v>
      </c>
      <c r="AG603" s="19" t="n">
        <v>2179525.50049201</v>
      </c>
      <c r="AH603" s="26" t="n">
        <f aca="false">IFERROR(AG603/Q603,0)</f>
        <v>1.0309277060611</v>
      </c>
      <c r="AI603" s="27" t="n">
        <v>306735849.056604</v>
      </c>
      <c r="AJ603" s="26" t="n">
        <f aca="false">IF(AI603&gt;0,AprCoef/SQRT(AI603),0)</f>
        <v>0.0270642548053932</v>
      </c>
      <c r="AK603" s="24" t="n">
        <f aca="false">AI603*AJ603/365</f>
        <v>22744.0470597714</v>
      </c>
      <c r="AL603" s="24" t="n">
        <f aca="false">AD603</f>
        <v>86433.4263432783</v>
      </c>
      <c r="AM603" s="24" t="n">
        <f aca="false">AK603-AL603</f>
        <v>-63689.3792835069</v>
      </c>
      <c r="AN603" s="28" t="str">
        <f aca="false">IF(A603&gt;=Hip3LaunchDate,"YES","")</f>
        <v/>
      </c>
      <c r="AO603" s="28" t="str">
        <f aca="false">IF(A603&lt;Hip4LaunchDate,"pre-launch","live (zero-fee)")</f>
        <v>pre-launch</v>
      </c>
      <c r="AP603" s="20"/>
      <c r="AQ603" s="20"/>
      <c r="AR603" s="20"/>
    </row>
    <row r="604" customFormat="false" ht="15" hidden="false" customHeight="false" outlineLevel="0" collapsed="false">
      <c r="A604" s="18" t="n">
        <v>45665</v>
      </c>
      <c r="B604" s="19" t="n">
        <v>6019784666.99</v>
      </c>
      <c r="C604" s="19" t="n">
        <v>0</v>
      </c>
      <c r="D604" s="19" t="n">
        <v>325463853</v>
      </c>
      <c r="E604" s="21" t="n">
        <f aca="false">B604+C604</f>
        <v>6019784666.99</v>
      </c>
      <c r="F604" s="21" t="n">
        <f aca="false">E604+D604</f>
        <v>6345248519.99</v>
      </c>
      <c r="G604" s="22" t="n">
        <f aca="false">IFERROR(C604/E604,0)</f>
        <v>0</v>
      </c>
      <c r="H604" s="19" t="n">
        <v>1767943</v>
      </c>
      <c r="I604" s="19" t="n">
        <v>45273</v>
      </c>
      <c r="J604" s="19" t="n">
        <v>54396</v>
      </c>
      <c r="K604" s="21" t="n">
        <f aca="false">H604+I604</f>
        <v>1813216</v>
      </c>
      <c r="L604" s="20"/>
      <c r="M604" s="21" t="n">
        <f aca="false">H604-L604</f>
        <v>1767943</v>
      </c>
      <c r="N604" s="23" t="n">
        <f aca="false">IFERROR(M604/B604*10000,0)</f>
        <v>2.93688744332445</v>
      </c>
      <c r="O604" s="19" t="n">
        <v>1714904</v>
      </c>
      <c r="P604" s="19" t="n">
        <v>43915</v>
      </c>
      <c r="Q604" s="21" t="n">
        <f aca="false">O604+P604</f>
        <v>1758819</v>
      </c>
      <c r="R604" s="22" t="n">
        <f aca="false">IF(A604&lt;HlpChangeDate,HlpSharePre,HlpSharePost)</f>
        <v>0.03</v>
      </c>
      <c r="S604" s="21" t="n">
        <f aca="false">Q604*R604/(1-R604)</f>
        <v>54396.4639175258</v>
      </c>
      <c r="T604" s="19" t="n">
        <v>54396</v>
      </c>
      <c r="U604" s="21" t="n">
        <f aca="false">S604-T604</f>
        <v>0.463917525776196</v>
      </c>
      <c r="V604" s="21" t="n">
        <f aca="false">Y604-O604*R604/(1-R604)</f>
        <v>-0.268041237111902</v>
      </c>
      <c r="W604" s="21" t="n">
        <f aca="false">Z604-P604*R604/(1-R604)</f>
        <v>-0.195876288659974</v>
      </c>
      <c r="X604" s="21" t="n">
        <f aca="false">S604+V604+W604</f>
        <v>54396</v>
      </c>
      <c r="Y604" s="19" t="n">
        <v>53038</v>
      </c>
      <c r="Z604" s="19" t="n">
        <v>1358</v>
      </c>
      <c r="AA604" s="19" t="n">
        <v>1758819</v>
      </c>
      <c r="AB604" s="29" t="n">
        <v>22.5</v>
      </c>
      <c r="AC604" s="29" t="n">
        <v>22.511</v>
      </c>
      <c r="AD604" s="24" t="n">
        <f aca="false">IFERROR(AA604/AC604,0)</f>
        <v>78131.5356936609</v>
      </c>
      <c r="AE604" s="25" t="n">
        <f aca="false">K604-Q604-X604</f>
        <v>0.999999999992724</v>
      </c>
      <c r="AF604" s="25" t="n">
        <f aca="false">Q604-AA604</f>
        <v>0</v>
      </c>
      <c r="AG604" s="19" t="n">
        <v>1813215.975389</v>
      </c>
      <c r="AH604" s="26" t="n">
        <f aca="false">IFERROR(AG604/Q604,0)</f>
        <v>1.03092812585548</v>
      </c>
      <c r="AI604" s="27" t="n">
        <v>307452830.188679</v>
      </c>
      <c r="AJ604" s="26" t="n">
        <f aca="false">IF(AI604&gt;0,AprCoef/SQRT(AI604),0)</f>
        <v>0.0270326794152371</v>
      </c>
      <c r="AK604" s="24" t="n">
        <f aca="false">AI604*AJ604/365</f>
        <v>22770.6131336929</v>
      </c>
      <c r="AL604" s="24" t="n">
        <f aca="false">AD604</f>
        <v>78131.5356936609</v>
      </c>
      <c r="AM604" s="24" t="n">
        <f aca="false">AK604-AL604</f>
        <v>-55360.922559968</v>
      </c>
      <c r="AN604" s="28" t="str">
        <f aca="false">IF(A604&gt;=Hip3LaunchDate,"YES","")</f>
        <v/>
      </c>
      <c r="AO604" s="28" t="str">
        <f aca="false">IF(A604&lt;Hip4LaunchDate,"pre-launch","live (zero-fee)")</f>
        <v>pre-launch</v>
      </c>
      <c r="AP604" s="20"/>
      <c r="AQ604" s="20"/>
      <c r="AR604" s="20"/>
    </row>
    <row r="605" customFormat="false" ht="15" hidden="false" customHeight="false" outlineLevel="0" collapsed="false">
      <c r="A605" s="18" t="n">
        <v>45666</v>
      </c>
      <c r="B605" s="19" t="n">
        <v>7123327274.13</v>
      </c>
      <c r="C605" s="19" t="n">
        <v>0</v>
      </c>
      <c r="D605" s="19" t="n">
        <v>194078337</v>
      </c>
      <c r="E605" s="21" t="n">
        <f aca="false">B605+C605</f>
        <v>7123327274.13</v>
      </c>
      <c r="F605" s="21" t="n">
        <f aca="false">E605+D605</f>
        <v>7317405611.13</v>
      </c>
      <c r="G605" s="22" t="n">
        <f aca="false">IFERROR(C605/E605,0)</f>
        <v>0</v>
      </c>
      <c r="H605" s="19" t="n">
        <v>1933268</v>
      </c>
      <c r="I605" s="19" t="n">
        <v>47391</v>
      </c>
      <c r="J605" s="19" t="n">
        <v>59189</v>
      </c>
      <c r="K605" s="21" t="n">
        <f aca="false">H605+I605</f>
        <v>1980659</v>
      </c>
      <c r="L605" s="20"/>
      <c r="M605" s="21" t="n">
        <f aca="false">H605-L605</f>
        <v>1933268</v>
      </c>
      <c r="N605" s="23" t="n">
        <f aca="false">IFERROR(M605/B605*10000,0)</f>
        <v>2.71399575732131</v>
      </c>
      <c r="O605" s="19" t="n">
        <v>1875270</v>
      </c>
      <c r="P605" s="19" t="n">
        <v>45969</v>
      </c>
      <c r="Q605" s="21" t="n">
        <f aca="false">O605+P605</f>
        <v>1921239</v>
      </c>
      <c r="R605" s="22" t="n">
        <f aca="false">IF(A605&lt;HlpChangeDate,HlpSharePre,HlpSharePost)</f>
        <v>0.03</v>
      </c>
      <c r="S605" s="21" t="n">
        <f aca="false">Q605*R605/(1-R605)</f>
        <v>59419.7628865979</v>
      </c>
      <c r="T605" s="19" t="n">
        <v>59189</v>
      </c>
      <c r="U605" s="21" t="n">
        <f aca="false">S605-T605</f>
        <v>230.762886597935</v>
      </c>
      <c r="V605" s="21" t="n">
        <f aca="false">Y605-O605*R605/(1-R605)</f>
        <v>-0.0412371134007117</v>
      </c>
      <c r="W605" s="21" t="n">
        <f aca="false">Z605-P605*R605/(1-R605)</f>
        <v>0.278350515463899</v>
      </c>
      <c r="X605" s="21" t="n">
        <f aca="false">S605+V605+W605</f>
        <v>59420</v>
      </c>
      <c r="Y605" s="19" t="n">
        <v>57998</v>
      </c>
      <c r="Z605" s="19" t="n">
        <v>1422</v>
      </c>
      <c r="AA605" s="19" t="n">
        <v>1921239</v>
      </c>
      <c r="AB605" s="29" t="n">
        <v>20.273</v>
      </c>
      <c r="AC605" s="29" t="n">
        <v>21.393</v>
      </c>
      <c r="AD605" s="24" t="n">
        <f aca="false">IFERROR(AA605/AC605,0)</f>
        <v>89806.8994530921</v>
      </c>
      <c r="AE605" s="25" t="n">
        <f aca="false">K605-Q605-X605</f>
        <v>0</v>
      </c>
      <c r="AF605" s="25" t="n">
        <f aca="false">Q605-AA605</f>
        <v>0</v>
      </c>
      <c r="AG605" s="19" t="n">
        <v>1972950.64523801</v>
      </c>
      <c r="AH605" s="26" t="n">
        <f aca="false">IFERROR(AG605/Q605,0)</f>
        <v>1.02691577947252</v>
      </c>
      <c r="AI605" s="27" t="n">
        <v>308169811.320755</v>
      </c>
      <c r="AJ605" s="26" t="n">
        <f aca="false">IF(AI605&gt;0,AprCoef/SQRT(AI605),0)</f>
        <v>0.0270012142831909</v>
      </c>
      <c r="AK605" s="24" t="n">
        <f aca="false">AI605*AJ605/365</f>
        <v>22797.1482495403</v>
      </c>
      <c r="AL605" s="24" t="n">
        <f aca="false">AD605</f>
        <v>89806.8994530921</v>
      </c>
      <c r="AM605" s="24" t="n">
        <f aca="false">AK605-AL605</f>
        <v>-67009.7512035519</v>
      </c>
      <c r="AN605" s="28" t="str">
        <f aca="false">IF(A605&gt;=Hip3LaunchDate,"YES","")</f>
        <v/>
      </c>
      <c r="AO605" s="28" t="str">
        <f aca="false">IF(A605&lt;Hip4LaunchDate,"pre-launch","live (zero-fee)")</f>
        <v>pre-launch</v>
      </c>
      <c r="AP605" s="20"/>
      <c r="AQ605" s="20"/>
      <c r="AR605" s="20"/>
    </row>
    <row r="606" customFormat="false" ht="15" hidden="false" customHeight="false" outlineLevel="0" collapsed="false">
      <c r="A606" s="18" t="n">
        <v>45667</v>
      </c>
      <c r="B606" s="19" t="n">
        <v>5110006119.87</v>
      </c>
      <c r="C606" s="19" t="n">
        <v>0</v>
      </c>
      <c r="D606" s="19" t="n">
        <v>104484914</v>
      </c>
      <c r="E606" s="21" t="n">
        <f aca="false">B606+C606</f>
        <v>5110006119.87</v>
      </c>
      <c r="F606" s="21" t="n">
        <f aca="false">E606+D606</f>
        <v>5214491033.87</v>
      </c>
      <c r="G606" s="22" t="n">
        <f aca="false">IFERROR(C606/E606,0)</f>
        <v>0</v>
      </c>
      <c r="H606" s="19" t="n">
        <v>1492881</v>
      </c>
      <c r="I606" s="19" t="n">
        <v>27771</v>
      </c>
      <c r="J606" s="19" t="n">
        <v>45851</v>
      </c>
      <c r="K606" s="21" t="n">
        <f aca="false">H606+I606</f>
        <v>1520652</v>
      </c>
      <c r="L606" s="20"/>
      <c r="M606" s="21" t="n">
        <f aca="false">H606-L606</f>
        <v>1492881</v>
      </c>
      <c r="N606" s="23" t="n">
        <f aca="false">IFERROR(M606/B606*10000,0)</f>
        <v>2.92148573794268</v>
      </c>
      <c r="O606" s="19" t="n">
        <v>1448094</v>
      </c>
      <c r="P606" s="19" t="n">
        <v>26938</v>
      </c>
      <c r="Q606" s="21" t="n">
        <f aca="false">O606+P606</f>
        <v>1475032</v>
      </c>
      <c r="R606" s="22" t="n">
        <f aca="false">IF(A606&lt;HlpChangeDate,HlpSharePre,HlpSharePost)</f>
        <v>0.03</v>
      </c>
      <c r="S606" s="21" t="n">
        <f aca="false">Q606*R606/(1-R606)</f>
        <v>45619.5463917526</v>
      </c>
      <c r="T606" s="19" t="n">
        <v>45851</v>
      </c>
      <c r="U606" s="21" t="n">
        <f aca="false">S606-T606</f>
        <v>-231.453608247422</v>
      </c>
      <c r="V606" s="21" t="n">
        <f aca="false">Y606-O606*R606/(1-R606)</f>
        <v>-0.412371134021669</v>
      </c>
      <c r="W606" s="21" t="n">
        <f aca="false">Z606-P606*R606/(1-R606)</f>
        <v>-0.134020618556747</v>
      </c>
      <c r="X606" s="21" t="n">
        <f aca="false">S606+V606+W606</f>
        <v>45619</v>
      </c>
      <c r="Y606" s="19" t="n">
        <v>44786</v>
      </c>
      <c r="Z606" s="19" t="n">
        <v>833</v>
      </c>
      <c r="AA606" s="19" t="n">
        <v>1475032</v>
      </c>
      <c r="AB606" s="29" t="n">
        <v>20.654</v>
      </c>
      <c r="AC606" s="29" t="n">
        <v>20.70975</v>
      </c>
      <c r="AD606" s="24" t="n">
        <f aca="false">IFERROR(AA606/AC606,0)</f>
        <v>71224.0369874093</v>
      </c>
      <c r="AE606" s="25" t="n">
        <f aca="false">K606-Q606-X606</f>
        <v>1</v>
      </c>
      <c r="AF606" s="25" t="n">
        <f aca="false">Q606-AA606</f>
        <v>0</v>
      </c>
      <c r="AG606" s="19" t="n">
        <v>1528359.65326998</v>
      </c>
      <c r="AH606" s="26" t="n">
        <f aca="false">IFERROR(AG606/Q606,0)</f>
        <v>1.03615355685163</v>
      </c>
      <c r="AI606" s="27" t="n">
        <v>308886792.45283</v>
      </c>
      <c r="AJ606" s="26" t="n">
        <f aca="false">IF(AI606&gt;0,AprCoef/SQRT(AI606),0)</f>
        <v>0.0269698587690609</v>
      </c>
      <c r="AK606" s="24" t="n">
        <f aca="false">AI606*AJ606/365</f>
        <v>22823.6525152905</v>
      </c>
      <c r="AL606" s="24" t="n">
        <f aca="false">AD606</f>
        <v>71224.0369874093</v>
      </c>
      <c r="AM606" s="24" t="n">
        <f aca="false">AK606-AL606</f>
        <v>-48400.3844721188</v>
      </c>
      <c r="AN606" s="28" t="str">
        <f aca="false">IF(A606&gt;=Hip3LaunchDate,"YES","")</f>
        <v/>
      </c>
      <c r="AO606" s="28" t="str">
        <f aca="false">IF(A606&lt;Hip4LaunchDate,"pre-launch","live (zero-fee)")</f>
        <v>pre-launch</v>
      </c>
      <c r="AP606" s="20"/>
      <c r="AQ606" s="20"/>
      <c r="AR606" s="20"/>
    </row>
    <row r="607" customFormat="false" ht="15" hidden="false" customHeight="false" outlineLevel="0" collapsed="false">
      <c r="A607" s="18" t="n">
        <v>45668</v>
      </c>
      <c r="B607" s="19" t="n">
        <v>1975220110.65</v>
      </c>
      <c r="C607" s="19" t="n">
        <v>0</v>
      </c>
      <c r="D607" s="19" t="n">
        <v>104729289</v>
      </c>
      <c r="E607" s="21" t="n">
        <f aca="false">B607+C607</f>
        <v>1975220110.65</v>
      </c>
      <c r="F607" s="21" t="n">
        <f aca="false">E607+D607</f>
        <v>2079949399.65</v>
      </c>
      <c r="G607" s="22" t="n">
        <f aca="false">IFERROR(C607/E607,0)</f>
        <v>0</v>
      </c>
      <c r="H607" s="19" t="n">
        <v>457618</v>
      </c>
      <c r="I607" s="19" t="n">
        <v>14961</v>
      </c>
      <c r="J607" s="19" t="n">
        <v>14177</v>
      </c>
      <c r="K607" s="21" t="n">
        <f aca="false">H607+I607</f>
        <v>472579</v>
      </c>
      <c r="L607" s="20"/>
      <c r="M607" s="21" t="n">
        <f aca="false">H607-L607</f>
        <v>457618</v>
      </c>
      <c r="N607" s="23" t="n">
        <f aca="false">IFERROR(M607/B607*10000,0)</f>
        <v>2.316794961395</v>
      </c>
      <c r="O607" s="19" t="n">
        <v>443890</v>
      </c>
      <c r="P607" s="19" t="n">
        <v>14512</v>
      </c>
      <c r="Q607" s="21" t="n">
        <f aca="false">O607+P607</f>
        <v>458402</v>
      </c>
      <c r="R607" s="22" t="n">
        <f aca="false">IF(A607&lt;HlpChangeDate,HlpSharePre,HlpSharePost)</f>
        <v>0.03</v>
      </c>
      <c r="S607" s="21" t="n">
        <f aca="false">Q607*R607/(1-R607)</f>
        <v>14177.381443299</v>
      </c>
      <c r="T607" s="19" t="n">
        <v>14177</v>
      </c>
      <c r="U607" s="21" t="n">
        <f aca="false">S607-T607</f>
        <v>0.381443298969316</v>
      </c>
      <c r="V607" s="21" t="n">
        <f aca="false">Y607-O607*R607/(1-R607)</f>
        <v>0.443298969072202</v>
      </c>
      <c r="W607" s="21" t="n">
        <f aca="false">Z607-P607*R607/(1-R607)</f>
        <v>0.175257731958823</v>
      </c>
      <c r="X607" s="21" t="n">
        <f aca="false">S607+V607+W607</f>
        <v>14178</v>
      </c>
      <c r="Y607" s="19" t="n">
        <v>13729</v>
      </c>
      <c r="Z607" s="19" t="n">
        <v>449</v>
      </c>
      <c r="AA607" s="19" t="n">
        <v>458402</v>
      </c>
      <c r="AB607" s="29" t="n">
        <v>20.884</v>
      </c>
      <c r="AC607" s="29" t="n">
        <v>20.54925</v>
      </c>
      <c r="AD607" s="24" t="n">
        <f aca="false">IFERROR(AA607/AC607,0)</f>
        <v>22307.480808302</v>
      </c>
      <c r="AE607" s="25" t="n">
        <f aca="false">K607-Q607-X607</f>
        <v>-1</v>
      </c>
      <c r="AF607" s="25" t="n">
        <f aca="false">Q607-AA607</f>
        <v>0</v>
      </c>
      <c r="AG607" s="19" t="n">
        <v>472579.051990002</v>
      </c>
      <c r="AH607" s="26" t="n">
        <f aca="false">IFERROR(AG607/Q607,0)</f>
        <v>1.03092711635203</v>
      </c>
      <c r="AI607" s="27" t="n">
        <v>309603773.584906</v>
      </c>
      <c r="AJ607" s="26" t="n">
        <f aca="false">IF(AI607&gt;0,AprCoef/SQRT(AI607),0)</f>
        <v>0.0269386122378454</v>
      </c>
      <c r="AK607" s="24" t="n">
        <f aca="false">AI607*AJ607/365</f>
        <v>22850.1260382944</v>
      </c>
      <c r="AL607" s="24" t="n">
        <f aca="false">AD607</f>
        <v>22307.480808302</v>
      </c>
      <c r="AM607" s="24" t="n">
        <f aca="false">AK607-AL607</f>
        <v>542.645229992384</v>
      </c>
      <c r="AN607" s="28" t="str">
        <f aca="false">IF(A607&gt;=Hip3LaunchDate,"YES","")</f>
        <v/>
      </c>
      <c r="AO607" s="28" t="str">
        <f aca="false">IF(A607&lt;Hip4LaunchDate,"pre-launch","live (zero-fee)")</f>
        <v>pre-launch</v>
      </c>
      <c r="AP607" s="20"/>
      <c r="AQ607" s="20"/>
      <c r="AR607" s="20"/>
    </row>
    <row r="608" customFormat="false" ht="15" hidden="false" customHeight="false" outlineLevel="0" collapsed="false">
      <c r="A608" s="18" t="n">
        <v>45669</v>
      </c>
      <c r="B608" s="19" t="n">
        <v>1868823313.52</v>
      </c>
      <c r="C608" s="19" t="n">
        <v>0</v>
      </c>
      <c r="D608" s="19" t="n">
        <v>230154418</v>
      </c>
      <c r="E608" s="21" t="n">
        <f aca="false">B608+C608</f>
        <v>1868823313.52</v>
      </c>
      <c r="F608" s="21" t="n">
        <f aca="false">E608+D608</f>
        <v>2098977731.52</v>
      </c>
      <c r="G608" s="22" t="n">
        <f aca="false">IFERROR(C608/E608,0)</f>
        <v>0</v>
      </c>
      <c r="H608" s="20"/>
      <c r="I608" s="20"/>
      <c r="J608" s="20"/>
      <c r="K608" s="21" t="n">
        <f aca="false">H608+I608</f>
        <v>0</v>
      </c>
      <c r="L608" s="20"/>
      <c r="M608" s="21" t="n">
        <f aca="false">H608-L608</f>
        <v>0</v>
      </c>
      <c r="N608" s="23" t="n">
        <f aca="false">IFERROR(M608/B608*10000,0)</f>
        <v>0</v>
      </c>
      <c r="O608" s="20"/>
      <c r="P608" s="20"/>
      <c r="Q608" s="21" t="n">
        <f aca="false">O608+P608</f>
        <v>0</v>
      </c>
      <c r="R608" s="22" t="n">
        <f aca="false">IF(A608&lt;HlpChangeDate,HlpSharePre,HlpSharePost)</f>
        <v>0.03</v>
      </c>
      <c r="S608" s="21" t="n">
        <f aca="false">Q608*R608/(1-R608)</f>
        <v>0</v>
      </c>
      <c r="T608" s="20"/>
      <c r="U608" s="21" t="n">
        <f aca="false">S608-T608</f>
        <v>0</v>
      </c>
      <c r="V608" s="21" t="n">
        <f aca="false">Y608-O608*R608/(1-R608)</f>
        <v>0</v>
      </c>
      <c r="W608" s="21" t="n">
        <f aca="false">Z608-P608*R608/(1-R608)</f>
        <v>0</v>
      </c>
      <c r="X608" s="21" t="n">
        <f aca="false">S608+V608+W608</f>
        <v>0</v>
      </c>
      <c r="Y608" s="20"/>
      <c r="Z608" s="20"/>
      <c r="AA608" s="19" t="n">
        <v>0</v>
      </c>
      <c r="AB608" s="29" t="n">
        <v>21.117</v>
      </c>
      <c r="AC608" s="29" t="n">
        <v>20.9875</v>
      </c>
      <c r="AD608" s="24" t="n">
        <f aca="false">IFERROR(AA608/AC608,0)</f>
        <v>0</v>
      </c>
      <c r="AE608" s="25" t="n">
        <f aca="false">K608-Q608-X608</f>
        <v>0</v>
      </c>
      <c r="AF608" s="25" t="n">
        <f aca="false">Q608-AA608</f>
        <v>0</v>
      </c>
      <c r="AG608" s="19" t="n">
        <v>479173.59285</v>
      </c>
      <c r="AH608" s="26" t="n">
        <f aca="false">IFERROR(AG608/Q608,0)</f>
        <v>0</v>
      </c>
      <c r="AI608" s="27" t="n">
        <v>310320754.716981</v>
      </c>
      <c r="AJ608" s="26" t="n">
        <f aca="false">IF(AI608&gt;0,AprCoef/SQRT(AI608),0)</f>
        <v>0.0269074740596807</v>
      </c>
      <c r="AK608" s="24" t="n">
        <f aca="false">AI608*AJ608/365</f>
        <v>22876.5689252814</v>
      </c>
      <c r="AL608" s="24" t="n">
        <f aca="false">AD608</f>
        <v>0</v>
      </c>
      <c r="AM608" s="24" t="n">
        <f aca="false">AK608-AL608</f>
        <v>22876.5689252814</v>
      </c>
      <c r="AN608" s="28" t="str">
        <f aca="false">IF(A608&gt;=Hip3LaunchDate,"YES","")</f>
        <v/>
      </c>
      <c r="AO608" s="28" t="str">
        <f aca="false">IF(A608&lt;Hip4LaunchDate,"pre-launch","live (zero-fee)")</f>
        <v>pre-launch</v>
      </c>
      <c r="AP608" s="20"/>
      <c r="AQ608" s="20"/>
      <c r="AR608" s="20"/>
    </row>
    <row r="609" customFormat="false" ht="15" hidden="false" customHeight="false" outlineLevel="0" collapsed="false">
      <c r="A609" s="18" t="n">
        <v>45670</v>
      </c>
      <c r="B609" s="19" t="n">
        <v>7614889367.9</v>
      </c>
      <c r="C609" s="19" t="n">
        <v>0</v>
      </c>
      <c r="D609" s="19" t="n">
        <v>195123318</v>
      </c>
      <c r="E609" s="21" t="n">
        <f aca="false">B609+C609</f>
        <v>7614889367.9</v>
      </c>
      <c r="F609" s="21" t="n">
        <f aca="false">E609+D609</f>
        <v>7810012685.9</v>
      </c>
      <c r="G609" s="22" t="n">
        <f aca="false">IFERROR(C609/E609,0)</f>
        <v>0</v>
      </c>
      <c r="H609" s="20"/>
      <c r="I609" s="20"/>
      <c r="J609" s="20"/>
      <c r="K609" s="21" t="n">
        <f aca="false">H609+I609</f>
        <v>0</v>
      </c>
      <c r="L609" s="20"/>
      <c r="M609" s="21" t="n">
        <f aca="false">H609-L609</f>
        <v>0</v>
      </c>
      <c r="N609" s="23" t="n">
        <f aca="false">IFERROR(M609/B609*10000,0)</f>
        <v>0</v>
      </c>
      <c r="O609" s="20"/>
      <c r="P609" s="20"/>
      <c r="Q609" s="21" t="n">
        <f aca="false">O609+P609</f>
        <v>0</v>
      </c>
      <c r="R609" s="22" t="n">
        <f aca="false">IF(A609&lt;HlpChangeDate,HlpSharePre,HlpSharePost)</f>
        <v>0.03</v>
      </c>
      <c r="S609" s="21" t="n">
        <f aca="false">Q609*R609/(1-R609)</f>
        <v>0</v>
      </c>
      <c r="T609" s="20"/>
      <c r="U609" s="21" t="n">
        <f aca="false">S609-T609</f>
        <v>0</v>
      </c>
      <c r="V609" s="21" t="n">
        <f aca="false">Y609-O609*R609/(1-R609)</f>
        <v>0</v>
      </c>
      <c r="W609" s="21" t="n">
        <f aca="false">Z609-P609*R609/(1-R609)</f>
        <v>0</v>
      </c>
      <c r="X609" s="21" t="n">
        <f aca="false">S609+V609+W609</f>
        <v>0</v>
      </c>
      <c r="Y609" s="20"/>
      <c r="Z609" s="20"/>
      <c r="AA609" s="19" t="n">
        <v>0</v>
      </c>
      <c r="AB609" s="29" t="n">
        <v>21.629</v>
      </c>
      <c r="AC609" s="29" t="n">
        <v>21.24875</v>
      </c>
      <c r="AD609" s="24" t="n">
        <f aca="false">IFERROR(AA609/AC609,0)</f>
        <v>0</v>
      </c>
      <c r="AE609" s="25" t="n">
        <f aca="false">K609-Q609-X609</f>
        <v>0</v>
      </c>
      <c r="AF609" s="25" t="n">
        <f aca="false">Q609-AA609</f>
        <v>0</v>
      </c>
      <c r="AG609" s="19" t="n">
        <v>2330484.77984002</v>
      </c>
      <c r="AH609" s="26" t="n">
        <f aca="false">IFERROR(AG609/Q609,0)</f>
        <v>0</v>
      </c>
      <c r="AI609" s="27" t="n">
        <v>311037735.849057</v>
      </c>
      <c r="AJ609" s="26" t="n">
        <f aca="false">IF(AI609&gt;0,AprCoef/SQRT(AI609),0)</f>
        <v>0.0268764436097877</v>
      </c>
      <c r="AK609" s="24" t="n">
        <f aca="false">AI609*AJ609/365</f>
        <v>22902.981282365</v>
      </c>
      <c r="AL609" s="24" t="n">
        <f aca="false">AD609</f>
        <v>0</v>
      </c>
      <c r="AM609" s="24" t="n">
        <f aca="false">AK609-AL609</f>
        <v>22902.981282365</v>
      </c>
      <c r="AN609" s="28" t="str">
        <f aca="false">IF(A609&gt;=Hip3LaunchDate,"YES","")</f>
        <v/>
      </c>
      <c r="AO609" s="28" t="str">
        <f aca="false">IF(A609&lt;Hip4LaunchDate,"pre-launch","live (zero-fee)")</f>
        <v>pre-launch</v>
      </c>
      <c r="AP609" s="20"/>
      <c r="AQ609" s="20"/>
      <c r="AR609" s="20"/>
    </row>
    <row r="610" customFormat="false" ht="15" hidden="false" customHeight="false" outlineLevel="0" collapsed="false">
      <c r="A610" s="18" t="n">
        <v>45671</v>
      </c>
      <c r="B610" s="19" t="n">
        <v>4164534612.21</v>
      </c>
      <c r="C610" s="19" t="n">
        <v>0</v>
      </c>
      <c r="D610" s="19" t="n">
        <v>186174573</v>
      </c>
      <c r="E610" s="21" t="n">
        <f aca="false">B610+C610</f>
        <v>4164534612.21</v>
      </c>
      <c r="F610" s="21" t="n">
        <f aca="false">E610+D610</f>
        <v>4350709185.21</v>
      </c>
      <c r="G610" s="22" t="n">
        <f aca="false">IFERROR(C610/E610,0)</f>
        <v>0</v>
      </c>
      <c r="H610" s="19" t="n">
        <v>1243879</v>
      </c>
      <c r="I610" s="19" t="n">
        <v>24324</v>
      </c>
      <c r="J610" s="19" t="n">
        <v>38194</v>
      </c>
      <c r="K610" s="21" t="n">
        <f aca="false">H610+I610</f>
        <v>1268203</v>
      </c>
      <c r="L610" s="20"/>
      <c r="M610" s="21" t="n">
        <f aca="false">H610-L610</f>
        <v>1243879</v>
      </c>
      <c r="N610" s="23" t="n">
        <f aca="false">IFERROR(M610/B610*10000,0)</f>
        <v>2.9868379442761</v>
      </c>
      <c r="O610" s="19" t="n">
        <v>1206563</v>
      </c>
      <c r="P610" s="19" t="n">
        <v>23594</v>
      </c>
      <c r="Q610" s="21" t="n">
        <f aca="false">O610+P610</f>
        <v>1230157</v>
      </c>
      <c r="R610" s="22" t="n">
        <f aca="false">IF(A610&lt;HlpChangeDate,HlpSharePre,HlpSharePost)</f>
        <v>0.03</v>
      </c>
      <c r="S610" s="21" t="n">
        <f aca="false">Q610*R610/(1-R610)</f>
        <v>38046.0927835052</v>
      </c>
      <c r="T610" s="19" t="n">
        <v>38194</v>
      </c>
      <c r="U610" s="21" t="n">
        <f aca="false">S610-T610</f>
        <v>-147.907216494845</v>
      </c>
      <c r="V610" s="21" t="n">
        <f aca="false">Y610-O610*R610/(1-R610)</f>
        <v>-0.381443298967497</v>
      </c>
      <c r="W610" s="21" t="n">
        <f aca="false">Z610-P610*R610/(1-R610)</f>
        <v>0.288659793814531</v>
      </c>
      <c r="X610" s="21" t="n">
        <f aca="false">S610+V610+W610</f>
        <v>38046</v>
      </c>
      <c r="Y610" s="19" t="n">
        <v>37316</v>
      </c>
      <c r="Z610" s="19" t="n">
        <v>730</v>
      </c>
      <c r="AA610" s="19" t="n">
        <v>1230157</v>
      </c>
      <c r="AB610" s="29" t="n">
        <v>22.999</v>
      </c>
      <c r="AC610" s="29" t="n">
        <v>22.35025</v>
      </c>
      <c r="AD610" s="24" t="n">
        <f aca="false">IFERROR(AA610/AC610,0)</f>
        <v>55039.9659959061</v>
      </c>
      <c r="AE610" s="25" t="n">
        <f aca="false">K610-Q610-X610</f>
        <v>0</v>
      </c>
      <c r="AF610" s="25" t="n">
        <f aca="false">Q610-AA610</f>
        <v>0</v>
      </c>
      <c r="AG610" s="19" t="n">
        <v>1273120.84688997</v>
      </c>
      <c r="AH610" s="26" t="n">
        <f aca="false">IFERROR(AG610/Q610,0)</f>
        <v>1.03492549885094</v>
      </c>
      <c r="AI610" s="27" t="n">
        <v>311754716.981132</v>
      </c>
      <c r="AJ610" s="26" t="n">
        <f aca="false">IF(AI610&gt;0,AprCoef/SQRT(AI610),0)</f>
        <v>0.0268455202684194</v>
      </c>
      <c r="AK610" s="24" t="n">
        <f aca="false">AI610*AJ610/365</f>
        <v>22929.3632150475</v>
      </c>
      <c r="AL610" s="24" t="n">
        <f aca="false">AD610</f>
        <v>55039.9659959061</v>
      </c>
      <c r="AM610" s="24" t="n">
        <f aca="false">AK610-AL610</f>
        <v>-32110.6027808586</v>
      </c>
      <c r="AN610" s="28" t="str">
        <f aca="false">IF(A610&gt;=Hip3LaunchDate,"YES","")</f>
        <v/>
      </c>
      <c r="AO610" s="28" t="str">
        <f aca="false">IF(A610&lt;Hip4LaunchDate,"pre-launch","live (zero-fee)")</f>
        <v>pre-launch</v>
      </c>
      <c r="AP610" s="20"/>
      <c r="AQ610" s="20"/>
      <c r="AR610" s="20"/>
    </row>
    <row r="611" customFormat="false" ht="15" hidden="false" customHeight="false" outlineLevel="0" collapsed="false">
      <c r="A611" s="18" t="n">
        <v>45672</v>
      </c>
      <c r="B611" s="19" t="n">
        <v>5315407561.35</v>
      </c>
      <c r="C611" s="19" t="n">
        <v>0</v>
      </c>
      <c r="D611" s="19" t="n">
        <v>125668891</v>
      </c>
      <c r="E611" s="21" t="n">
        <f aca="false">B611+C611</f>
        <v>5315407561.35</v>
      </c>
      <c r="F611" s="21" t="n">
        <f aca="false">E611+D611</f>
        <v>5441076452.35</v>
      </c>
      <c r="G611" s="22" t="n">
        <f aca="false">IFERROR(C611/E611,0)</f>
        <v>0</v>
      </c>
      <c r="H611" s="19" t="n">
        <v>1245669</v>
      </c>
      <c r="I611" s="19" t="n">
        <v>23915</v>
      </c>
      <c r="J611" s="19" t="n">
        <v>37801</v>
      </c>
      <c r="K611" s="21" t="n">
        <f aca="false">H611+I611</f>
        <v>1269584</v>
      </c>
      <c r="L611" s="20"/>
      <c r="M611" s="21" t="n">
        <f aca="false">H611-L611</f>
        <v>1245669</v>
      </c>
      <c r="N611" s="23" t="n">
        <f aca="false">IFERROR(M611/B611*10000,0)</f>
        <v>2.34350609172032</v>
      </c>
      <c r="O611" s="19" t="n">
        <v>1208299</v>
      </c>
      <c r="P611" s="19" t="n">
        <v>23198</v>
      </c>
      <c r="Q611" s="21" t="n">
        <f aca="false">O611+P611</f>
        <v>1231497</v>
      </c>
      <c r="R611" s="22" t="n">
        <f aca="false">IF(A611&lt;HlpChangeDate,HlpSharePre,HlpSharePost)</f>
        <v>0.03</v>
      </c>
      <c r="S611" s="21" t="n">
        <f aca="false">Q611*R611/(1-R611)</f>
        <v>38087.5360824742</v>
      </c>
      <c r="T611" s="19" t="n">
        <v>37801</v>
      </c>
      <c r="U611" s="21" t="n">
        <f aca="false">S611-T611</f>
        <v>286.536082474224</v>
      </c>
      <c r="V611" s="21" t="n">
        <f aca="false">Y611-O611*R611/(1-R611)</f>
        <v>-0.0721649484548834</v>
      </c>
      <c r="W611" s="21" t="n">
        <f aca="false">Z611-P611*R611/(1-R611)</f>
        <v>-0.463917525773127</v>
      </c>
      <c r="X611" s="21" t="n">
        <f aca="false">S611+V611+W611</f>
        <v>38087</v>
      </c>
      <c r="Y611" s="19" t="n">
        <v>37370</v>
      </c>
      <c r="Z611" s="19" t="n">
        <v>717</v>
      </c>
      <c r="AA611" s="19" t="n">
        <v>1231497</v>
      </c>
      <c r="AB611" s="29" t="n">
        <v>24.376</v>
      </c>
      <c r="AC611" s="29" t="n">
        <v>23.4695</v>
      </c>
      <c r="AD611" s="24" t="n">
        <f aca="false">IFERROR(AA611/AC611,0)</f>
        <v>52472.2299154221</v>
      </c>
      <c r="AE611" s="25" t="n">
        <f aca="false">K611-Q611-X611</f>
        <v>0</v>
      </c>
      <c r="AF611" s="25" t="n">
        <f aca="false">Q611-AA611</f>
        <v>0</v>
      </c>
      <c r="AG611" s="19" t="n">
        <v>1260041.50917602</v>
      </c>
      <c r="AH611" s="26" t="n">
        <f aca="false">IFERROR(AG611/Q611,0)</f>
        <v>1.02317870784583</v>
      </c>
      <c r="AI611" s="27" t="n">
        <v>312471698.113208</v>
      </c>
      <c r="AJ611" s="26" t="n">
        <f aca="false">IF(AI611&gt;0,AprCoef/SQRT(AI611),0)</f>
        <v>0.0268147034208085</v>
      </c>
      <c r="AK611" s="24" t="n">
        <f aca="false">AI611*AJ611/365</f>
        <v>22955.7148282249</v>
      </c>
      <c r="AL611" s="24" t="n">
        <f aca="false">AD611</f>
        <v>52472.2299154221</v>
      </c>
      <c r="AM611" s="24" t="n">
        <f aca="false">AK611-AL611</f>
        <v>-29516.5150871973</v>
      </c>
      <c r="AN611" s="28" t="str">
        <f aca="false">IF(A611&gt;=Hip3LaunchDate,"YES","")</f>
        <v/>
      </c>
      <c r="AO611" s="28" t="str">
        <f aca="false">IF(A611&lt;Hip4LaunchDate,"pre-launch","live (zero-fee)")</f>
        <v>pre-launch</v>
      </c>
      <c r="AP611" s="20"/>
      <c r="AQ611" s="20"/>
      <c r="AR611" s="20"/>
    </row>
    <row r="612" customFormat="false" ht="15" hidden="false" customHeight="false" outlineLevel="0" collapsed="false">
      <c r="A612" s="18" t="n">
        <v>45673</v>
      </c>
      <c r="B612" s="19" t="n">
        <v>5713611240.03</v>
      </c>
      <c r="C612" s="19" t="n">
        <v>0</v>
      </c>
      <c r="D612" s="19" t="n">
        <v>148144621</v>
      </c>
      <c r="E612" s="21" t="n">
        <f aca="false">B612+C612</f>
        <v>5713611240.03</v>
      </c>
      <c r="F612" s="21" t="n">
        <f aca="false">E612+D612</f>
        <v>5861755861.03</v>
      </c>
      <c r="G612" s="22" t="n">
        <f aca="false">IFERROR(C612/E612,0)</f>
        <v>0</v>
      </c>
      <c r="H612" s="19" t="n">
        <v>1677266</v>
      </c>
      <c r="I612" s="19" t="n">
        <v>18602</v>
      </c>
      <c r="J612" s="19" t="n">
        <v>51162</v>
      </c>
      <c r="K612" s="21" t="n">
        <f aca="false">H612+I612</f>
        <v>1695868</v>
      </c>
      <c r="L612" s="20"/>
      <c r="M612" s="21" t="n">
        <f aca="false">H612-L612</f>
        <v>1677266</v>
      </c>
      <c r="N612" s="23" t="n">
        <f aca="false">IFERROR(M612/B612*10000,0)</f>
        <v>2.93556199317333</v>
      </c>
      <c r="O612" s="19" t="n">
        <v>1626948</v>
      </c>
      <c r="P612" s="19" t="n">
        <v>18044</v>
      </c>
      <c r="Q612" s="21" t="n">
        <f aca="false">O612+P612</f>
        <v>1644992</v>
      </c>
      <c r="R612" s="22" t="n">
        <f aca="false">IF(A612&lt;HlpChangeDate,HlpSharePre,HlpSharePost)</f>
        <v>0.03</v>
      </c>
      <c r="S612" s="21" t="n">
        <f aca="false">Q612*R612/(1-R612)</f>
        <v>50876.0412371134</v>
      </c>
      <c r="T612" s="19" t="n">
        <v>51162</v>
      </c>
      <c r="U612" s="21" t="n">
        <f aca="false">S612-T612</f>
        <v>-285.958762886599</v>
      </c>
      <c r="V612" s="21" t="n">
        <f aca="false">Y612-O612*R612/(1-R612)</f>
        <v>0.0206185567076318</v>
      </c>
      <c r="W612" s="21" t="n">
        <f aca="false">Z612-P612*R612/(1-R612)</f>
        <v>-0.0618556701030002</v>
      </c>
      <c r="X612" s="21" t="n">
        <f aca="false">S612+V612+W612</f>
        <v>50876</v>
      </c>
      <c r="Y612" s="19" t="n">
        <v>50318</v>
      </c>
      <c r="Z612" s="19" t="n">
        <v>558</v>
      </c>
      <c r="AA612" s="19" t="n">
        <v>1644992</v>
      </c>
      <c r="AB612" s="29" t="n">
        <v>23.469</v>
      </c>
      <c r="AC612" s="29" t="n">
        <v>23.84675</v>
      </c>
      <c r="AD612" s="24" t="n">
        <f aca="false">IFERROR(AA612/AC612,0)</f>
        <v>68981.8109385975</v>
      </c>
      <c r="AE612" s="25" t="n">
        <f aca="false">K612-Q612-X612</f>
        <v>0</v>
      </c>
      <c r="AF612" s="25" t="n">
        <f aca="false">Q612-AA612</f>
        <v>0</v>
      </c>
      <c r="AG612" s="19" t="n">
        <v>1705410.04958499</v>
      </c>
      <c r="AH612" s="26" t="n">
        <f aca="false">IFERROR(AG612/Q612,0)</f>
        <v>1.03672847623878</v>
      </c>
      <c r="AI612" s="27" t="n">
        <v>313188679.245283</v>
      </c>
      <c r="AJ612" s="26" t="n">
        <f aca="false">IF(AI612&gt;0,AprCoef/SQRT(AI612),0)</f>
        <v>0.0267839924571168</v>
      </c>
      <c r="AK612" s="24" t="n">
        <f aca="false">AI612*AJ612/365</f>
        <v>22982.0362261919</v>
      </c>
      <c r="AL612" s="24" t="n">
        <f aca="false">AD612</f>
        <v>68981.8109385975</v>
      </c>
      <c r="AM612" s="24" t="n">
        <f aca="false">AK612-AL612</f>
        <v>-45999.7747124057</v>
      </c>
      <c r="AN612" s="28" t="str">
        <f aca="false">IF(A612&gt;=Hip3LaunchDate,"YES","")</f>
        <v/>
      </c>
      <c r="AO612" s="28" t="str">
        <f aca="false">IF(A612&lt;Hip4LaunchDate,"pre-launch","live (zero-fee)")</f>
        <v>pre-launch</v>
      </c>
      <c r="AP612" s="20"/>
      <c r="AQ612" s="20"/>
      <c r="AR612" s="20"/>
    </row>
    <row r="613" customFormat="false" ht="15" hidden="false" customHeight="false" outlineLevel="0" collapsed="false">
      <c r="A613" s="18" t="n">
        <v>45674</v>
      </c>
      <c r="B613" s="19" t="n">
        <v>5461277249.17</v>
      </c>
      <c r="C613" s="19" t="n">
        <v>0</v>
      </c>
      <c r="D613" s="19" t="n">
        <v>342126938</v>
      </c>
      <c r="E613" s="21" t="n">
        <f aca="false">B613+C613</f>
        <v>5461277249.17</v>
      </c>
      <c r="F613" s="21" t="n">
        <f aca="false">E613+D613</f>
        <v>5803404187.17</v>
      </c>
      <c r="G613" s="22" t="n">
        <f aca="false">IFERROR(C613/E613,0)</f>
        <v>0</v>
      </c>
      <c r="H613" s="19" t="n">
        <v>1677802</v>
      </c>
      <c r="I613" s="19" t="n">
        <v>20485</v>
      </c>
      <c r="J613" s="19" t="n">
        <v>50949</v>
      </c>
      <c r="K613" s="21" t="n">
        <f aca="false">H613+I613</f>
        <v>1698287</v>
      </c>
      <c r="L613" s="20"/>
      <c r="M613" s="21" t="n">
        <f aca="false">H613-L613</f>
        <v>1677802</v>
      </c>
      <c r="N613" s="23" t="n">
        <f aca="false">IFERROR(M613/B613*10000,0)</f>
        <v>3.07217876597455</v>
      </c>
      <c r="O613" s="19" t="n">
        <v>1627468</v>
      </c>
      <c r="P613" s="19" t="n">
        <v>19870</v>
      </c>
      <c r="Q613" s="21" t="n">
        <f aca="false">O613+P613</f>
        <v>1647338</v>
      </c>
      <c r="R613" s="22" t="n">
        <f aca="false">IF(A613&lt;HlpChangeDate,HlpSharePre,HlpSharePost)</f>
        <v>0.03</v>
      </c>
      <c r="S613" s="21" t="n">
        <f aca="false">Q613*R613/(1-R613)</f>
        <v>50948.5979381443</v>
      </c>
      <c r="T613" s="19" t="n">
        <v>50949</v>
      </c>
      <c r="U613" s="21" t="n">
        <f aca="false">S613-T613</f>
        <v>-0.402061855667853</v>
      </c>
      <c r="V613" s="21" t="n">
        <f aca="false">Y613-O613*R613/(1-R613)</f>
        <v>-0.0618556701083435</v>
      </c>
      <c r="W613" s="21" t="n">
        <f aca="false">Z613-P613*R613/(1-R613)</f>
        <v>0.463917525773127</v>
      </c>
      <c r="X613" s="21" t="n">
        <f aca="false">S613+V613+W613</f>
        <v>50949</v>
      </c>
      <c r="Y613" s="19" t="n">
        <v>50334</v>
      </c>
      <c r="Z613" s="19" t="n">
        <v>615</v>
      </c>
      <c r="AA613" s="19" t="n">
        <v>1647338</v>
      </c>
      <c r="AB613" s="29" t="n">
        <v>23.09</v>
      </c>
      <c r="AC613" s="29" t="n">
        <v>23.36875</v>
      </c>
      <c r="AD613" s="24" t="n">
        <f aca="false">IFERROR(AA613/AC613,0)</f>
        <v>70493.2013907462</v>
      </c>
      <c r="AE613" s="25" t="n">
        <f aca="false">K613-Q613-X613</f>
        <v>0</v>
      </c>
      <c r="AF613" s="25" t="n">
        <f aca="false">Q613-AA613</f>
        <v>0</v>
      </c>
      <c r="AG613" s="19" t="n">
        <v>1698286.66941002</v>
      </c>
      <c r="AH613" s="26" t="n">
        <f aca="false">IFERROR(AG613/Q613,0)</f>
        <v>1.03092787843783</v>
      </c>
      <c r="AI613" s="27" t="n">
        <v>313905660.377359</v>
      </c>
      <c r="AJ613" s="26" t="n">
        <f aca="false">IF(AI613&gt;0,AprCoef/SQRT(AI613),0)</f>
        <v>0.0267533867723836</v>
      </c>
      <c r="AK613" s="24" t="n">
        <f aca="false">AI613*AJ613/365</f>
        <v>23008.3275126465</v>
      </c>
      <c r="AL613" s="24" t="n">
        <f aca="false">AD613</f>
        <v>70493.2013907462</v>
      </c>
      <c r="AM613" s="24" t="n">
        <f aca="false">AK613-AL613</f>
        <v>-47484.8738780997</v>
      </c>
      <c r="AN613" s="28" t="str">
        <f aca="false">IF(A613&gt;=Hip3LaunchDate,"YES","")</f>
        <v/>
      </c>
      <c r="AO613" s="28" t="str">
        <f aca="false">IF(A613&lt;Hip4LaunchDate,"pre-launch","live (zero-fee)")</f>
        <v>pre-launch</v>
      </c>
      <c r="AP613" s="20"/>
      <c r="AQ613" s="20"/>
      <c r="AR613" s="20"/>
    </row>
    <row r="614" customFormat="false" ht="15" hidden="false" customHeight="false" outlineLevel="0" collapsed="false">
      <c r="A614" s="18" t="n">
        <v>45675</v>
      </c>
      <c r="B614" s="19" t="n">
        <v>9678960134.81</v>
      </c>
      <c r="C614" s="19" t="n">
        <v>0</v>
      </c>
      <c r="D614" s="19" t="n">
        <v>452915269</v>
      </c>
      <c r="E614" s="21" t="n">
        <f aca="false">B614+C614</f>
        <v>9678960134.81</v>
      </c>
      <c r="F614" s="21" t="n">
        <f aca="false">E614+D614</f>
        <v>10131875403.81</v>
      </c>
      <c r="G614" s="22" t="n">
        <f aca="false">IFERROR(C614/E614,0)</f>
        <v>0</v>
      </c>
      <c r="H614" s="19" t="n">
        <v>2787442</v>
      </c>
      <c r="I614" s="19" t="n">
        <v>52413</v>
      </c>
      <c r="J614" s="19" t="n">
        <v>84875</v>
      </c>
      <c r="K614" s="21" t="n">
        <f aca="false">H614+I614</f>
        <v>2839855</v>
      </c>
      <c r="L614" s="20"/>
      <c r="M614" s="21" t="n">
        <f aca="false">H614-L614</f>
        <v>2787442</v>
      </c>
      <c r="N614" s="23" t="n">
        <f aca="false">IFERROR(M614/B614*10000,0)</f>
        <v>2.87989821341972</v>
      </c>
      <c r="O614" s="19" t="n">
        <v>2703819</v>
      </c>
      <c r="P614" s="19" t="n">
        <v>50841</v>
      </c>
      <c r="Q614" s="21" t="n">
        <f aca="false">O614+P614</f>
        <v>2754660</v>
      </c>
      <c r="R614" s="22" t="n">
        <f aca="false">IF(A614&lt;HlpChangeDate,HlpSharePre,HlpSharePost)</f>
        <v>0.03</v>
      </c>
      <c r="S614" s="21" t="n">
        <f aca="false">Q614*R614/(1-R614)</f>
        <v>85195.6701030928</v>
      </c>
      <c r="T614" s="19" t="n">
        <v>84875</v>
      </c>
      <c r="U614" s="21" t="n">
        <f aca="false">S614-T614</f>
        <v>320.670103092794</v>
      </c>
      <c r="V614" s="21" t="n">
        <f aca="false">Y614-O614*R614/(1-R614)</f>
        <v>-0.268041237111902</v>
      </c>
      <c r="W614" s="21" t="n">
        <f aca="false">Z614-P614*R614/(1-R614)</f>
        <v>-0.402061855670127</v>
      </c>
      <c r="X614" s="21" t="n">
        <f aca="false">S614+V614+W614</f>
        <v>85195</v>
      </c>
      <c r="Y614" s="19" t="n">
        <v>83623</v>
      </c>
      <c r="Z614" s="19" t="n">
        <v>1572</v>
      </c>
      <c r="AA614" s="19" t="n">
        <v>2754660</v>
      </c>
      <c r="AB614" s="29" t="n">
        <v>21.937</v>
      </c>
      <c r="AC614" s="29" t="n">
        <v>21.7835</v>
      </c>
      <c r="AD614" s="24" t="n">
        <f aca="false">IFERROR(AA614/AC614,0)</f>
        <v>126456.262767691</v>
      </c>
      <c r="AE614" s="25" t="n">
        <f aca="false">K614-Q614-X614</f>
        <v>0</v>
      </c>
      <c r="AF614" s="25" t="n">
        <f aca="false">Q614-AA614</f>
        <v>0</v>
      </c>
      <c r="AG614" s="19" t="n">
        <v>2829175.92003799</v>
      </c>
      <c r="AH614" s="26" t="n">
        <f aca="false">IFERROR(AG614/Q614,0)</f>
        <v>1.02705085928499</v>
      </c>
      <c r="AI614" s="27" t="n">
        <v>314622641.509434</v>
      </c>
      <c r="AJ614" s="26" t="n">
        <f aca="false">IF(AI614&gt;0,AprCoef/SQRT(AI614),0)</f>
        <v>0.0267228857664766</v>
      </c>
      <c r="AK614" s="24" t="n">
        <f aca="false">AI614*AJ614/365</f>
        <v>23034.5887906951</v>
      </c>
      <c r="AL614" s="24" t="n">
        <f aca="false">AD614</f>
        <v>126456.262767691</v>
      </c>
      <c r="AM614" s="24" t="n">
        <f aca="false">AK614-AL614</f>
        <v>-103421.673976996</v>
      </c>
      <c r="AN614" s="28" t="str">
        <f aca="false">IF(A614&gt;=Hip3LaunchDate,"YES","")</f>
        <v/>
      </c>
      <c r="AO614" s="28" t="str">
        <f aca="false">IF(A614&lt;Hip4LaunchDate,"pre-launch","live (zero-fee)")</f>
        <v>pre-launch</v>
      </c>
      <c r="AP614" s="20"/>
      <c r="AQ614" s="20"/>
      <c r="AR614" s="20"/>
    </row>
    <row r="615" customFormat="false" ht="15" hidden="false" customHeight="false" outlineLevel="0" collapsed="false">
      <c r="A615" s="18" t="n">
        <v>45676</v>
      </c>
      <c r="B615" s="19" t="n">
        <v>17750219553.23</v>
      </c>
      <c r="C615" s="19" t="n">
        <v>0</v>
      </c>
      <c r="D615" s="19" t="n">
        <v>234451715</v>
      </c>
      <c r="E615" s="21" t="n">
        <f aca="false">B615+C615</f>
        <v>17750219553.23</v>
      </c>
      <c r="F615" s="21" t="n">
        <f aca="false">E615+D615</f>
        <v>17984671268.23</v>
      </c>
      <c r="G615" s="22" t="n">
        <f aca="false">IFERROR(C615/E615,0)</f>
        <v>0</v>
      </c>
      <c r="H615" s="19" t="n">
        <v>4250373</v>
      </c>
      <c r="I615" s="19" t="n">
        <v>61521</v>
      </c>
      <c r="J615" s="19" t="n">
        <v>128368</v>
      </c>
      <c r="K615" s="21" t="n">
        <f aca="false">H615+I615</f>
        <v>4311894</v>
      </c>
      <c r="L615" s="20"/>
      <c r="M615" s="21" t="n">
        <f aca="false">H615-L615</f>
        <v>4250373</v>
      </c>
      <c r="N615" s="23" t="n">
        <f aca="false">IFERROR(M615/B615*10000,0)</f>
        <v>2.39454671941033</v>
      </c>
      <c r="O615" s="19" t="n">
        <v>4122862</v>
      </c>
      <c r="P615" s="19" t="n">
        <v>59675</v>
      </c>
      <c r="Q615" s="21" t="n">
        <f aca="false">O615+P615</f>
        <v>4182537</v>
      </c>
      <c r="R615" s="22" t="n">
        <f aca="false">IF(A615&lt;HlpChangeDate,HlpSharePre,HlpSharePost)</f>
        <v>0.03</v>
      </c>
      <c r="S615" s="21" t="n">
        <f aca="false">Q615*R615/(1-R615)</f>
        <v>129356.81443299</v>
      </c>
      <c r="T615" s="19" t="n">
        <v>128368</v>
      </c>
      <c r="U615" s="21" t="n">
        <f aca="false">S615-T615</f>
        <v>988.81443298969</v>
      </c>
      <c r="V615" s="21" t="n">
        <f aca="false">Y615-O615*R615/(1-R615)</f>
        <v>-0.195876288664294</v>
      </c>
      <c r="W615" s="21" t="n">
        <f aca="false">Z615-P615*R615/(1-R615)</f>
        <v>0.381443298969089</v>
      </c>
      <c r="X615" s="21" t="n">
        <f aca="false">S615+V615+W615</f>
        <v>129357</v>
      </c>
      <c r="Y615" s="19" t="n">
        <v>127511</v>
      </c>
      <c r="Z615" s="19" t="n">
        <v>1846</v>
      </c>
      <c r="AA615" s="19" t="n">
        <v>4182537</v>
      </c>
      <c r="AB615" s="29" t="n">
        <v>20.198</v>
      </c>
      <c r="AC615" s="29" t="n">
        <v>21.25875</v>
      </c>
      <c r="AD615" s="24" t="n">
        <f aca="false">IFERROR(AA615/AC615,0)</f>
        <v>196744.258246604</v>
      </c>
      <c r="AE615" s="25" t="n">
        <f aca="false">K615-Q615-X615</f>
        <v>0</v>
      </c>
      <c r="AF615" s="25" t="n">
        <f aca="false">Q615-AA615</f>
        <v>0</v>
      </c>
      <c r="AG615" s="19" t="n">
        <v>4278948.03061301</v>
      </c>
      <c r="AH615" s="26" t="n">
        <f aca="false">IFERROR(AG615/Q615,0)</f>
        <v>1.02305084942775</v>
      </c>
      <c r="AI615" s="27" t="n">
        <v>315339622.641509</v>
      </c>
      <c r="AJ615" s="26" t="n">
        <f aca="false">IF(AI615&gt;0,AprCoef/SQRT(AI615),0)</f>
        <v>0.0266924888440416</v>
      </c>
      <c r="AK615" s="24" t="n">
        <f aca="false">AI615*AJ615/365</f>
        <v>23060.8201628569</v>
      </c>
      <c r="AL615" s="24" t="n">
        <f aca="false">AD615</f>
        <v>196744.258246604</v>
      </c>
      <c r="AM615" s="24" t="n">
        <f aca="false">AK615-AL615</f>
        <v>-173683.438083747</v>
      </c>
      <c r="AN615" s="28" t="str">
        <f aca="false">IF(A615&gt;=Hip3LaunchDate,"YES","")</f>
        <v/>
      </c>
      <c r="AO615" s="28" t="str">
        <f aca="false">IF(A615&lt;Hip4LaunchDate,"pre-launch","live (zero-fee)")</f>
        <v>pre-launch</v>
      </c>
      <c r="AP615" s="20"/>
      <c r="AQ615" s="20"/>
      <c r="AR615" s="20"/>
    </row>
    <row r="616" customFormat="false" ht="15" hidden="false" customHeight="false" outlineLevel="0" collapsed="false">
      <c r="A616" s="18" t="n">
        <v>45677</v>
      </c>
      <c r="B616" s="19" t="n">
        <v>16339004971.72</v>
      </c>
      <c r="C616" s="19" t="n">
        <v>0</v>
      </c>
      <c r="D616" s="19" t="n">
        <v>255573062</v>
      </c>
      <c r="E616" s="21" t="n">
        <f aca="false">B616+C616</f>
        <v>16339004971.72</v>
      </c>
      <c r="F616" s="21" t="n">
        <f aca="false">E616+D616</f>
        <v>16594578033.72</v>
      </c>
      <c r="G616" s="22" t="n">
        <f aca="false">IFERROR(C616/E616,0)</f>
        <v>0</v>
      </c>
      <c r="H616" s="19" t="n">
        <v>4044525</v>
      </c>
      <c r="I616" s="19" t="n">
        <v>34279</v>
      </c>
      <c r="J616" s="19" t="n">
        <v>122933</v>
      </c>
      <c r="K616" s="21" t="n">
        <f aca="false">H616+I616</f>
        <v>4078804</v>
      </c>
      <c r="L616" s="20"/>
      <c r="M616" s="21" t="n">
        <f aca="false">H616-L616</f>
        <v>4044525</v>
      </c>
      <c r="N616" s="23" t="n">
        <f aca="false">IFERROR(M616/B616*10000,0)</f>
        <v>2.47538023704649</v>
      </c>
      <c r="O616" s="19" t="n">
        <v>3923189</v>
      </c>
      <c r="P616" s="19" t="n">
        <v>33251</v>
      </c>
      <c r="Q616" s="21" t="n">
        <f aca="false">O616+P616</f>
        <v>3956440</v>
      </c>
      <c r="R616" s="22" t="n">
        <f aca="false">IF(A616&lt;HlpChangeDate,HlpSharePre,HlpSharePost)</f>
        <v>0.03</v>
      </c>
      <c r="S616" s="21" t="n">
        <f aca="false">Q616*R616/(1-R616)</f>
        <v>122364.12371134</v>
      </c>
      <c r="T616" s="19" t="n">
        <v>122933</v>
      </c>
      <c r="U616" s="21" t="n">
        <f aca="false">S616-T616</f>
        <v>-568.876288659798</v>
      </c>
      <c r="V616" s="21" t="n">
        <f aca="false">Y616-O616*R616/(1-R616)</f>
        <v>0.257731958758086</v>
      </c>
      <c r="W616" s="21" t="n">
        <f aca="false">Z616-P616*R616/(1-R616)</f>
        <v>-0.381443298969089</v>
      </c>
      <c r="X616" s="21" t="n">
        <f aca="false">S616+V616+W616</f>
        <v>122364</v>
      </c>
      <c r="Y616" s="19" t="n">
        <v>121336</v>
      </c>
      <c r="Z616" s="19" t="n">
        <v>1028</v>
      </c>
      <c r="AA616" s="19" t="n">
        <v>3956440</v>
      </c>
      <c r="AB616" s="29" t="n">
        <v>20.547</v>
      </c>
      <c r="AC616" s="29" t="n">
        <v>20.6965</v>
      </c>
      <c r="AD616" s="24" t="n">
        <f aca="false">IFERROR(AA616/AC616,0)</f>
        <v>191164.68968183</v>
      </c>
      <c r="AE616" s="25" t="n">
        <f aca="false">K616-Q616-X616</f>
        <v>0</v>
      </c>
      <c r="AF616" s="25" t="n">
        <f aca="false">Q616-AA616</f>
        <v>0</v>
      </c>
      <c r="AG616" s="19" t="n">
        <v>4097777.037617</v>
      </c>
      <c r="AH616" s="26" t="n">
        <f aca="false">IFERROR(AG616/Q616,0)</f>
        <v>1.03572328598867</v>
      </c>
      <c r="AI616" s="27" t="n">
        <v>316056603.773585</v>
      </c>
      <c r="AJ616" s="26" t="n">
        <f aca="false">IF(AI616&gt;0,AprCoef/SQRT(AI616),0)</f>
        <v>0.0266621954144543</v>
      </c>
      <c r="AK616" s="24" t="n">
        <f aca="false">AI616*AJ616/365</f>
        <v>23087.0217310687</v>
      </c>
      <c r="AL616" s="24" t="n">
        <f aca="false">AD616</f>
        <v>191164.68968183</v>
      </c>
      <c r="AM616" s="24" t="n">
        <f aca="false">AK616-AL616</f>
        <v>-168077.667950762</v>
      </c>
      <c r="AN616" s="28" t="str">
        <f aca="false">IF(A616&gt;=Hip3LaunchDate,"YES","")</f>
        <v/>
      </c>
      <c r="AO616" s="28" t="str">
        <f aca="false">IF(A616&lt;Hip4LaunchDate,"pre-launch","live (zero-fee)")</f>
        <v>pre-launch</v>
      </c>
      <c r="AP616" s="20"/>
      <c r="AQ616" s="20"/>
      <c r="AR616" s="20"/>
    </row>
    <row r="617" customFormat="false" ht="15" hidden="false" customHeight="false" outlineLevel="0" collapsed="false">
      <c r="A617" s="18" t="n">
        <v>45678</v>
      </c>
      <c r="B617" s="19" t="n">
        <v>8341944948.31</v>
      </c>
      <c r="C617" s="19" t="n">
        <v>0</v>
      </c>
      <c r="D617" s="19" t="n">
        <v>217426990</v>
      </c>
      <c r="E617" s="21" t="n">
        <f aca="false">B617+C617</f>
        <v>8341944948.31</v>
      </c>
      <c r="F617" s="21" t="n">
        <f aca="false">E617+D617</f>
        <v>8559371938.31</v>
      </c>
      <c r="G617" s="22" t="n">
        <f aca="false">IFERROR(C617/E617,0)</f>
        <v>0</v>
      </c>
      <c r="H617" s="19" t="n">
        <v>2031876</v>
      </c>
      <c r="I617" s="19" t="n">
        <v>34069</v>
      </c>
      <c r="J617" s="19" t="n">
        <v>62718</v>
      </c>
      <c r="K617" s="21" t="n">
        <f aca="false">H617+I617</f>
        <v>2065945</v>
      </c>
      <c r="L617" s="20"/>
      <c r="M617" s="21" t="n">
        <f aca="false">H617-L617</f>
        <v>2031876</v>
      </c>
      <c r="N617" s="23" t="n">
        <f aca="false">IFERROR(M617/B617*10000,0)</f>
        <v>2.43573412746105</v>
      </c>
      <c r="O617" s="19" t="n">
        <v>1970920</v>
      </c>
      <c r="P617" s="19" t="n">
        <v>33047</v>
      </c>
      <c r="Q617" s="21" t="n">
        <f aca="false">O617+P617</f>
        <v>2003967</v>
      </c>
      <c r="R617" s="22" t="n">
        <f aca="false">IF(A617&lt;HlpChangeDate,HlpSharePre,HlpSharePost)</f>
        <v>0.03</v>
      </c>
      <c r="S617" s="21" t="n">
        <f aca="false">Q617*R617/(1-R617)</f>
        <v>61978.3608247423</v>
      </c>
      <c r="T617" s="19" t="n">
        <v>62718</v>
      </c>
      <c r="U617" s="21" t="n">
        <f aca="false">S617-T617</f>
        <v>-739.639175257733</v>
      </c>
      <c r="V617" s="21" t="n">
        <f aca="false">Y617-O617*R617/(1-R617)</f>
        <v>-0.288659793812258</v>
      </c>
      <c r="W617" s="21" t="n">
        <f aca="false">Z617-P617*R617/(1-R617)</f>
        <v>-0.0721649484536329</v>
      </c>
      <c r="X617" s="21" t="n">
        <f aca="false">S617+V617+W617</f>
        <v>61978</v>
      </c>
      <c r="Y617" s="19" t="n">
        <v>60956</v>
      </c>
      <c r="Z617" s="19" t="n">
        <v>1022</v>
      </c>
      <c r="AA617" s="19" t="n">
        <v>2003967</v>
      </c>
      <c r="AB617" s="29" t="n">
        <v>23.183</v>
      </c>
      <c r="AC617" s="29" t="n">
        <v>22.1905</v>
      </c>
      <c r="AD617" s="24" t="n">
        <f aca="false">IFERROR(AA617/AC617,0)</f>
        <v>90307.4288546901</v>
      </c>
      <c r="AE617" s="25" t="n">
        <f aca="false">K617-Q617-X617</f>
        <v>0</v>
      </c>
      <c r="AF617" s="25" t="n">
        <f aca="false">Q617-AA617</f>
        <v>0</v>
      </c>
      <c r="AG617" s="19" t="n">
        <v>2090596.864775</v>
      </c>
      <c r="AH617" s="26" t="n">
        <f aca="false">IFERROR(AG617/Q617,0)</f>
        <v>1.0432291872945</v>
      </c>
      <c r="AI617" s="27" t="n">
        <v>316773584.90566</v>
      </c>
      <c r="AJ617" s="26" t="n">
        <f aca="false">IF(AI617&gt;0,AprCoef/SQRT(AI617),0)</f>
        <v>0.0266320048917719</v>
      </c>
      <c r="AK617" s="24" t="n">
        <f aca="false">AI617*AJ617/365</f>
        <v>23113.1935966895</v>
      </c>
      <c r="AL617" s="24" t="n">
        <f aca="false">AD617</f>
        <v>90307.4288546901</v>
      </c>
      <c r="AM617" s="24" t="n">
        <f aca="false">AK617-AL617</f>
        <v>-67194.2352580005</v>
      </c>
      <c r="AN617" s="28" t="str">
        <f aca="false">IF(A617&gt;=Hip3LaunchDate,"YES","")</f>
        <v/>
      </c>
      <c r="AO617" s="28" t="str">
        <f aca="false">IF(A617&lt;Hip4LaunchDate,"pre-launch","live (zero-fee)")</f>
        <v>pre-launch</v>
      </c>
      <c r="AP617" s="20"/>
      <c r="AQ617" s="20"/>
      <c r="AR617" s="20"/>
    </row>
    <row r="618" customFormat="false" ht="15" hidden="false" customHeight="false" outlineLevel="0" collapsed="false">
      <c r="A618" s="18" t="n">
        <v>45679</v>
      </c>
      <c r="B618" s="19" t="n">
        <v>5281551150.56</v>
      </c>
      <c r="C618" s="19" t="n">
        <v>0</v>
      </c>
      <c r="D618" s="19" t="n">
        <v>268190024</v>
      </c>
      <c r="E618" s="21" t="n">
        <f aca="false">B618+C618</f>
        <v>5281551150.56</v>
      </c>
      <c r="F618" s="21" t="n">
        <f aca="false">E618+D618</f>
        <v>5549741174.56</v>
      </c>
      <c r="G618" s="22" t="n">
        <f aca="false">IFERROR(C618/E618,0)</f>
        <v>0</v>
      </c>
      <c r="H618" s="19" t="n">
        <v>1405006</v>
      </c>
      <c r="I618" s="19" t="n">
        <v>30418</v>
      </c>
      <c r="J618" s="19" t="n">
        <v>43063</v>
      </c>
      <c r="K618" s="21" t="n">
        <f aca="false">H618+I618</f>
        <v>1435424</v>
      </c>
      <c r="L618" s="20"/>
      <c r="M618" s="21" t="n">
        <f aca="false">H618-L618</f>
        <v>1405006</v>
      </c>
      <c r="N618" s="23" t="n">
        <f aca="false">IFERROR(M618/B618*10000,0)</f>
        <v>2.66021469819719</v>
      </c>
      <c r="O618" s="19" t="n">
        <v>1362855</v>
      </c>
      <c r="P618" s="19" t="n">
        <v>29505</v>
      </c>
      <c r="Q618" s="21" t="n">
        <f aca="false">O618+P618</f>
        <v>1392360</v>
      </c>
      <c r="R618" s="22" t="n">
        <f aca="false">IF(A618&lt;HlpChangeDate,HlpSharePre,HlpSharePost)</f>
        <v>0.03</v>
      </c>
      <c r="S618" s="21" t="n">
        <f aca="false">Q618*R618/(1-R618)</f>
        <v>43062.6804123711</v>
      </c>
      <c r="T618" s="19" t="n">
        <v>43063</v>
      </c>
      <c r="U618" s="21" t="n">
        <f aca="false">S618-T618</f>
        <v>-0.319587628866429</v>
      </c>
      <c r="V618" s="21" t="n">
        <f aca="false">Y618-O618*R618/(1-R618)</f>
        <v>-0.154639175263583</v>
      </c>
      <c r="W618" s="21" t="n">
        <f aca="false">Z618-P618*R618/(1-R618)</f>
        <v>0.474226804123759</v>
      </c>
      <c r="X618" s="21" t="n">
        <f aca="false">S618+V618+W618</f>
        <v>43063</v>
      </c>
      <c r="Y618" s="19" t="n">
        <v>42150</v>
      </c>
      <c r="Z618" s="19" t="n">
        <v>913</v>
      </c>
      <c r="AA618" s="19" t="n">
        <v>1392360</v>
      </c>
      <c r="AB618" s="29" t="n">
        <v>24.3</v>
      </c>
      <c r="AC618" s="29" t="n">
        <v>24.38725</v>
      </c>
      <c r="AD618" s="24" t="n">
        <f aca="false">IFERROR(AA618/AC618,0)</f>
        <v>57093.7682600539</v>
      </c>
      <c r="AE618" s="25" t="n">
        <f aca="false">K618-Q618-X618</f>
        <v>1.00000000000728</v>
      </c>
      <c r="AF618" s="25" t="n">
        <f aca="false">Q618-AA618</f>
        <v>0</v>
      </c>
      <c r="AG618" s="19" t="n">
        <v>1435423.40743601</v>
      </c>
      <c r="AH618" s="26" t="n">
        <f aca="false">IFERROR(AG618/Q618,0)</f>
        <v>1.03092835720361</v>
      </c>
      <c r="AI618" s="27" t="n">
        <v>317490566.037736</v>
      </c>
      <c r="AJ618" s="26" t="n">
        <f aca="false">IF(AI618&gt;0,AprCoef/SQRT(AI618),0)</f>
        <v>0.0266019166946855</v>
      </c>
      <c r="AK618" s="24" t="n">
        <f aca="false">AI618*AJ618/365</f>
        <v>23139.3358605052</v>
      </c>
      <c r="AL618" s="24" t="n">
        <f aca="false">AD618</f>
        <v>57093.7682600539</v>
      </c>
      <c r="AM618" s="24" t="n">
        <f aca="false">AK618-AL618</f>
        <v>-33954.4323995488</v>
      </c>
      <c r="AN618" s="28" t="str">
        <f aca="false">IF(A618&gt;=Hip3LaunchDate,"YES","")</f>
        <v/>
      </c>
      <c r="AO618" s="28" t="str">
        <f aca="false">IF(A618&lt;Hip4LaunchDate,"pre-launch","live (zero-fee)")</f>
        <v>pre-launch</v>
      </c>
      <c r="AP618" s="20"/>
      <c r="AQ618" s="20"/>
      <c r="AR618" s="20"/>
    </row>
    <row r="619" customFormat="false" ht="15" hidden="false" customHeight="false" outlineLevel="0" collapsed="false">
      <c r="A619" s="18" t="n">
        <v>45680</v>
      </c>
      <c r="B619" s="19" t="n">
        <v>11321580803.34</v>
      </c>
      <c r="C619" s="19" t="n">
        <v>0</v>
      </c>
      <c r="D619" s="19" t="n">
        <v>178140305</v>
      </c>
      <c r="E619" s="21" t="n">
        <f aca="false">B619+C619</f>
        <v>11321580803.34</v>
      </c>
      <c r="F619" s="21" t="n">
        <f aca="false">E619+D619</f>
        <v>11499721108.34</v>
      </c>
      <c r="G619" s="22" t="n">
        <f aca="false">IFERROR(C619/E619,0)</f>
        <v>0</v>
      </c>
      <c r="H619" s="19" t="n">
        <v>2783278</v>
      </c>
      <c r="I619" s="19" t="n">
        <v>38159</v>
      </c>
      <c r="J619" s="19" t="n">
        <v>84643</v>
      </c>
      <c r="K619" s="21" t="n">
        <f aca="false">H619+I619</f>
        <v>2821437</v>
      </c>
      <c r="L619" s="20"/>
      <c r="M619" s="21" t="n">
        <f aca="false">H619-L619</f>
        <v>2783278</v>
      </c>
      <c r="N619" s="23" t="n">
        <f aca="false">IFERROR(M619/B619*10000,0)</f>
        <v>2.45838284277307</v>
      </c>
      <c r="O619" s="19" t="n">
        <v>2699780</v>
      </c>
      <c r="P619" s="19" t="n">
        <v>37014</v>
      </c>
      <c r="Q619" s="21" t="n">
        <f aca="false">O619+P619</f>
        <v>2736794</v>
      </c>
      <c r="R619" s="22" t="n">
        <f aca="false">IF(A619&lt;HlpChangeDate,HlpSharePre,HlpSharePost)</f>
        <v>0.03</v>
      </c>
      <c r="S619" s="21" t="n">
        <f aca="false">Q619*R619/(1-R619)</f>
        <v>84643.1134020619</v>
      </c>
      <c r="T619" s="19" t="n">
        <v>84643</v>
      </c>
      <c r="U619" s="21" t="n">
        <f aca="false">S619-T619</f>
        <v>0.113402061848319</v>
      </c>
      <c r="V619" s="21" t="n">
        <f aca="false">Y619-O619*R619/(1-R619)</f>
        <v>-0.350515463913325</v>
      </c>
      <c r="W619" s="21" t="n">
        <f aca="false">Z619-P619*R619/(1-R619)</f>
        <v>0.23711340206205</v>
      </c>
      <c r="X619" s="21" t="n">
        <f aca="false">S619+V619+W619</f>
        <v>84643</v>
      </c>
      <c r="Y619" s="19" t="n">
        <v>83498</v>
      </c>
      <c r="Z619" s="19" t="n">
        <v>1145</v>
      </c>
      <c r="AA619" s="19" t="n">
        <v>2736794</v>
      </c>
      <c r="AB619" s="29" t="n">
        <v>21.975</v>
      </c>
      <c r="AC619" s="29" t="n">
        <v>23.1755</v>
      </c>
      <c r="AD619" s="24" t="n">
        <f aca="false">IFERROR(AA619/AC619,0)</f>
        <v>118089.965696533</v>
      </c>
      <c r="AE619" s="25" t="n">
        <f aca="false">K619-Q619-X619</f>
        <v>0</v>
      </c>
      <c r="AF619" s="25" t="n">
        <f aca="false">Q619-AA619</f>
        <v>0</v>
      </c>
      <c r="AG619" s="19" t="n">
        <v>2821436.64534</v>
      </c>
      <c r="AH619" s="26" t="n">
        <f aca="false">IFERROR(AG619/Q619,0)</f>
        <v>1.03092766402586</v>
      </c>
      <c r="AI619" s="27" t="n">
        <v>318207547.169811</v>
      </c>
      <c r="AJ619" s="26" t="n">
        <f aca="false">IF(AI619&gt;0,AprCoef/SQRT(AI619),0)</f>
        <v>0.0265719302464729</v>
      </c>
      <c r="AK619" s="24" t="n">
        <f aca="false">AI619*AJ619/365</f>
        <v>23165.4486227328</v>
      </c>
      <c r="AL619" s="24" t="n">
        <f aca="false">AD619</f>
        <v>118089.965696533</v>
      </c>
      <c r="AM619" s="24" t="n">
        <f aca="false">AK619-AL619</f>
        <v>-94924.5170738002</v>
      </c>
      <c r="AN619" s="28" t="str">
        <f aca="false">IF(A619&gt;=Hip3LaunchDate,"YES","")</f>
        <v/>
      </c>
      <c r="AO619" s="28" t="str">
        <f aca="false">IF(A619&lt;Hip4LaunchDate,"pre-launch","live (zero-fee)")</f>
        <v>pre-launch</v>
      </c>
      <c r="AP619" s="20"/>
      <c r="AQ619" s="20"/>
      <c r="AR619" s="20"/>
    </row>
    <row r="620" customFormat="false" ht="15" hidden="false" customHeight="false" outlineLevel="0" collapsed="false">
      <c r="A620" s="18" t="n">
        <v>45681</v>
      </c>
      <c r="B620" s="19" t="n">
        <v>5784731819.26</v>
      </c>
      <c r="C620" s="19" t="n">
        <v>0</v>
      </c>
      <c r="D620" s="19" t="n">
        <v>93192677</v>
      </c>
      <c r="E620" s="21" t="n">
        <f aca="false">B620+C620</f>
        <v>5784731819.26</v>
      </c>
      <c r="F620" s="21" t="n">
        <f aca="false">E620+D620</f>
        <v>5877924496.26</v>
      </c>
      <c r="G620" s="22" t="n">
        <f aca="false">IFERROR(C620/E620,0)</f>
        <v>0</v>
      </c>
      <c r="H620" s="19" t="n">
        <v>1284164</v>
      </c>
      <c r="I620" s="19" t="n">
        <v>23999</v>
      </c>
      <c r="J620" s="19" t="n">
        <v>38987</v>
      </c>
      <c r="K620" s="21" t="n">
        <f aca="false">H620+I620</f>
        <v>1308163</v>
      </c>
      <c r="L620" s="20"/>
      <c r="M620" s="21" t="n">
        <f aca="false">H620-L620</f>
        <v>1284164</v>
      </c>
      <c r="N620" s="23" t="n">
        <f aca="false">IFERROR(M620/B620*10000,0)</f>
        <v>2.21991967842733</v>
      </c>
      <c r="O620" s="19" t="n">
        <v>1245639</v>
      </c>
      <c r="P620" s="19" t="n">
        <v>23279</v>
      </c>
      <c r="Q620" s="21" t="n">
        <f aca="false">O620+P620</f>
        <v>1268918</v>
      </c>
      <c r="R620" s="22" t="n">
        <f aca="false">IF(A620&lt;HlpChangeDate,HlpSharePre,HlpSharePost)</f>
        <v>0.03</v>
      </c>
      <c r="S620" s="21" t="n">
        <f aca="false">Q620*R620/(1-R620)</f>
        <v>39244.8865979381</v>
      </c>
      <c r="T620" s="19" t="n">
        <v>38987</v>
      </c>
      <c r="U620" s="21" t="n">
        <f aca="false">S620-T620</f>
        <v>257.886597938144</v>
      </c>
      <c r="V620" s="21" t="n">
        <f aca="false">Y620-O620*R620/(1-R620)</f>
        <v>0.0824742268014234</v>
      </c>
      <c r="W620" s="21" t="n">
        <f aca="false">Z620-P620*R620/(1-R620)</f>
        <v>0.0309278350515569</v>
      </c>
      <c r="X620" s="21" t="n">
        <f aca="false">S620+V620+W620</f>
        <v>39245</v>
      </c>
      <c r="Y620" s="19" t="n">
        <v>38525</v>
      </c>
      <c r="Z620" s="19" t="n">
        <v>720</v>
      </c>
      <c r="AA620" s="19" t="n">
        <v>1268918</v>
      </c>
      <c r="AB620" s="29" t="n">
        <v>23.059</v>
      </c>
      <c r="AC620" s="29" t="n">
        <v>22.792</v>
      </c>
      <c r="AD620" s="24" t="n">
        <f aca="false">IFERROR(AA620/AC620,0)</f>
        <v>55673.8329238329</v>
      </c>
      <c r="AE620" s="25" t="n">
        <f aca="false">K620-Q620-X620</f>
        <v>0</v>
      </c>
      <c r="AF620" s="25" t="n">
        <f aca="false">Q620-AA620</f>
        <v>0</v>
      </c>
      <c r="AG620" s="19" t="n">
        <v>1299579.91145301</v>
      </c>
      <c r="AH620" s="26" t="n">
        <f aca="false">IFERROR(AG620/Q620,0)</f>
        <v>1.02416382418171</v>
      </c>
      <c r="AI620" s="27" t="n">
        <v>318924528.301887</v>
      </c>
      <c r="AJ620" s="26" t="n">
        <f aca="false">IF(AI620&gt;0,AprCoef/SQRT(AI620),0)</f>
        <v>0.0265420449749526</v>
      </c>
      <c r="AK620" s="24" t="n">
        <f aca="false">AI620*AJ620/365</f>
        <v>23191.5319830252</v>
      </c>
      <c r="AL620" s="24" t="n">
        <f aca="false">AD620</f>
        <v>55673.8329238329</v>
      </c>
      <c r="AM620" s="24" t="n">
        <f aca="false">AK620-AL620</f>
        <v>-32482.3009408077</v>
      </c>
      <c r="AN620" s="28" t="str">
        <f aca="false">IF(A620&gt;=Hip3LaunchDate,"YES","")</f>
        <v/>
      </c>
      <c r="AO620" s="28" t="str">
        <f aca="false">IF(A620&lt;Hip4LaunchDate,"pre-launch","live (zero-fee)")</f>
        <v>pre-launch</v>
      </c>
      <c r="AP620" s="20"/>
      <c r="AQ620" s="20"/>
      <c r="AR620" s="20"/>
    </row>
    <row r="621" customFormat="false" ht="15" hidden="false" customHeight="false" outlineLevel="0" collapsed="false">
      <c r="A621" s="18" t="n">
        <v>45682</v>
      </c>
      <c r="B621" s="19" t="n">
        <v>3516728432.28</v>
      </c>
      <c r="C621" s="19" t="n">
        <v>0</v>
      </c>
      <c r="D621" s="19" t="n">
        <v>138875526</v>
      </c>
      <c r="E621" s="21" t="n">
        <f aca="false">B621+C621</f>
        <v>3516728432.28</v>
      </c>
      <c r="F621" s="21" t="n">
        <f aca="false">E621+D621</f>
        <v>3655603958.28</v>
      </c>
      <c r="G621" s="22" t="n">
        <f aca="false">IFERROR(C621/E621,0)</f>
        <v>0</v>
      </c>
      <c r="H621" s="19" t="n">
        <v>1061042</v>
      </c>
      <c r="I621" s="19" t="n">
        <v>14317</v>
      </c>
      <c r="J621" s="19" t="n">
        <v>32324</v>
      </c>
      <c r="K621" s="21" t="n">
        <f aca="false">H621+I621</f>
        <v>1075359</v>
      </c>
      <c r="L621" s="20"/>
      <c r="M621" s="21" t="n">
        <f aca="false">H621-L621</f>
        <v>1061042</v>
      </c>
      <c r="N621" s="23" t="n">
        <f aca="false">IFERROR(M621/B621*10000,0)</f>
        <v>3.01712805077785</v>
      </c>
      <c r="O621" s="19" t="n">
        <v>1029211</v>
      </c>
      <c r="P621" s="19" t="n">
        <v>13888</v>
      </c>
      <c r="Q621" s="21" t="n">
        <f aca="false">O621+P621</f>
        <v>1043099</v>
      </c>
      <c r="R621" s="22" t="n">
        <f aca="false">IF(A621&lt;HlpChangeDate,HlpSharePre,HlpSharePost)</f>
        <v>0.03</v>
      </c>
      <c r="S621" s="21" t="n">
        <f aca="false">Q621*R621/(1-R621)</f>
        <v>32260.793814433</v>
      </c>
      <c r="T621" s="19" t="n">
        <v>32324</v>
      </c>
      <c r="U621" s="21" t="n">
        <f aca="false">S621-T621</f>
        <v>-63.2061855670108</v>
      </c>
      <c r="V621" s="21" t="n">
        <f aca="false">Y621-O621*R621/(1-R621)</f>
        <v>-0.268041237111902</v>
      </c>
      <c r="W621" s="21" t="n">
        <f aca="false">Z621-P621*R621/(1-R621)</f>
        <v>0.474226804123703</v>
      </c>
      <c r="X621" s="21" t="n">
        <f aca="false">S621+V621+W621</f>
        <v>32261</v>
      </c>
      <c r="Y621" s="19" t="n">
        <v>31831</v>
      </c>
      <c r="Z621" s="19" t="n">
        <v>430</v>
      </c>
      <c r="AA621" s="19" t="n">
        <v>1043099</v>
      </c>
      <c r="AB621" s="29" t="n">
        <v>23.152</v>
      </c>
      <c r="AC621" s="29" t="n">
        <v>22.95925</v>
      </c>
      <c r="AD621" s="24" t="n">
        <f aca="false">IFERROR(AA621/AC621,0)</f>
        <v>45432.6251946383</v>
      </c>
      <c r="AE621" s="25" t="n">
        <f aca="false">K621-Q621-X621</f>
        <v>-1</v>
      </c>
      <c r="AF621" s="25" t="n">
        <f aca="false">Q621-AA621</f>
        <v>0</v>
      </c>
      <c r="AG621" s="19" t="n">
        <v>1077471.92431399</v>
      </c>
      <c r="AH621" s="26" t="n">
        <f aca="false">IFERROR(AG621/Q621,0)</f>
        <v>1.03295269606623</v>
      </c>
      <c r="AI621" s="27" t="n">
        <v>319641509.433962</v>
      </c>
      <c r="AJ621" s="26" t="n">
        <f aca="false">IF(AI621&gt;0,AprCoef/SQRT(AI621),0)</f>
        <v>0.0265122603124375</v>
      </c>
      <c r="AK621" s="24" t="n">
        <f aca="false">AI621*AJ621/365</f>
        <v>23217.5860404757</v>
      </c>
      <c r="AL621" s="24" t="n">
        <f aca="false">AD621</f>
        <v>45432.6251946383</v>
      </c>
      <c r="AM621" s="24" t="n">
        <f aca="false">AK621-AL621</f>
        <v>-22215.0391541626</v>
      </c>
      <c r="AN621" s="28" t="str">
        <f aca="false">IF(A621&gt;=Hip3LaunchDate,"YES","")</f>
        <v/>
      </c>
      <c r="AO621" s="28" t="str">
        <f aca="false">IF(A621&lt;Hip4LaunchDate,"pre-launch","live (zero-fee)")</f>
        <v>pre-launch</v>
      </c>
      <c r="AP621" s="20"/>
      <c r="AQ621" s="20"/>
      <c r="AR621" s="20"/>
    </row>
    <row r="622" customFormat="false" ht="15" hidden="false" customHeight="false" outlineLevel="0" collapsed="false">
      <c r="A622" s="18" t="n">
        <v>45683</v>
      </c>
      <c r="B622" s="19" t="n">
        <v>3597386932.86</v>
      </c>
      <c r="C622" s="19" t="n">
        <v>0</v>
      </c>
      <c r="D622" s="19" t="n">
        <v>229716868</v>
      </c>
      <c r="E622" s="21" t="n">
        <f aca="false">B622+C622</f>
        <v>3597386932.86</v>
      </c>
      <c r="F622" s="21" t="n">
        <f aca="false">E622+D622</f>
        <v>3827103800.86</v>
      </c>
      <c r="G622" s="22" t="n">
        <f aca="false">IFERROR(C622/E622,0)</f>
        <v>0</v>
      </c>
      <c r="H622" s="19" t="n">
        <v>1066098</v>
      </c>
      <c r="I622" s="19" t="n">
        <v>16865</v>
      </c>
      <c r="J622" s="19" t="n">
        <v>31448</v>
      </c>
      <c r="K622" s="21" t="n">
        <f aca="false">H622+I622</f>
        <v>1082963</v>
      </c>
      <c r="L622" s="20"/>
      <c r="M622" s="21" t="n">
        <f aca="false">H622-L622</f>
        <v>1066098</v>
      </c>
      <c r="N622" s="23" t="n">
        <f aca="false">IFERROR(M622/B622*10000,0)</f>
        <v>2.96353442067025</v>
      </c>
      <c r="O622" s="19" t="n">
        <v>1034115</v>
      </c>
      <c r="P622" s="19" t="n">
        <v>16359</v>
      </c>
      <c r="Q622" s="21" t="n">
        <f aca="false">O622+P622</f>
        <v>1050474</v>
      </c>
      <c r="R622" s="22" t="n">
        <f aca="false">IF(A622&lt;HlpChangeDate,HlpSharePre,HlpSharePost)</f>
        <v>0.03</v>
      </c>
      <c r="S622" s="21" t="n">
        <f aca="false">Q622*R622/(1-R622)</f>
        <v>32488.8865979381</v>
      </c>
      <c r="T622" s="19" t="n">
        <v>31448</v>
      </c>
      <c r="U622" s="21" t="n">
        <f aca="false">S622-T622</f>
        <v>1040.88659793814</v>
      </c>
      <c r="V622" s="21" t="n">
        <f aca="false">Y622-O622*R622/(1-R622)</f>
        <v>0.0618556701047055</v>
      </c>
      <c r="W622" s="21" t="n">
        <f aca="false">Z622-P622*R622/(1-R622)</f>
        <v>0.0515463917525949</v>
      </c>
      <c r="X622" s="21" t="n">
        <f aca="false">S622+V622+W622</f>
        <v>32489</v>
      </c>
      <c r="Y622" s="19" t="n">
        <v>31983</v>
      </c>
      <c r="Z622" s="19" t="n">
        <v>506</v>
      </c>
      <c r="AA622" s="19" t="n">
        <v>1050474</v>
      </c>
      <c r="AB622" s="29" t="n">
        <v>22.088</v>
      </c>
      <c r="AC622" s="29" t="n">
        <v>23.05125</v>
      </c>
      <c r="AD622" s="24" t="n">
        <f aca="false">IFERROR(AA622/AC622,0)</f>
        <v>45571.2380022775</v>
      </c>
      <c r="AE622" s="25" t="n">
        <f aca="false">K622-Q622-X622</f>
        <v>0</v>
      </c>
      <c r="AF622" s="25" t="n">
        <f aca="false">Q622-AA622</f>
        <v>0</v>
      </c>
      <c r="AG622" s="19" t="n">
        <v>1048253.304261</v>
      </c>
      <c r="AH622" s="26" t="n">
        <f aca="false">IFERROR(AG622/Q622,0)</f>
        <v>0.997886005994436</v>
      </c>
      <c r="AI622" s="27" t="n">
        <v>320358490.566038</v>
      </c>
      <c r="AJ622" s="26" t="n">
        <f aca="false">IF(AI622&gt;0,AprCoef/SQRT(AI622),0)</f>
        <v>0.0264825756956899</v>
      </c>
      <c r="AK622" s="24" t="n">
        <f aca="false">AI622*AJ622/365</f>
        <v>23243.610893622</v>
      </c>
      <c r="AL622" s="24" t="n">
        <f aca="false">AD622</f>
        <v>45571.2380022775</v>
      </c>
      <c r="AM622" s="24" t="n">
        <f aca="false">AK622-AL622</f>
        <v>-22327.6271086555</v>
      </c>
      <c r="AN622" s="28" t="str">
        <f aca="false">IF(A622&gt;=Hip3LaunchDate,"YES","")</f>
        <v/>
      </c>
      <c r="AO622" s="28" t="str">
        <f aca="false">IF(A622&lt;Hip4LaunchDate,"pre-launch","live (zero-fee)")</f>
        <v>pre-launch</v>
      </c>
      <c r="AP622" s="20"/>
      <c r="AQ622" s="20"/>
      <c r="AR622" s="20"/>
    </row>
    <row r="623" customFormat="false" ht="15" hidden="false" customHeight="false" outlineLevel="0" collapsed="false">
      <c r="A623" s="18" t="n">
        <v>45684</v>
      </c>
      <c r="B623" s="19" t="n">
        <v>10972896197.41</v>
      </c>
      <c r="C623" s="19" t="n">
        <v>0</v>
      </c>
      <c r="D623" s="19" t="n">
        <v>185620600</v>
      </c>
      <c r="E623" s="21" t="n">
        <f aca="false">B623+C623</f>
        <v>10972896197.41</v>
      </c>
      <c r="F623" s="21" t="n">
        <f aca="false">E623+D623</f>
        <v>11158516797.41</v>
      </c>
      <c r="G623" s="22" t="n">
        <f aca="false">IFERROR(C623/E623,0)</f>
        <v>0</v>
      </c>
      <c r="H623" s="19" t="n">
        <v>2661614</v>
      </c>
      <c r="I623" s="19" t="n">
        <v>37573</v>
      </c>
      <c r="J623" s="19" t="n">
        <v>81800</v>
      </c>
      <c r="K623" s="21" t="n">
        <f aca="false">H623+I623</f>
        <v>2699187</v>
      </c>
      <c r="L623" s="20"/>
      <c r="M623" s="21" t="n">
        <f aca="false">H623-L623</f>
        <v>2661614</v>
      </c>
      <c r="N623" s="23" t="n">
        <f aca="false">IFERROR(M623/B623*10000,0)</f>
        <v>2.42562578932282</v>
      </c>
      <c r="O623" s="19" t="n">
        <v>2581765</v>
      </c>
      <c r="P623" s="19" t="n">
        <v>36446</v>
      </c>
      <c r="Q623" s="21" t="n">
        <f aca="false">O623+P623</f>
        <v>2618211</v>
      </c>
      <c r="R623" s="22" t="n">
        <f aca="false">IF(A623&lt;HlpChangeDate,HlpSharePre,HlpSharePost)</f>
        <v>0.03</v>
      </c>
      <c r="S623" s="21" t="n">
        <f aca="false">Q623*R623/(1-R623)</f>
        <v>80975.5979381443</v>
      </c>
      <c r="T623" s="19" t="n">
        <v>81800</v>
      </c>
      <c r="U623" s="21" t="n">
        <f aca="false">S623-T623</f>
        <v>-824.402061855668</v>
      </c>
      <c r="V623" s="21" t="n">
        <f aca="false">Y623-O623*R623/(1-R623)</f>
        <v>-0.402061855667853</v>
      </c>
      <c r="W623" s="21" t="n">
        <f aca="false">Z623-P623*R623/(1-R623)</f>
        <v>-0.195876288659747</v>
      </c>
      <c r="X623" s="21" t="n">
        <f aca="false">S623+V623+W623</f>
        <v>80975</v>
      </c>
      <c r="Y623" s="19" t="n">
        <v>79848</v>
      </c>
      <c r="Z623" s="19" t="n">
        <v>1127</v>
      </c>
      <c r="AA623" s="19" t="n">
        <v>2618211</v>
      </c>
      <c r="AB623" s="29" t="n">
        <v>23.389</v>
      </c>
      <c r="AC623" s="29" t="n">
        <v>22.28275</v>
      </c>
      <c r="AD623" s="24" t="n">
        <f aca="false">IFERROR(AA623/AC623,0)</f>
        <v>117499.455857109</v>
      </c>
      <c r="AE623" s="25" t="n">
        <f aca="false">K623-Q623-X623</f>
        <v>1</v>
      </c>
      <c r="AF623" s="25" t="n">
        <f aca="false">Q623-AA623</f>
        <v>0</v>
      </c>
      <c r="AG623" s="19" t="n">
        <v>2726671.15368599</v>
      </c>
      <c r="AH623" s="26" t="n">
        <f aca="false">IFERROR(AG623/Q623,0)</f>
        <v>1.04142529142456</v>
      </c>
      <c r="AI623" s="27" t="n">
        <v>321075471.698113</v>
      </c>
      <c r="AJ623" s="26" t="n">
        <f aca="false">IF(AI623&gt;0,AprCoef/SQRT(AI623),0)</f>
        <v>0.0264529905658766</v>
      </c>
      <c r="AK623" s="24" t="n">
        <f aca="false">AI623*AJ623/365</f>
        <v>23269.6066404509</v>
      </c>
      <c r="AL623" s="24" t="n">
        <f aca="false">AD623</f>
        <v>117499.455857109</v>
      </c>
      <c r="AM623" s="24" t="n">
        <f aca="false">AK623-AL623</f>
        <v>-94229.8492166583</v>
      </c>
      <c r="AN623" s="28" t="str">
        <f aca="false">IF(A623&gt;=Hip3LaunchDate,"YES","")</f>
        <v/>
      </c>
      <c r="AO623" s="28" t="str">
        <f aca="false">IF(A623&lt;Hip4LaunchDate,"pre-launch","live (zero-fee)")</f>
        <v>pre-launch</v>
      </c>
      <c r="AP623" s="20"/>
      <c r="AQ623" s="20"/>
      <c r="AR623" s="20"/>
    </row>
    <row r="624" customFormat="false" ht="15" hidden="false" customHeight="false" outlineLevel="0" collapsed="false">
      <c r="A624" s="18" t="n">
        <v>45685</v>
      </c>
      <c r="B624" s="19" t="n">
        <v>6689142362.73</v>
      </c>
      <c r="C624" s="19" t="n">
        <v>0</v>
      </c>
      <c r="D624" s="19" t="n">
        <v>170638730</v>
      </c>
      <c r="E624" s="21" t="n">
        <f aca="false">B624+C624</f>
        <v>6689142362.73</v>
      </c>
      <c r="F624" s="21" t="n">
        <f aca="false">E624+D624</f>
        <v>6859781092.73</v>
      </c>
      <c r="G624" s="22" t="n">
        <f aca="false">IFERROR(C624/E624,0)</f>
        <v>0</v>
      </c>
      <c r="H624" s="19" t="n">
        <v>1502080</v>
      </c>
      <c r="I624" s="19" t="n">
        <v>26779</v>
      </c>
      <c r="J624" s="19" t="n">
        <v>45813</v>
      </c>
      <c r="K624" s="21" t="n">
        <f aca="false">H624+I624</f>
        <v>1528859</v>
      </c>
      <c r="L624" s="20"/>
      <c r="M624" s="21" t="n">
        <f aca="false">H624-L624</f>
        <v>1502080</v>
      </c>
      <c r="N624" s="23" t="n">
        <f aca="false">IFERROR(M624/B624*10000,0)</f>
        <v>2.24554945693661</v>
      </c>
      <c r="O624" s="19" t="n">
        <v>1457018</v>
      </c>
      <c r="P624" s="19" t="n">
        <v>25976</v>
      </c>
      <c r="Q624" s="21" t="n">
        <f aca="false">O624+P624</f>
        <v>1482994</v>
      </c>
      <c r="R624" s="22" t="n">
        <f aca="false">IF(A624&lt;HlpChangeDate,HlpSharePre,HlpSharePost)</f>
        <v>0.03</v>
      </c>
      <c r="S624" s="21" t="n">
        <f aca="false">Q624*R624/(1-R624)</f>
        <v>45865.793814433</v>
      </c>
      <c r="T624" s="19" t="n">
        <v>45813</v>
      </c>
      <c r="U624" s="21" t="n">
        <f aca="false">S624-T624</f>
        <v>52.7938144329892</v>
      </c>
      <c r="V624" s="21" t="n">
        <f aca="false">Y624-O624*R624/(1-R624)</f>
        <v>-0.412371134021669</v>
      </c>
      <c r="W624" s="21" t="n">
        <f aca="false">Z624-P624*R624/(1-R624)</f>
        <v>-0.381443298969089</v>
      </c>
      <c r="X624" s="21" t="n">
        <f aca="false">S624+V624+W624</f>
        <v>45865</v>
      </c>
      <c r="Y624" s="19" t="n">
        <v>45062</v>
      </c>
      <c r="Z624" s="19" t="n">
        <v>803</v>
      </c>
      <c r="AA624" s="19" t="n">
        <v>1482994</v>
      </c>
      <c r="AB624" s="29" t="n">
        <v>22.293</v>
      </c>
      <c r="AC624" s="29" t="n">
        <v>22.87</v>
      </c>
      <c r="AD624" s="24" t="n">
        <f aca="false">IFERROR(AA624/AC624,0)</f>
        <v>64844.5124617403</v>
      </c>
      <c r="AE624" s="25" t="n">
        <f aca="false">K624-Q624-X624</f>
        <v>0</v>
      </c>
      <c r="AF624" s="25" t="n">
        <f aca="false">Q624-AA624</f>
        <v>0</v>
      </c>
      <c r="AG624" s="19" t="n">
        <v>1527101.37772</v>
      </c>
      <c r="AH624" s="26" t="n">
        <f aca="false">IFERROR(AG624/Q624,0)</f>
        <v>1.02974211474895</v>
      </c>
      <c r="AI624" s="27" t="n">
        <v>321792452.830189</v>
      </c>
      <c r="AJ624" s="26" t="n">
        <f aca="false">IF(AI624&gt;0,AprCoef/SQRT(AI624),0)</f>
        <v>0.0264235043685249</v>
      </c>
      <c r="AK624" s="24" t="n">
        <f aca="false">AI624*AJ624/365</f>
        <v>23295.5733784023</v>
      </c>
      <c r="AL624" s="24" t="n">
        <f aca="false">AD624</f>
        <v>64844.5124617403</v>
      </c>
      <c r="AM624" s="24" t="n">
        <f aca="false">AK624-AL624</f>
        <v>-41548.939083338</v>
      </c>
      <c r="AN624" s="28" t="str">
        <f aca="false">IF(A624&gt;=Hip3LaunchDate,"YES","")</f>
        <v/>
      </c>
      <c r="AO624" s="28" t="str">
        <f aca="false">IF(A624&lt;Hip4LaunchDate,"pre-launch","live (zero-fee)")</f>
        <v>pre-launch</v>
      </c>
      <c r="AP624" s="20"/>
      <c r="AQ624" s="20"/>
      <c r="AR624" s="20"/>
    </row>
    <row r="625" customFormat="false" ht="15" hidden="false" customHeight="false" outlineLevel="0" collapsed="false">
      <c r="A625" s="18" t="n">
        <v>45686</v>
      </c>
      <c r="B625" s="19" t="n">
        <v>7487288904.76</v>
      </c>
      <c r="C625" s="19" t="n">
        <v>0</v>
      </c>
      <c r="D625" s="19" t="n">
        <v>283645800</v>
      </c>
      <c r="E625" s="21" t="n">
        <f aca="false">B625+C625</f>
        <v>7487288904.76</v>
      </c>
      <c r="F625" s="21" t="n">
        <f aca="false">E625+D625</f>
        <v>7770934704.76</v>
      </c>
      <c r="G625" s="22" t="n">
        <f aca="false">IFERROR(C625/E625,0)</f>
        <v>0</v>
      </c>
      <c r="H625" s="19" t="n">
        <v>1858964</v>
      </c>
      <c r="I625" s="19" t="n">
        <v>20016</v>
      </c>
      <c r="J625" s="19" t="n">
        <v>56558</v>
      </c>
      <c r="K625" s="21" t="n">
        <f aca="false">H625+I625</f>
        <v>1878980</v>
      </c>
      <c r="L625" s="20"/>
      <c r="M625" s="21" t="n">
        <f aca="false">H625-L625</f>
        <v>1858964</v>
      </c>
      <c r="N625" s="23" t="n">
        <f aca="false">IFERROR(M625/B625*10000,0)</f>
        <v>2.48282659270457</v>
      </c>
      <c r="O625" s="19" t="n">
        <v>1803195</v>
      </c>
      <c r="P625" s="19" t="n">
        <v>19416</v>
      </c>
      <c r="Q625" s="21" t="n">
        <f aca="false">O625+P625</f>
        <v>1822611</v>
      </c>
      <c r="R625" s="22" t="n">
        <f aca="false">IF(A625&lt;HlpChangeDate,HlpSharePre,HlpSharePost)</f>
        <v>0.03</v>
      </c>
      <c r="S625" s="21" t="n">
        <f aca="false">Q625*R625/(1-R625)</f>
        <v>56369.412371134</v>
      </c>
      <c r="T625" s="19" t="n">
        <v>56558</v>
      </c>
      <c r="U625" s="21" t="n">
        <f aca="false">S625-T625</f>
        <v>-188.587628865986</v>
      </c>
      <c r="V625" s="21" t="n">
        <f aca="false">Y625-O625*R625/(1-R625)</f>
        <v>0.0824742268014234</v>
      </c>
      <c r="W625" s="21" t="n">
        <f aca="false">Z625-P625*R625/(1-R625)</f>
        <v>-0.494845360824797</v>
      </c>
      <c r="X625" s="21" t="n">
        <f aca="false">S625+V625+W625</f>
        <v>56369</v>
      </c>
      <c r="Y625" s="19" t="n">
        <v>55769</v>
      </c>
      <c r="Z625" s="19" t="n">
        <v>600</v>
      </c>
      <c r="AA625" s="19" t="n">
        <v>1822611</v>
      </c>
      <c r="AB625" s="29" t="n">
        <v>23.75</v>
      </c>
      <c r="AC625" s="29" t="n">
        <v>23.098</v>
      </c>
      <c r="AD625" s="24" t="n">
        <f aca="false">IFERROR(AA625/AC625,0)</f>
        <v>78907.7409299507</v>
      </c>
      <c r="AE625" s="25" t="n">
        <f aca="false">K625-Q625-X625</f>
        <v>0</v>
      </c>
      <c r="AF625" s="25" t="n">
        <f aca="false">Q625-AA625</f>
        <v>0</v>
      </c>
      <c r="AG625" s="19" t="n">
        <v>1885265.26595902</v>
      </c>
      <c r="AH625" s="26" t="n">
        <f aca="false">IFERROR(AG625/Q625,0)</f>
        <v>1.03437610436842</v>
      </c>
      <c r="AI625" s="27" t="n">
        <v>322509433.962264</v>
      </c>
      <c r="AJ625" s="26" t="n">
        <f aca="false">IF(AI625&gt;0,AprCoef/SQRT(AI625),0)</f>
        <v>0.0263941165534788</v>
      </c>
      <c r="AK625" s="24" t="n">
        <f aca="false">AI625*AJ625/365</f>
        <v>23321.5112043739</v>
      </c>
      <c r="AL625" s="24" t="n">
        <f aca="false">AD625</f>
        <v>78907.7409299507</v>
      </c>
      <c r="AM625" s="24" t="n">
        <f aca="false">AK625-AL625</f>
        <v>-55586.2297255768</v>
      </c>
      <c r="AN625" s="28" t="str">
        <f aca="false">IF(A625&gt;=Hip3LaunchDate,"YES","")</f>
        <v/>
      </c>
      <c r="AO625" s="28" t="str">
        <f aca="false">IF(A625&lt;Hip4LaunchDate,"pre-launch","live (zero-fee)")</f>
        <v>pre-launch</v>
      </c>
      <c r="AP625" s="20"/>
      <c r="AQ625" s="20"/>
      <c r="AR625" s="20"/>
    </row>
    <row r="626" customFormat="false" ht="15" hidden="false" customHeight="false" outlineLevel="0" collapsed="false">
      <c r="A626" s="18" t="n">
        <v>45687</v>
      </c>
      <c r="B626" s="19" t="n">
        <v>5319626690.77</v>
      </c>
      <c r="C626" s="19" t="n">
        <v>0</v>
      </c>
      <c r="D626" s="19" t="n">
        <v>212136745</v>
      </c>
      <c r="E626" s="21" t="n">
        <f aca="false">B626+C626</f>
        <v>5319626690.77</v>
      </c>
      <c r="F626" s="21" t="n">
        <f aca="false">E626+D626</f>
        <v>5531763435.77</v>
      </c>
      <c r="G626" s="22" t="n">
        <f aca="false">IFERROR(C626/E626,0)</f>
        <v>0</v>
      </c>
      <c r="H626" s="19" t="n">
        <v>1410913</v>
      </c>
      <c r="I626" s="19" t="n">
        <v>38508</v>
      </c>
      <c r="J626" s="19" t="n">
        <v>43758</v>
      </c>
      <c r="K626" s="21" t="n">
        <f aca="false">H626+I626</f>
        <v>1449421</v>
      </c>
      <c r="L626" s="20"/>
      <c r="M626" s="21" t="n">
        <f aca="false">H626-L626</f>
        <v>1410913</v>
      </c>
      <c r="N626" s="23" t="n">
        <f aca="false">IFERROR(M626/B626*10000,0)</f>
        <v>2.65227821803371</v>
      </c>
      <c r="O626" s="19" t="n">
        <v>1368586</v>
      </c>
      <c r="P626" s="19" t="n">
        <v>37353</v>
      </c>
      <c r="Q626" s="21" t="n">
        <f aca="false">O626+P626</f>
        <v>1405939</v>
      </c>
      <c r="R626" s="22" t="n">
        <f aca="false">IF(A626&lt;HlpChangeDate,HlpSharePre,HlpSharePost)</f>
        <v>0.03</v>
      </c>
      <c r="S626" s="21" t="n">
        <f aca="false">Q626*R626/(1-R626)</f>
        <v>43482.6494845361</v>
      </c>
      <c r="T626" s="19" t="n">
        <v>43758</v>
      </c>
      <c r="U626" s="21" t="n">
        <f aca="false">S626-T626</f>
        <v>-275.350515463921</v>
      </c>
      <c r="V626" s="21" t="n">
        <f aca="false">Y626-O626*R626/(1-R626)</f>
        <v>-0.402061855675129</v>
      </c>
      <c r="W626" s="21" t="n">
        <f aca="false">Z626-P626*R626/(1-R626)</f>
        <v>-0.247422680412228</v>
      </c>
      <c r="X626" s="21" t="n">
        <f aca="false">S626+V626+W626</f>
        <v>43482</v>
      </c>
      <c r="Y626" s="19" t="n">
        <v>42327</v>
      </c>
      <c r="Z626" s="19" t="n">
        <v>1155</v>
      </c>
      <c r="AA626" s="19" t="n">
        <v>1405939</v>
      </c>
      <c r="AB626" s="29" t="n">
        <v>27.226</v>
      </c>
      <c r="AC626" s="29" t="n">
        <v>25.572</v>
      </c>
      <c r="AD626" s="24" t="n">
        <f aca="false">IFERROR(AA626/AC626,0)</f>
        <v>54979.6261536055</v>
      </c>
      <c r="AE626" s="25" t="n">
        <f aca="false">K626-Q626-X626</f>
        <v>0</v>
      </c>
      <c r="AF626" s="25" t="n">
        <f aca="false">Q626-AA626</f>
        <v>0</v>
      </c>
      <c r="AG626" s="19" t="n">
        <v>1458590.51749697</v>
      </c>
      <c r="AH626" s="26" t="n">
        <f aca="false">IFERROR(AG626/Q626,0)</f>
        <v>1.03744936124325</v>
      </c>
      <c r="AI626" s="27" t="n">
        <v>323226415.09434</v>
      </c>
      <c r="AJ626" s="26" t="n">
        <f aca="false">IF(AI626&gt;0,AprCoef/SQRT(AI626),0)</f>
        <v>0.0263648265748558</v>
      </c>
      <c r="AK626" s="24" t="n">
        <f aca="false">AI626*AJ626/365</f>
        <v>23347.420214725</v>
      </c>
      <c r="AL626" s="24" t="n">
        <f aca="false">AD626</f>
        <v>54979.6261536055</v>
      </c>
      <c r="AM626" s="24" t="n">
        <f aca="false">AK626-AL626</f>
        <v>-31632.2059388805</v>
      </c>
      <c r="AN626" s="28" t="str">
        <f aca="false">IF(A626&gt;=Hip3LaunchDate,"YES","")</f>
        <v/>
      </c>
      <c r="AO626" s="28" t="str">
        <f aca="false">IF(A626&lt;Hip4LaunchDate,"pre-launch","live (zero-fee)")</f>
        <v>pre-launch</v>
      </c>
      <c r="AP626" s="20"/>
      <c r="AQ626" s="20"/>
      <c r="AR626" s="20"/>
    </row>
    <row r="627" customFormat="false" ht="15" hidden="false" customHeight="false" outlineLevel="0" collapsed="false">
      <c r="A627" s="18" t="n">
        <v>45688</v>
      </c>
      <c r="B627" s="19" t="n">
        <v>7089116487.06</v>
      </c>
      <c r="C627" s="19" t="n">
        <v>0</v>
      </c>
      <c r="D627" s="19" t="n">
        <v>263781612</v>
      </c>
      <c r="E627" s="21" t="n">
        <f aca="false">B627+C627</f>
        <v>7089116487.06</v>
      </c>
      <c r="F627" s="21" t="n">
        <f aca="false">E627+D627</f>
        <v>7352898099.06</v>
      </c>
      <c r="G627" s="22" t="n">
        <f aca="false">IFERROR(C627/E627,0)</f>
        <v>0</v>
      </c>
      <c r="H627" s="19" t="n">
        <v>1745764</v>
      </c>
      <c r="I627" s="19" t="n">
        <v>30778</v>
      </c>
      <c r="J627" s="19" t="n">
        <v>53296</v>
      </c>
      <c r="K627" s="21" t="n">
        <f aca="false">H627+I627</f>
        <v>1776542</v>
      </c>
      <c r="L627" s="20"/>
      <c r="M627" s="21" t="n">
        <f aca="false">H627-L627</f>
        <v>1745764</v>
      </c>
      <c r="N627" s="23" t="n">
        <f aca="false">IFERROR(M627/B627*10000,0)</f>
        <v>2.46259742407478</v>
      </c>
      <c r="O627" s="19" t="n">
        <v>1693391</v>
      </c>
      <c r="P627" s="19" t="n">
        <v>29855</v>
      </c>
      <c r="Q627" s="21" t="n">
        <f aca="false">O627+P627</f>
        <v>1723246</v>
      </c>
      <c r="R627" s="22" t="n">
        <f aca="false">IF(A627&lt;HlpChangeDate,HlpSharePre,HlpSharePost)</f>
        <v>0.03</v>
      </c>
      <c r="S627" s="21" t="n">
        <f aca="false">Q627*R627/(1-R627)</f>
        <v>53296.2680412371</v>
      </c>
      <c r="T627" s="19" t="n">
        <v>53296</v>
      </c>
      <c r="U627" s="21" t="n">
        <f aca="false">S627-T627</f>
        <v>0.268041237111902</v>
      </c>
      <c r="V627" s="21" t="n">
        <f aca="false">Y627-O627*R627/(1-R627)</f>
        <v>0.0824742268086993</v>
      </c>
      <c r="W627" s="21" t="n">
        <f aca="false">Z627-P627*R627/(1-R627)</f>
        <v>-0.350515463917532</v>
      </c>
      <c r="X627" s="21" t="n">
        <f aca="false">S627+V627+W627</f>
        <v>53296</v>
      </c>
      <c r="Y627" s="19" t="n">
        <v>52373</v>
      </c>
      <c r="Z627" s="19" t="n">
        <v>923</v>
      </c>
      <c r="AA627" s="19" t="n">
        <v>1723246</v>
      </c>
      <c r="AB627" s="29" t="n">
        <v>26.93</v>
      </c>
      <c r="AC627" s="29" t="n">
        <v>27.01925</v>
      </c>
      <c r="AD627" s="24" t="n">
        <f aca="false">IFERROR(AA627/AC627,0)</f>
        <v>63778.4542502105</v>
      </c>
      <c r="AE627" s="25" t="n">
        <f aca="false">K627-Q627-X627</f>
        <v>0</v>
      </c>
      <c r="AF627" s="25" t="n">
        <f aca="false">Q627-AA627</f>
        <v>0</v>
      </c>
      <c r="AG627" s="19" t="n">
        <v>1776541.58933601</v>
      </c>
      <c r="AH627" s="26" t="n">
        <f aca="false">IFERROR(AG627/Q627,0)</f>
        <v>1.03092744119877</v>
      </c>
      <c r="AI627" s="27" t="n">
        <v>323943396.226415</v>
      </c>
      <c r="AJ627" s="26" t="n">
        <f aca="false">IF(AI627&gt;0,AprCoef/SQRT(AI627),0)</f>
        <v>0.0263356338910046</v>
      </c>
      <c r="AK627" s="24" t="n">
        <f aca="false">AI627*AJ627/365</f>
        <v>23373.3005052808</v>
      </c>
      <c r="AL627" s="24" t="n">
        <f aca="false">AD627</f>
        <v>63778.4542502105</v>
      </c>
      <c r="AM627" s="24" t="n">
        <f aca="false">AK627-AL627</f>
        <v>-40405.1537449297</v>
      </c>
      <c r="AN627" s="28" t="str">
        <f aca="false">IF(A627&gt;=Hip3LaunchDate,"YES","")</f>
        <v/>
      </c>
      <c r="AO627" s="28" t="str">
        <f aca="false">IF(A627&lt;Hip4LaunchDate,"pre-launch","live (zero-fee)")</f>
        <v>pre-launch</v>
      </c>
      <c r="AP627" s="20"/>
      <c r="AQ627" s="20"/>
      <c r="AR627" s="20"/>
    </row>
    <row r="628" customFormat="false" ht="15" hidden="false" customHeight="false" outlineLevel="0" collapsed="false">
      <c r="A628" s="18" t="n">
        <v>45689</v>
      </c>
      <c r="B628" s="19" t="n">
        <v>5335486362.65</v>
      </c>
      <c r="C628" s="19" t="n">
        <v>0</v>
      </c>
      <c r="D628" s="19" t="n">
        <v>305083845</v>
      </c>
      <c r="E628" s="21" t="n">
        <f aca="false">B628+C628</f>
        <v>5335486362.65</v>
      </c>
      <c r="F628" s="21" t="n">
        <f aca="false">E628+D628</f>
        <v>5640570207.65</v>
      </c>
      <c r="G628" s="22" t="n">
        <f aca="false">IFERROR(C628/E628,0)</f>
        <v>0</v>
      </c>
      <c r="H628" s="19" t="n">
        <v>1393440</v>
      </c>
      <c r="I628" s="19" t="n">
        <v>40422</v>
      </c>
      <c r="J628" s="19" t="n">
        <v>42608</v>
      </c>
      <c r="K628" s="21" t="n">
        <f aca="false">H628+I628</f>
        <v>1433862</v>
      </c>
      <c r="L628" s="20"/>
      <c r="M628" s="21" t="n">
        <f aca="false">H628-L628</f>
        <v>1393440</v>
      </c>
      <c r="N628" s="23" t="n">
        <f aca="false">IFERROR(M628/B628*10000,0)</f>
        <v>2.61164569692183</v>
      </c>
      <c r="O628" s="19" t="n">
        <v>1351636</v>
      </c>
      <c r="P628" s="19" t="n">
        <v>39209</v>
      </c>
      <c r="Q628" s="21" t="n">
        <f aca="false">O628+P628</f>
        <v>1390845</v>
      </c>
      <c r="R628" s="22" t="n">
        <f aca="false">IF(A628&lt;HlpChangeDate,HlpSharePre,HlpSharePost)</f>
        <v>0.03</v>
      </c>
      <c r="S628" s="21" t="n">
        <f aca="false">Q628*R628/(1-R628)</f>
        <v>43015.824742268</v>
      </c>
      <c r="T628" s="19" t="n">
        <v>42608</v>
      </c>
      <c r="U628" s="21" t="n">
        <f aca="false">S628-T628</f>
        <v>407.824742268043</v>
      </c>
      <c r="V628" s="21" t="n">
        <f aca="false">Y628-O628*R628/(1-R628)</f>
        <v>-0.175257731963939</v>
      </c>
      <c r="W628" s="21" t="n">
        <f aca="false">Z628-P628*R628/(1-R628)</f>
        <v>0.350515463917418</v>
      </c>
      <c r="X628" s="21" t="n">
        <f aca="false">S628+V628+W628</f>
        <v>43016</v>
      </c>
      <c r="Y628" s="19" t="n">
        <v>41803</v>
      </c>
      <c r="Z628" s="19" t="n">
        <v>1213</v>
      </c>
      <c r="AA628" s="19" t="n">
        <v>1390845</v>
      </c>
      <c r="AB628" s="29" t="n">
        <v>23.188</v>
      </c>
      <c r="AC628" s="29" t="n">
        <v>25.21825</v>
      </c>
      <c r="AD628" s="24" t="n">
        <f aca="false">IFERROR(AA628/AC628,0)</f>
        <v>55152.3202442675</v>
      </c>
      <c r="AE628" s="25" t="n">
        <f aca="false">K628-Q628-X628</f>
        <v>1</v>
      </c>
      <c r="AF628" s="25" t="n">
        <f aca="false">Q628-AA628</f>
        <v>0</v>
      </c>
      <c r="AG628" s="19" t="n">
        <v>1420260.52698901</v>
      </c>
      <c r="AH628" s="26" t="n">
        <f aca="false">IFERROR(AG628/Q628,0)</f>
        <v>1.02114939262751</v>
      </c>
      <c r="AI628" s="27" t="n">
        <v>324660377.358491</v>
      </c>
      <c r="AJ628" s="26" t="n">
        <f aca="false">IF(AI628&gt;0,AprCoef/SQRT(AI628),0)</f>
        <v>0.0263065379644626</v>
      </c>
      <c r="AK628" s="24" t="n">
        <f aca="false">AI628*AJ628/365</f>
        <v>23399.1521713367</v>
      </c>
      <c r="AL628" s="24" t="n">
        <f aca="false">AD628</f>
        <v>55152.3202442675</v>
      </c>
      <c r="AM628" s="24" t="n">
        <f aca="false">AK628-AL628</f>
        <v>-31753.1680729308</v>
      </c>
      <c r="AN628" s="28" t="str">
        <f aca="false">IF(A628&gt;=Hip3LaunchDate,"YES","")</f>
        <v/>
      </c>
      <c r="AO628" s="28" t="str">
        <f aca="false">IF(A628&lt;Hip4LaunchDate,"pre-launch","live (zero-fee)")</f>
        <v>pre-launch</v>
      </c>
      <c r="AP628" s="20"/>
      <c r="AQ628" s="20"/>
      <c r="AR628" s="20"/>
    </row>
    <row r="629" customFormat="false" ht="15" hidden="false" customHeight="false" outlineLevel="0" collapsed="false">
      <c r="A629" s="18" t="n">
        <v>45690</v>
      </c>
      <c r="B629" s="19" t="n">
        <v>9044821753.93</v>
      </c>
      <c r="C629" s="19" t="n">
        <v>0</v>
      </c>
      <c r="D629" s="19" t="n">
        <v>443687078</v>
      </c>
      <c r="E629" s="21" t="n">
        <f aca="false">B629+C629</f>
        <v>9044821753.93</v>
      </c>
      <c r="F629" s="21" t="n">
        <f aca="false">E629+D629</f>
        <v>9488508831.93</v>
      </c>
      <c r="G629" s="22" t="n">
        <f aca="false">IFERROR(C629/E629,0)</f>
        <v>0</v>
      </c>
      <c r="H629" s="19" t="n">
        <v>2019665</v>
      </c>
      <c r="I629" s="19" t="n">
        <v>44496</v>
      </c>
      <c r="J629" s="19" t="n">
        <v>61607</v>
      </c>
      <c r="K629" s="21" t="n">
        <f aca="false">H629+I629</f>
        <v>2064161</v>
      </c>
      <c r="L629" s="20"/>
      <c r="M629" s="21" t="n">
        <f aca="false">H629-L629</f>
        <v>2019665</v>
      </c>
      <c r="N629" s="23" t="n">
        <f aca="false">IFERROR(M629/B629*10000,0)</f>
        <v>2.23295168765758</v>
      </c>
      <c r="O629" s="19" t="n">
        <v>1959076</v>
      </c>
      <c r="P629" s="19" t="n">
        <v>43161</v>
      </c>
      <c r="Q629" s="21" t="n">
        <f aca="false">O629+P629</f>
        <v>2002237</v>
      </c>
      <c r="R629" s="22" t="n">
        <f aca="false">IF(A629&lt;HlpChangeDate,HlpSharePre,HlpSharePost)</f>
        <v>0.03</v>
      </c>
      <c r="S629" s="21" t="n">
        <f aca="false">Q629*R629/(1-R629)</f>
        <v>61924.8556701031</v>
      </c>
      <c r="T629" s="19" t="n">
        <v>61607</v>
      </c>
      <c r="U629" s="21" t="n">
        <f aca="false">S629-T629</f>
        <v>317.855670103098</v>
      </c>
      <c r="V629" s="21" t="n">
        <f aca="false">Y629-O629*R629/(1-R629)</f>
        <v>0.0206185567003558</v>
      </c>
      <c r="W629" s="21" t="n">
        <f aca="false">Z629-P629*R629/(1-R629)</f>
        <v>0.123711340206228</v>
      </c>
      <c r="X629" s="21" t="n">
        <f aca="false">S629+V629+W629</f>
        <v>61925</v>
      </c>
      <c r="Y629" s="19" t="n">
        <v>60590</v>
      </c>
      <c r="Z629" s="19" t="n">
        <v>1335</v>
      </c>
      <c r="AA629" s="19" t="n">
        <v>2002237</v>
      </c>
      <c r="AB629" s="29" t="n">
        <v>22.311</v>
      </c>
      <c r="AC629" s="29" t="n">
        <v>22.6015</v>
      </c>
      <c r="AD629" s="24" t="n">
        <f aca="false">IFERROR(AA629/AC629,0)</f>
        <v>88588.6777426277</v>
      </c>
      <c r="AE629" s="25" t="n">
        <f aca="false">K629-Q629-X629</f>
        <v>-1.00000000000728</v>
      </c>
      <c r="AF629" s="25" t="n">
        <f aca="false">Q629-AA629</f>
        <v>0</v>
      </c>
      <c r="AG629" s="19" t="n">
        <v>2053558.557511</v>
      </c>
      <c r="AH629" s="26" t="n">
        <f aca="false">IFERROR(AG629/Q629,0)</f>
        <v>1.02563210924131</v>
      </c>
      <c r="AI629" s="27" t="n">
        <v>325377358.490566</v>
      </c>
      <c r="AJ629" s="26" t="n">
        <f aca="false">IF(AI629&gt;0,AprCoef/SQRT(AI629),0)</f>
        <v>0.026277538261915</v>
      </c>
      <c r="AK629" s="24" t="n">
        <f aca="false">AI629*AJ629/365</f>
        <v>23424.9753076622</v>
      </c>
      <c r="AL629" s="24" t="n">
        <f aca="false">AD629</f>
        <v>88588.6777426277</v>
      </c>
      <c r="AM629" s="24" t="n">
        <f aca="false">AK629-AL629</f>
        <v>-65163.7024349655</v>
      </c>
      <c r="AN629" s="28" t="str">
        <f aca="false">IF(A629&gt;=Hip3LaunchDate,"YES","")</f>
        <v/>
      </c>
      <c r="AO629" s="28" t="str">
        <f aca="false">IF(A629&lt;Hip4LaunchDate,"pre-launch","live (zero-fee)")</f>
        <v>pre-launch</v>
      </c>
      <c r="AP629" s="20"/>
      <c r="AQ629" s="20"/>
      <c r="AR629" s="20"/>
    </row>
    <row r="630" customFormat="false" ht="15" hidden="false" customHeight="false" outlineLevel="0" collapsed="false">
      <c r="A630" s="18" t="n">
        <v>45691</v>
      </c>
      <c r="B630" s="19" t="n">
        <v>18072547242.34</v>
      </c>
      <c r="C630" s="19" t="n">
        <v>0</v>
      </c>
      <c r="D630" s="19" t="n">
        <v>263016289</v>
      </c>
      <c r="E630" s="21" t="n">
        <f aca="false">B630+C630</f>
        <v>18072547242.34</v>
      </c>
      <c r="F630" s="21" t="n">
        <f aca="false">E630+D630</f>
        <v>18335563531.34</v>
      </c>
      <c r="G630" s="22" t="n">
        <f aca="false">IFERROR(C630/E630,0)</f>
        <v>0</v>
      </c>
      <c r="H630" s="19" t="n">
        <v>4197988</v>
      </c>
      <c r="I630" s="19" t="n">
        <v>63480</v>
      </c>
      <c r="J630" s="19" t="n">
        <v>128049</v>
      </c>
      <c r="K630" s="21" t="n">
        <f aca="false">H630+I630</f>
        <v>4261468</v>
      </c>
      <c r="L630" s="20"/>
      <c r="M630" s="21" t="n">
        <f aca="false">H630-L630</f>
        <v>4197988</v>
      </c>
      <c r="N630" s="23" t="n">
        <f aca="false">IFERROR(M630/B630*10000,0)</f>
        <v>2.3228535212596</v>
      </c>
      <c r="O630" s="19" t="n">
        <v>4072048</v>
      </c>
      <c r="P630" s="19" t="n">
        <v>61575</v>
      </c>
      <c r="Q630" s="21" t="n">
        <f aca="false">O630+P630</f>
        <v>4133623</v>
      </c>
      <c r="R630" s="22" t="n">
        <f aca="false">IF(A630&lt;HlpChangeDate,HlpSharePre,HlpSharePost)</f>
        <v>0.03</v>
      </c>
      <c r="S630" s="21" t="n">
        <f aca="false">Q630*R630/(1-R630)</f>
        <v>127844.010309278</v>
      </c>
      <c r="T630" s="19" t="n">
        <v>128049</v>
      </c>
      <c r="U630" s="21" t="n">
        <f aca="false">S630-T630</f>
        <v>-204.989690721646</v>
      </c>
      <c r="V630" s="21" t="n">
        <f aca="false">Y630-O630*R630/(1-R630)</f>
        <v>0.371134020606405</v>
      </c>
      <c r="W630" s="21" t="n">
        <f aca="false">Z630-P630*R630/(1-R630)</f>
        <v>-0.381443298969089</v>
      </c>
      <c r="X630" s="21" t="n">
        <f aca="false">S630+V630+W630</f>
        <v>127844</v>
      </c>
      <c r="Y630" s="19" t="n">
        <v>125940</v>
      </c>
      <c r="Z630" s="19" t="n">
        <v>1904</v>
      </c>
      <c r="AA630" s="19" t="n">
        <v>4133623</v>
      </c>
      <c r="AB630" s="29" t="n">
        <v>25.179</v>
      </c>
      <c r="AC630" s="29" t="n">
        <v>23.4005</v>
      </c>
      <c r="AD630" s="24" t="n">
        <f aca="false">IFERROR(AA630/AC630,0)</f>
        <v>176646.781051687</v>
      </c>
      <c r="AE630" s="25" t="n">
        <f aca="false">K630-Q630-X630</f>
        <v>1.00000000001455</v>
      </c>
      <c r="AF630" s="25" t="n">
        <f aca="false">Q630-AA630</f>
        <v>0</v>
      </c>
      <c r="AG630" s="19" t="n">
        <v>4268312.52640098</v>
      </c>
      <c r="AH630" s="26" t="n">
        <f aca="false">IFERROR(AG630/Q630,0)</f>
        <v>1.03258389224198</v>
      </c>
      <c r="AI630" s="27" t="n">
        <v>326094339.622642</v>
      </c>
      <c r="AJ630" s="26" t="n">
        <f aca="false">IF(AI630&gt;0,AprCoef/SQRT(AI630),0)</f>
        <v>0.0262486342541531</v>
      </c>
      <c r="AK630" s="24" t="n">
        <f aca="false">AI630*AJ630/365</f>
        <v>23450.7700085049</v>
      </c>
      <c r="AL630" s="24" t="n">
        <f aca="false">AD630</f>
        <v>176646.781051687</v>
      </c>
      <c r="AM630" s="24" t="n">
        <f aca="false">AK630-AL630</f>
        <v>-153196.011043182</v>
      </c>
      <c r="AN630" s="28" t="str">
        <f aca="false">IF(A630&gt;=Hip3LaunchDate,"YES","")</f>
        <v/>
      </c>
      <c r="AO630" s="28" t="str">
        <f aca="false">IF(A630&lt;Hip4LaunchDate,"pre-launch","live (zero-fee)")</f>
        <v>pre-launch</v>
      </c>
      <c r="AP630" s="20"/>
      <c r="AQ630" s="20"/>
      <c r="AR630" s="20"/>
    </row>
    <row r="631" customFormat="false" ht="15" hidden="false" customHeight="false" outlineLevel="0" collapsed="false">
      <c r="A631" s="18" t="n">
        <v>45692</v>
      </c>
      <c r="B631" s="19" t="n">
        <v>10231406265.73</v>
      </c>
      <c r="C631" s="19" t="n">
        <v>0</v>
      </c>
      <c r="D631" s="19" t="n">
        <v>208560749</v>
      </c>
      <c r="E631" s="21" t="n">
        <f aca="false">B631+C631</f>
        <v>10231406265.73</v>
      </c>
      <c r="F631" s="21" t="n">
        <f aca="false">E631+D631</f>
        <v>10439967014.73</v>
      </c>
      <c r="G631" s="22" t="n">
        <f aca="false">IFERROR(C631/E631,0)</f>
        <v>0</v>
      </c>
      <c r="H631" s="19" t="n">
        <v>2474308</v>
      </c>
      <c r="I631" s="19" t="n">
        <v>37612</v>
      </c>
      <c r="J631" s="19" t="n">
        <v>75878</v>
      </c>
      <c r="K631" s="21" t="n">
        <f aca="false">H631+I631</f>
        <v>2511920</v>
      </c>
      <c r="L631" s="20"/>
      <c r="M631" s="21" t="n">
        <f aca="false">H631-L631</f>
        <v>2474308</v>
      </c>
      <c r="N631" s="23" t="n">
        <f aca="false">IFERROR(M631/B631*10000,0)</f>
        <v>2.41834595923306</v>
      </c>
      <c r="O631" s="19" t="n">
        <v>2400078</v>
      </c>
      <c r="P631" s="19" t="n">
        <v>36483</v>
      </c>
      <c r="Q631" s="21" t="n">
        <f aca="false">O631+P631</f>
        <v>2436561</v>
      </c>
      <c r="R631" s="22" t="n">
        <f aca="false">IF(A631&lt;HlpChangeDate,HlpSharePre,HlpSharePost)</f>
        <v>0.03</v>
      </c>
      <c r="S631" s="21" t="n">
        <f aca="false">Q631*R631/(1-R631)</f>
        <v>75357.5567010309</v>
      </c>
      <c r="T631" s="19" t="n">
        <v>75878</v>
      </c>
      <c r="U631" s="21" t="n">
        <f aca="false">S631-T631</f>
        <v>-520.443298969069</v>
      </c>
      <c r="V631" s="21" t="n">
        <f aca="false">Y631-O631*R631/(1-R631)</f>
        <v>-0.216494845357374</v>
      </c>
      <c r="W631" s="21" t="n">
        <f aca="false">Z631-P631*R631/(1-R631)</f>
        <v>-0.340206185567013</v>
      </c>
      <c r="X631" s="21" t="n">
        <f aca="false">S631+V631+W631</f>
        <v>75357</v>
      </c>
      <c r="Y631" s="19" t="n">
        <v>74229</v>
      </c>
      <c r="Z631" s="19" t="n">
        <v>1128</v>
      </c>
      <c r="AA631" s="19" t="n">
        <v>2436561</v>
      </c>
      <c r="AB631" s="29" t="n">
        <v>25.13</v>
      </c>
      <c r="AC631" s="29" t="n">
        <v>25.252</v>
      </c>
      <c r="AD631" s="24" t="n">
        <f aca="false">IFERROR(AA631/AC631,0)</f>
        <v>96489.8225883098</v>
      </c>
      <c r="AE631" s="25" t="n">
        <f aca="false">K631-Q631-X631</f>
        <v>2</v>
      </c>
      <c r="AF631" s="25" t="n">
        <f aca="false">Q631-AA631</f>
        <v>0</v>
      </c>
      <c r="AG631" s="19" t="n">
        <v>2529278.041136</v>
      </c>
      <c r="AH631" s="26" t="n">
        <f aca="false">IFERROR(AG631/Q631,0)</f>
        <v>1.03805241942886</v>
      </c>
      <c r="AI631" s="27" t="n">
        <v>326811320.754717</v>
      </c>
      <c r="AJ631" s="26" t="n">
        <f aca="false">IF(AI631&gt;0,AprCoef/SQRT(AI631),0)</f>
        <v>0.0262198254160339</v>
      </c>
      <c r="AK631" s="24" t="n">
        <f aca="false">AI631*AJ631/365</f>
        <v>23476.5363675949</v>
      </c>
      <c r="AL631" s="24" t="n">
        <f aca="false">AD631</f>
        <v>96489.8225883098</v>
      </c>
      <c r="AM631" s="24" t="n">
        <f aca="false">AK631-AL631</f>
        <v>-73013.286220715</v>
      </c>
      <c r="AN631" s="28" t="str">
        <f aca="false">IF(A631&gt;=Hip3LaunchDate,"YES","")</f>
        <v/>
      </c>
      <c r="AO631" s="28" t="str">
        <f aca="false">IF(A631&lt;Hip4LaunchDate,"pre-launch","live (zero-fee)")</f>
        <v>pre-launch</v>
      </c>
      <c r="AP631" s="20"/>
      <c r="AQ631" s="20"/>
      <c r="AR631" s="20"/>
    </row>
    <row r="632" customFormat="false" ht="15" hidden="false" customHeight="false" outlineLevel="0" collapsed="false">
      <c r="A632" s="18" t="n">
        <v>45693</v>
      </c>
      <c r="B632" s="19" t="n">
        <v>5694608355.76</v>
      </c>
      <c r="C632" s="19" t="n">
        <v>0</v>
      </c>
      <c r="D632" s="19" t="n">
        <v>168626713</v>
      </c>
      <c r="E632" s="21" t="n">
        <f aca="false">B632+C632</f>
        <v>5694608355.76</v>
      </c>
      <c r="F632" s="21" t="n">
        <f aca="false">E632+D632</f>
        <v>5863235068.76</v>
      </c>
      <c r="G632" s="22" t="n">
        <f aca="false">IFERROR(C632/E632,0)</f>
        <v>0</v>
      </c>
      <c r="H632" s="19" t="n">
        <v>1415160</v>
      </c>
      <c r="I632" s="19" t="n">
        <v>28216</v>
      </c>
      <c r="J632" s="19" t="n">
        <v>43013</v>
      </c>
      <c r="K632" s="21" t="n">
        <f aca="false">H632+I632</f>
        <v>1443376</v>
      </c>
      <c r="L632" s="20"/>
      <c r="M632" s="21" t="n">
        <f aca="false">H632-L632</f>
        <v>1415160</v>
      </c>
      <c r="N632" s="23" t="n">
        <f aca="false">IFERROR(M632/B632*10000,0)</f>
        <v>2.48508749257285</v>
      </c>
      <c r="O632" s="19" t="n">
        <v>1372705</v>
      </c>
      <c r="P632" s="19" t="n">
        <v>27369</v>
      </c>
      <c r="Q632" s="21" t="n">
        <f aca="false">O632+P632</f>
        <v>1400074</v>
      </c>
      <c r="R632" s="22" t="n">
        <f aca="false">IF(A632&lt;HlpChangeDate,HlpSharePre,HlpSharePost)</f>
        <v>0.03</v>
      </c>
      <c r="S632" s="21" t="n">
        <f aca="false">Q632*R632/(1-R632)</f>
        <v>43301.2577319588</v>
      </c>
      <c r="T632" s="19" t="n">
        <v>43013</v>
      </c>
      <c r="U632" s="21" t="n">
        <f aca="false">S632-T632</f>
        <v>288.257731958765</v>
      </c>
      <c r="V632" s="21" t="n">
        <f aca="false">Y632-O632*R632/(1-R632)</f>
        <v>0.206185567010834</v>
      </c>
      <c r="W632" s="21" t="n">
        <f aca="false">Z632-P632*R632/(1-R632)</f>
        <v>-0.463917525773127</v>
      </c>
      <c r="X632" s="21" t="n">
        <f aca="false">S632+V632+W632</f>
        <v>43301</v>
      </c>
      <c r="Y632" s="19" t="n">
        <v>42455</v>
      </c>
      <c r="Z632" s="19" t="n">
        <v>846</v>
      </c>
      <c r="AA632" s="19" t="n">
        <v>1400074</v>
      </c>
      <c r="AB632" s="29" t="n">
        <v>24.757</v>
      </c>
      <c r="AC632" s="29" t="n">
        <v>25.362</v>
      </c>
      <c r="AD632" s="24" t="n">
        <f aca="false">IFERROR(AA632/AC632,0)</f>
        <v>55203.6117025471</v>
      </c>
      <c r="AE632" s="25" t="n">
        <f aca="false">K632-Q632-X632</f>
        <v>1</v>
      </c>
      <c r="AF632" s="25" t="n">
        <f aca="false">Q632-AA632</f>
        <v>0</v>
      </c>
      <c r="AG632" s="19" t="n">
        <v>1433752.88006902</v>
      </c>
      <c r="AH632" s="26" t="n">
        <f aca="false">IFERROR(AG632/Q632,0)</f>
        <v>1.02405507142409</v>
      </c>
      <c r="AI632" s="27" t="n">
        <v>327528301.886792</v>
      </c>
      <c r="AJ632" s="26" t="n">
        <f aca="false">IF(AI632&gt;0,AprCoef/SQRT(AI632),0)</f>
        <v>0.0261911112264403</v>
      </c>
      <c r="AK632" s="24" t="n">
        <f aca="false">AI632*AJ632/365</f>
        <v>23502.2744781482</v>
      </c>
      <c r="AL632" s="24" t="n">
        <f aca="false">AD632</f>
        <v>55203.6117025471</v>
      </c>
      <c r="AM632" s="24" t="n">
        <f aca="false">AK632-AL632</f>
        <v>-31701.337224399</v>
      </c>
      <c r="AN632" s="28" t="str">
        <f aca="false">IF(A632&gt;=Hip3LaunchDate,"YES","")</f>
        <v/>
      </c>
      <c r="AO632" s="28" t="str">
        <f aca="false">IF(A632&lt;Hip4LaunchDate,"pre-launch","live (zero-fee)")</f>
        <v>pre-launch</v>
      </c>
      <c r="AP632" s="20"/>
      <c r="AQ632" s="20"/>
      <c r="AR632" s="20"/>
    </row>
    <row r="633" customFormat="false" ht="15" hidden="false" customHeight="false" outlineLevel="0" collapsed="false">
      <c r="A633" s="18" t="n">
        <v>45694</v>
      </c>
      <c r="B633" s="19" t="n">
        <v>5904659695.48</v>
      </c>
      <c r="C633" s="19" t="n">
        <v>0</v>
      </c>
      <c r="D633" s="19" t="n">
        <v>178176120</v>
      </c>
      <c r="E633" s="21" t="n">
        <f aca="false">B633+C633</f>
        <v>5904659695.48</v>
      </c>
      <c r="F633" s="21" t="n">
        <f aca="false">E633+D633</f>
        <v>6082835815.48</v>
      </c>
      <c r="G633" s="22" t="n">
        <f aca="false">IFERROR(C633/E633,0)</f>
        <v>0</v>
      </c>
      <c r="H633" s="19" t="n">
        <v>1316367</v>
      </c>
      <c r="I633" s="19" t="n">
        <v>24592</v>
      </c>
      <c r="J633" s="19" t="n">
        <v>40517</v>
      </c>
      <c r="K633" s="21" t="n">
        <f aca="false">H633+I633</f>
        <v>1340959</v>
      </c>
      <c r="L633" s="20"/>
      <c r="M633" s="21" t="n">
        <f aca="false">H633-L633</f>
        <v>1316367</v>
      </c>
      <c r="N633" s="23" t="n">
        <f aca="false">IFERROR(M633/B633*10000,0)</f>
        <v>2.22936979925816</v>
      </c>
      <c r="O633" s="19" t="n">
        <v>1276876</v>
      </c>
      <c r="P633" s="19" t="n">
        <v>23855</v>
      </c>
      <c r="Q633" s="21" t="n">
        <f aca="false">O633+P633</f>
        <v>1300731</v>
      </c>
      <c r="R633" s="22" t="n">
        <f aca="false">IF(A633&lt;HlpChangeDate,HlpSharePre,HlpSharePost)</f>
        <v>0.03</v>
      </c>
      <c r="S633" s="21" t="n">
        <f aca="false">Q633*R633/(1-R633)</f>
        <v>40228.793814433</v>
      </c>
      <c r="T633" s="19" t="n">
        <v>40517</v>
      </c>
      <c r="U633" s="21" t="n">
        <f aca="false">S633-T633</f>
        <v>-288.206185567011</v>
      </c>
      <c r="V633" s="21" t="n">
        <f aca="false">Y633-O633*R633/(1-R633)</f>
        <v>-0.0103092783538159</v>
      </c>
      <c r="W633" s="21" t="n">
        <f aca="false">Z633-P633*R633/(1-R633)</f>
        <v>0.216494845360785</v>
      </c>
      <c r="X633" s="21" t="n">
        <f aca="false">S633+V633+W633</f>
        <v>40229</v>
      </c>
      <c r="Y633" s="19" t="n">
        <v>39491</v>
      </c>
      <c r="Z633" s="19" t="n">
        <v>738</v>
      </c>
      <c r="AA633" s="19" t="n">
        <v>1300731</v>
      </c>
      <c r="AB633" s="29" t="n">
        <v>23.836</v>
      </c>
      <c r="AC633" s="29" t="n">
        <v>24.579</v>
      </c>
      <c r="AD633" s="24" t="n">
        <f aca="false">IFERROR(AA633/AC633,0)</f>
        <v>52920.4198706213</v>
      </c>
      <c r="AE633" s="25" t="n">
        <f aca="false">K633-Q633-X633</f>
        <v>-0.999999999992724</v>
      </c>
      <c r="AF633" s="25" t="n">
        <f aca="false">Q633-AA633</f>
        <v>0</v>
      </c>
      <c r="AG633" s="19" t="n">
        <v>1350582.151703</v>
      </c>
      <c r="AH633" s="26" t="n">
        <f aca="false">IFERROR(AG633/Q633,0)</f>
        <v>1.03832548905423</v>
      </c>
      <c r="AI633" s="27" t="n">
        <v>328245283.018868</v>
      </c>
      <c r="AJ633" s="26" t="n">
        <f aca="false">IF(AI633&gt;0,AprCoef/SQRT(AI633),0)</f>
        <v>0.0261624911682412</v>
      </c>
      <c r="AK633" s="24" t="n">
        <f aca="false">AI633*AJ633/365</f>
        <v>23527.9844328711</v>
      </c>
      <c r="AL633" s="24" t="n">
        <f aca="false">AD633</f>
        <v>52920.4198706213</v>
      </c>
      <c r="AM633" s="24" t="n">
        <f aca="false">AK633-AL633</f>
        <v>-29392.4354377501</v>
      </c>
      <c r="AN633" s="28" t="str">
        <f aca="false">IF(A633&gt;=Hip3LaunchDate,"YES","")</f>
        <v/>
      </c>
      <c r="AO633" s="28" t="str">
        <f aca="false">IF(A633&lt;Hip4LaunchDate,"pre-launch","live (zero-fee)")</f>
        <v>pre-launch</v>
      </c>
      <c r="AP633" s="20"/>
      <c r="AQ633" s="20"/>
      <c r="AR633" s="20"/>
    </row>
    <row r="634" customFormat="false" ht="15" hidden="false" customHeight="false" outlineLevel="0" collapsed="false">
      <c r="A634" s="18" t="n">
        <v>45695</v>
      </c>
      <c r="B634" s="19" t="n">
        <v>6189394336.94</v>
      </c>
      <c r="C634" s="19" t="n">
        <v>0</v>
      </c>
      <c r="D634" s="19" t="n">
        <v>86858735</v>
      </c>
      <c r="E634" s="21" t="n">
        <f aca="false">B634+C634</f>
        <v>6189394336.94</v>
      </c>
      <c r="F634" s="21" t="n">
        <f aca="false">E634+D634</f>
        <v>6276253071.94</v>
      </c>
      <c r="G634" s="22" t="n">
        <f aca="false">IFERROR(C634/E634,0)</f>
        <v>0</v>
      </c>
      <c r="H634" s="19" t="n">
        <v>1531085</v>
      </c>
      <c r="I634" s="19" t="n">
        <v>26352</v>
      </c>
      <c r="J634" s="19" t="n">
        <v>46307</v>
      </c>
      <c r="K634" s="21" t="n">
        <f aca="false">H634+I634</f>
        <v>1557437</v>
      </c>
      <c r="L634" s="20"/>
      <c r="M634" s="21" t="n">
        <f aca="false">H634-L634</f>
        <v>1531085</v>
      </c>
      <c r="N634" s="23" t="n">
        <f aca="false">IFERROR(M634/B634*10000,0)</f>
        <v>2.47372346412324</v>
      </c>
      <c r="O634" s="19" t="n">
        <v>1485152</v>
      </c>
      <c r="P634" s="19" t="n">
        <v>25562</v>
      </c>
      <c r="Q634" s="21" t="n">
        <f aca="false">O634+P634</f>
        <v>1510714</v>
      </c>
      <c r="R634" s="22" t="n">
        <f aca="false">IF(A634&lt;HlpChangeDate,HlpSharePre,HlpSharePost)</f>
        <v>0.03</v>
      </c>
      <c r="S634" s="21" t="n">
        <f aca="false">Q634*R634/(1-R634)</f>
        <v>46723.1134020619</v>
      </c>
      <c r="T634" s="19" t="n">
        <v>46307</v>
      </c>
      <c r="U634" s="21" t="n">
        <f aca="false">S634-T634</f>
        <v>416.113402061856</v>
      </c>
      <c r="V634" s="21" t="n">
        <f aca="false">Y634-O634*R634/(1-R634)</f>
        <v>0.463917525776196</v>
      </c>
      <c r="W634" s="21" t="n">
        <f aca="false">Z634-P634*R634/(1-R634)</f>
        <v>0.422680412371051</v>
      </c>
      <c r="X634" s="21" t="n">
        <f aca="false">S634+V634+W634</f>
        <v>46724</v>
      </c>
      <c r="Y634" s="19" t="n">
        <v>45933</v>
      </c>
      <c r="Z634" s="19" t="n">
        <v>791</v>
      </c>
      <c r="AA634" s="19" t="n">
        <v>1510714</v>
      </c>
      <c r="AB634" s="29" t="n">
        <v>22.835</v>
      </c>
      <c r="AC634" s="29" t="n">
        <v>23.45275</v>
      </c>
      <c r="AD634" s="24" t="n">
        <f aca="false">IFERROR(AA634/AC634,0)</f>
        <v>64415.2178315976</v>
      </c>
      <c r="AE634" s="25" t="n">
        <f aca="false">K634-Q634-X634</f>
        <v>-1</v>
      </c>
      <c r="AF634" s="25" t="n">
        <f aca="false">Q634-AA634</f>
        <v>0</v>
      </c>
      <c r="AG634" s="19" t="n">
        <v>1543559.659637</v>
      </c>
      <c r="AH634" s="26" t="n">
        <f aca="false">IFERROR(AG634/Q634,0)</f>
        <v>1.02174181190947</v>
      </c>
      <c r="AI634" s="27" t="n">
        <v>328962264.150943</v>
      </c>
      <c r="AJ634" s="26" t="n">
        <f aca="false">IF(AI634&gt;0,AprCoef/SQRT(AI634),0)</f>
        <v>0.0261339647282526</v>
      </c>
      <c r="AK634" s="24" t="n">
        <f aca="false">AI634*AJ634/365</f>
        <v>23553.666323964</v>
      </c>
      <c r="AL634" s="24" t="n">
        <f aca="false">AD634</f>
        <v>64415.2178315976</v>
      </c>
      <c r="AM634" s="24" t="n">
        <f aca="false">AK634-AL634</f>
        <v>-40861.5515076335</v>
      </c>
      <c r="AN634" s="28" t="str">
        <f aca="false">IF(A634&gt;=Hip3LaunchDate,"YES","")</f>
        <v/>
      </c>
      <c r="AO634" s="28" t="str">
        <f aca="false">IF(A634&lt;Hip4LaunchDate,"pre-launch","live (zero-fee)")</f>
        <v>pre-launch</v>
      </c>
      <c r="AP634" s="20"/>
      <c r="AQ634" s="20"/>
      <c r="AR634" s="20"/>
    </row>
    <row r="635" customFormat="false" ht="15" hidden="false" customHeight="false" outlineLevel="0" collapsed="false">
      <c r="A635" s="18" t="n">
        <v>45696</v>
      </c>
      <c r="B635" s="19" t="n">
        <v>3006719558.72</v>
      </c>
      <c r="C635" s="19" t="n">
        <v>0</v>
      </c>
      <c r="D635" s="19" t="n">
        <v>75118825</v>
      </c>
      <c r="E635" s="21" t="n">
        <f aca="false">B635+C635</f>
        <v>3006719558.72</v>
      </c>
      <c r="F635" s="21" t="n">
        <f aca="false">E635+D635</f>
        <v>3081838383.72</v>
      </c>
      <c r="G635" s="22" t="n">
        <f aca="false">IFERROR(C635/E635,0)</f>
        <v>0</v>
      </c>
      <c r="H635" s="19" t="n">
        <v>782416</v>
      </c>
      <c r="I635" s="19" t="n">
        <v>12064</v>
      </c>
      <c r="J635" s="19" t="n">
        <v>23942</v>
      </c>
      <c r="K635" s="21" t="n">
        <f aca="false">H635+I635</f>
        <v>794480</v>
      </c>
      <c r="L635" s="20"/>
      <c r="M635" s="21" t="n">
        <f aca="false">H635-L635</f>
        <v>782416</v>
      </c>
      <c r="N635" s="23" t="n">
        <f aca="false">IFERROR(M635/B635*10000,0)</f>
        <v>2.60222473270199</v>
      </c>
      <c r="O635" s="19" t="n">
        <v>758944</v>
      </c>
      <c r="P635" s="19" t="n">
        <v>11702</v>
      </c>
      <c r="Q635" s="21" t="n">
        <f aca="false">O635+P635</f>
        <v>770646</v>
      </c>
      <c r="R635" s="22" t="n">
        <f aca="false">IF(A635&lt;HlpChangeDate,HlpSharePre,HlpSharePost)</f>
        <v>0.03</v>
      </c>
      <c r="S635" s="21" t="n">
        <f aca="false">Q635*R635/(1-R635)</f>
        <v>23834.412371134</v>
      </c>
      <c r="T635" s="19" t="n">
        <v>23942</v>
      </c>
      <c r="U635" s="21" t="n">
        <f aca="false">S635-T635</f>
        <v>-107.587628865982</v>
      </c>
      <c r="V635" s="21" t="n">
        <f aca="false">Y635-O635*R635/(1-R635)</f>
        <v>-0.49484536082673</v>
      </c>
      <c r="W635" s="21" t="n">
        <f aca="false">Z635-P635*R635/(1-R635)</f>
        <v>0.082474226804095</v>
      </c>
      <c r="X635" s="21" t="n">
        <f aca="false">S635+V635+W635</f>
        <v>23834</v>
      </c>
      <c r="Y635" s="19" t="n">
        <v>23472</v>
      </c>
      <c r="Z635" s="19" t="n">
        <v>362</v>
      </c>
      <c r="AA635" s="19" t="n">
        <v>770646</v>
      </c>
      <c r="AB635" s="29" t="n">
        <v>23.371</v>
      </c>
      <c r="AC635" s="29" t="n">
        <v>23.0685</v>
      </c>
      <c r="AD635" s="24" t="n">
        <f aca="false">IFERROR(AA635/AC635,0)</f>
        <v>33406.8535015281</v>
      </c>
      <c r="AE635" s="25" t="n">
        <f aca="false">K635-Q635-X635</f>
        <v>0</v>
      </c>
      <c r="AF635" s="25" t="n">
        <f aca="false">Q635-AA635</f>
        <v>0</v>
      </c>
      <c r="AG635" s="19" t="n">
        <v>798058.004082978</v>
      </c>
      <c r="AH635" s="26" t="n">
        <f aca="false">IFERROR(AG635/Q635,0)</f>
        <v>1.03557016332139</v>
      </c>
      <c r="AI635" s="27" t="n">
        <v>329679245.283019</v>
      </c>
      <c r="AJ635" s="26" t="n">
        <f aca="false">IF(AI635&gt;0,AprCoef/SQRT(AI635),0)</f>
        <v>0.0261055313971988</v>
      </c>
      <c r="AK635" s="24" t="n">
        <f aca="false">AI635*AJ635/365</f>
        <v>23579.3202431251</v>
      </c>
      <c r="AL635" s="24" t="n">
        <f aca="false">AD635</f>
        <v>33406.8535015281</v>
      </c>
      <c r="AM635" s="24" t="n">
        <f aca="false">AK635-AL635</f>
        <v>-9827.53325840298</v>
      </c>
      <c r="AN635" s="28" t="str">
        <f aca="false">IF(A635&gt;=Hip3LaunchDate,"YES","")</f>
        <v/>
      </c>
      <c r="AO635" s="28" t="str">
        <f aca="false">IF(A635&lt;Hip4LaunchDate,"pre-launch","live (zero-fee)")</f>
        <v>pre-launch</v>
      </c>
      <c r="AP635" s="20"/>
      <c r="AQ635" s="20"/>
      <c r="AR635" s="20"/>
    </row>
    <row r="636" customFormat="false" ht="15" hidden="false" customHeight="false" outlineLevel="0" collapsed="false">
      <c r="A636" s="18" t="n">
        <v>45697</v>
      </c>
      <c r="B636" s="19" t="n">
        <v>3754601891.22</v>
      </c>
      <c r="C636" s="19" t="n">
        <v>0</v>
      </c>
      <c r="D636" s="19" t="n">
        <v>91079022</v>
      </c>
      <c r="E636" s="21" t="n">
        <f aca="false">B636+C636</f>
        <v>3754601891.22</v>
      </c>
      <c r="F636" s="21" t="n">
        <f aca="false">E636+D636</f>
        <v>3845680913.22</v>
      </c>
      <c r="G636" s="22" t="n">
        <f aca="false">IFERROR(C636/E636,0)</f>
        <v>0</v>
      </c>
      <c r="H636" s="19" t="n">
        <v>983799</v>
      </c>
      <c r="I636" s="19" t="n">
        <v>10683</v>
      </c>
      <c r="J636" s="19" t="n">
        <v>30143</v>
      </c>
      <c r="K636" s="21" t="n">
        <f aca="false">H636+I636</f>
        <v>994482</v>
      </c>
      <c r="L636" s="20"/>
      <c r="M636" s="21" t="n">
        <f aca="false">H636-L636</f>
        <v>983799</v>
      </c>
      <c r="N636" s="23" t="n">
        <f aca="false">IFERROR(M636/B636*10000,0)</f>
        <v>2.62024850704033</v>
      </c>
      <c r="O636" s="19" t="n">
        <v>954285</v>
      </c>
      <c r="P636" s="19" t="n">
        <v>10362</v>
      </c>
      <c r="Q636" s="21" t="n">
        <f aca="false">O636+P636</f>
        <v>964647</v>
      </c>
      <c r="R636" s="22" t="n">
        <f aca="false">IF(A636&lt;HlpChangeDate,HlpSharePre,HlpSharePost)</f>
        <v>0.03</v>
      </c>
      <c r="S636" s="21" t="n">
        <f aca="false">Q636*R636/(1-R636)</f>
        <v>29834.4432989691</v>
      </c>
      <c r="T636" s="19" t="n">
        <v>30143</v>
      </c>
      <c r="U636" s="21" t="n">
        <f aca="false">S636-T636</f>
        <v>-308.556701030928</v>
      </c>
      <c r="V636" s="21" t="n">
        <f aca="false">Y636-O636*R636/(1-R636)</f>
        <v>0.0309278350505338</v>
      </c>
      <c r="W636" s="21" t="n">
        <f aca="false">Z636-P636*R636/(1-R636)</f>
        <v>-0.474226804123759</v>
      </c>
      <c r="X636" s="21" t="n">
        <f aca="false">S636+V636+W636</f>
        <v>29834</v>
      </c>
      <c r="Y636" s="19" t="n">
        <v>29514</v>
      </c>
      <c r="Z636" s="19" t="n">
        <v>320</v>
      </c>
      <c r="AA636" s="19" t="n">
        <v>964647</v>
      </c>
      <c r="AB636" s="29" t="n">
        <v>22.97</v>
      </c>
      <c r="AC636" s="29" t="n">
        <v>23.139</v>
      </c>
      <c r="AD636" s="24" t="n">
        <f aca="false">IFERROR(AA636/AC636,0)</f>
        <v>41689.2259821081</v>
      </c>
      <c r="AE636" s="25" t="n">
        <f aca="false">K636-Q636-X636</f>
        <v>1</v>
      </c>
      <c r="AF636" s="25" t="n">
        <f aca="false">Q636-AA636</f>
        <v>0</v>
      </c>
      <c r="AG636" s="19" t="n">
        <v>1004781.83973101</v>
      </c>
      <c r="AH636" s="26" t="n">
        <f aca="false">IFERROR(AG636/Q636,0)</f>
        <v>1.04160572699755</v>
      </c>
      <c r="AI636" s="27" t="n">
        <v>330396226.415094</v>
      </c>
      <c r="AJ636" s="26" t="n">
        <f aca="false">IF(AI636&gt;0,AprCoef/SQRT(AI636),0)</f>
        <v>0.0260771906696743</v>
      </c>
      <c r="AK636" s="24" t="n">
        <f aca="false">AI636*AJ636/365</f>
        <v>23604.9462815542</v>
      </c>
      <c r="AL636" s="24" t="n">
        <f aca="false">AD636</f>
        <v>41689.2259821081</v>
      </c>
      <c r="AM636" s="24" t="n">
        <f aca="false">AK636-AL636</f>
        <v>-18084.2797005539</v>
      </c>
      <c r="AN636" s="28" t="str">
        <f aca="false">IF(A636&gt;=Hip3LaunchDate,"YES","")</f>
        <v/>
      </c>
      <c r="AO636" s="28" t="str">
        <f aca="false">IF(A636&lt;Hip4LaunchDate,"pre-launch","live (zero-fee)")</f>
        <v>pre-launch</v>
      </c>
      <c r="AP636" s="20"/>
      <c r="AQ636" s="20"/>
      <c r="AR636" s="20"/>
    </row>
    <row r="637" customFormat="false" ht="15" hidden="false" customHeight="false" outlineLevel="0" collapsed="false">
      <c r="A637" s="18" t="n">
        <v>45698</v>
      </c>
      <c r="B637" s="19" t="n">
        <v>5178632081.24</v>
      </c>
      <c r="C637" s="19" t="n">
        <v>0</v>
      </c>
      <c r="D637" s="19" t="n">
        <v>107918816</v>
      </c>
      <c r="E637" s="21" t="n">
        <f aca="false">B637+C637</f>
        <v>5178632081.24</v>
      </c>
      <c r="F637" s="21" t="n">
        <f aca="false">E637+D637</f>
        <v>5286550897.24</v>
      </c>
      <c r="G637" s="22" t="n">
        <f aca="false">IFERROR(C637/E637,0)</f>
        <v>0</v>
      </c>
      <c r="H637" s="19" t="n">
        <v>1123138</v>
      </c>
      <c r="I637" s="19" t="n">
        <v>11999</v>
      </c>
      <c r="J637" s="19" t="n">
        <v>34054</v>
      </c>
      <c r="K637" s="21" t="n">
        <f aca="false">H637+I637</f>
        <v>1135137</v>
      </c>
      <c r="L637" s="20"/>
      <c r="M637" s="21" t="n">
        <f aca="false">H637-L637</f>
        <v>1123138</v>
      </c>
      <c r="N637" s="23" t="n">
        <f aca="false">IFERROR(M637/B637*10000,0)</f>
        <v>2.1687928054759</v>
      </c>
      <c r="O637" s="19" t="n">
        <v>1089443</v>
      </c>
      <c r="P637" s="19" t="n">
        <v>11639</v>
      </c>
      <c r="Q637" s="21" t="n">
        <f aca="false">O637+P637</f>
        <v>1101082</v>
      </c>
      <c r="R637" s="22" t="n">
        <f aca="false">IF(A637&lt;HlpChangeDate,HlpSharePre,HlpSharePost)</f>
        <v>0.03</v>
      </c>
      <c r="S637" s="21" t="n">
        <f aca="false">Q637*R637/(1-R637)</f>
        <v>34054.0824742268</v>
      </c>
      <c r="T637" s="19" t="n">
        <v>34054</v>
      </c>
      <c r="U637" s="21" t="n">
        <f aca="false">S637-T637</f>
        <v>0.0824742268014234</v>
      </c>
      <c r="V637" s="21" t="n">
        <f aca="false">Y637-O637*R637/(1-R637)</f>
        <v>-0.113402061855595</v>
      </c>
      <c r="W637" s="21" t="n">
        <f aca="false">Z637-P637*R637/(1-R637)</f>
        <v>0.0309278350515569</v>
      </c>
      <c r="X637" s="21" t="n">
        <f aca="false">S637+V637+W637</f>
        <v>34054</v>
      </c>
      <c r="Y637" s="19" t="n">
        <v>33694</v>
      </c>
      <c r="Z637" s="19" t="n">
        <v>360</v>
      </c>
      <c r="AA637" s="19" t="n">
        <v>1101082</v>
      </c>
      <c r="AB637" s="29" t="n">
        <v>23.328</v>
      </c>
      <c r="AC637" s="29" t="n">
        <v>23.181</v>
      </c>
      <c r="AD637" s="24" t="n">
        <f aca="false">IFERROR(AA637/AC637,0)</f>
        <v>47499.3313489496</v>
      </c>
      <c r="AE637" s="25" t="n">
        <f aca="false">K637-Q637-X637</f>
        <v>1</v>
      </c>
      <c r="AF637" s="25" t="n">
        <f aca="false">Q637-AA637</f>
        <v>0</v>
      </c>
      <c r="AG637" s="19" t="n">
        <v>1135136.38376799</v>
      </c>
      <c r="AH637" s="26" t="n">
        <f aca="false">IFERROR(AG637/Q637,0)</f>
        <v>1.03092810868581</v>
      </c>
      <c r="AI637" s="27" t="n">
        <v>331113207.54717</v>
      </c>
      <c r="AJ637" s="26" t="n">
        <f aca="false">IF(AI637&gt;0,AprCoef/SQRT(AI637),0)</f>
        <v>0.0260489420441059</v>
      </c>
      <c r="AK637" s="24" t="n">
        <f aca="false">AI637*AJ637/365</f>
        <v>23630.5445299568</v>
      </c>
      <c r="AL637" s="24" t="n">
        <f aca="false">AD637</f>
        <v>47499.3313489496</v>
      </c>
      <c r="AM637" s="24" t="n">
        <f aca="false">AK637-AL637</f>
        <v>-23868.7868189928</v>
      </c>
      <c r="AN637" s="28" t="str">
        <f aca="false">IF(A637&gt;=Hip3LaunchDate,"YES","")</f>
        <v/>
      </c>
      <c r="AO637" s="28" t="str">
        <f aca="false">IF(A637&lt;Hip4LaunchDate,"pre-launch","live (zero-fee)")</f>
        <v>pre-launch</v>
      </c>
      <c r="AP637" s="20"/>
      <c r="AQ637" s="20"/>
      <c r="AR637" s="20"/>
    </row>
    <row r="638" customFormat="false" ht="15" hidden="false" customHeight="false" outlineLevel="0" collapsed="false">
      <c r="A638" s="18" t="n">
        <v>45699</v>
      </c>
      <c r="B638" s="19" t="n">
        <v>6593863802.85</v>
      </c>
      <c r="C638" s="19" t="n">
        <v>0</v>
      </c>
      <c r="D638" s="19" t="n">
        <v>142810624</v>
      </c>
      <c r="E638" s="21" t="n">
        <f aca="false">B638+C638</f>
        <v>6593863802.85</v>
      </c>
      <c r="F638" s="21" t="n">
        <f aca="false">E638+D638</f>
        <v>6736674426.85</v>
      </c>
      <c r="G638" s="22" t="n">
        <f aca="false">IFERROR(C638/E638,0)</f>
        <v>0</v>
      </c>
      <c r="H638" s="19" t="n">
        <v>1538904</v>
      </c>
      <c r="I638" s="19" t="n">
        <v>15656</v>
      </c>
      <c r="J638" s="19" t="n">
        <v>46439</v>
      </c>
      <c r="K638" s="21" t="n">
        <f aca="false">H638+I638</f>
        <v>1554560</v>
      </c>
      <c r="L638" s="20"/>
      <c r="M638" s="21" t="n">
        <f aca="false">H638-L638</f>
        <v>1538904</v>
      </c>
      <c r="N638" s="23" t="n">
        <f aca="false">IFERROR(M638/B638*10000,0)</f>
        <v>2.33384256334633</v>
      </c>
      <c r="O638" s="19" t="n">
        <v>1492737</v>
      </c>
      <c r="P638" s="19" t="n">
        <v>15186</v>
      </c>
      <c r="Q638" s="21" t="n">
        <f aca="false">O638+P638</f>
        <v>1507923</v>
      </c>
      <c r="R638" s="22" t="n">
        <f aca="false">IF(A638&lt;HlpChangeDate,HlpSharePre,HlpSharePost)</f>
        <v>0.03</v>
      </c>
      <c r="S638" s="21" t="n">
        <f aca="false">Q638*R638/(1-R638)</f>
        <v>46636.793814433</v>
      </c>
      <c r="T638" s="19" t="n">
        <v>46439</v>
      </c>
      <c r="U638" s="21" t="n">
        <f aca="false">S638-T638</f>
        <v>197.793814432989</v>
      </c>
      <c r="V638" s="21" t="n">
        <f aca="false">Y638-O638*R638/(1-R638)</f>
        <v>-0.123711340209411</v>
      </c>
      <c r="W638" s="21" t="n">
        <f aca="false">Z638-P638*R638/(1-R638)</f>
        <v>0.329896907216494</v>
      </c>
      <c r="X638" s="21" t="n">
        <f aca="false">S638+V638+W638</f>
        <v>46637</v>
      </c>
      <c r="Y638" s="19" t="n">
        <v>46167</v>
      </c>
      <c r="Z638" s="19" t="n">
        <v>470</v>
      </c>
      <c r="AA638" s="19" t="n">
        <v>1507923</v>
      </c>
      <c r="AB638" s="29" t="n">
        <v>23.502</v>
      </c>
      <c r="AC638" s="29" t="n">
        <v>23.64875</v>
      </c>
      <c r="AD638" s="24" t="n">
        <f aca="false">IFERROR(AA638/AC638,0)</f>
        <v>63763.327871452</v>
      </c>
      <c r="AE638" s="25" t="n">
        <f aca="false">K638-Q638-X638</f>
        <v>0</v>
      </c>
      <c r="AF638" s="25" t="n">
        <f aca="false">Q638-AA638</f>
        <v>0</v>
      </c>
      <c r="AG638" s="19" t="n">
        <v>1547969.97267902</v>
      </c>
      <c r="AH638" s="26" t="n">
        <f aca="false">IFERROR(AG638/Q638,0)</f>
        <v>1.02655770399352</v>
      </c>
      <c r="AI638" s="27" t="n">
        <v>331830188.679245</v>
      </c>
      <c r="AJ638" s="26" t="n">
        <f aca="false">IF(AI638&gt;0,AprCoef/SQRT(AI638),0)</f>
        <v>0.0260207850227157</v>
      </c>
      <c r="AK638" s="24" t="n">
        <f aca="false">AI638*AJ638/365</f>
        <v>23656.1150785475</v>
      </c>
      <c r="AL638" s="24" t="n">
        <f aca="false">AD638</f>
        <v>63763.327871452</v>
      </c>
      <c r="AM638" s="24" t="n">
        <f aca="false">AK638-AL638</f>
        <v>-40107.2127929045</v>
      </c>
      <c r="AN638" s="28" t="str">
        <f aca="false">IF(A638&gt;=Hip3LaunchDate,"YES","")</f>
        <v/>
      </c>
      <c r="AO638" s="28" t="str">
        <f aca="false">IF(A638&lt;Hip4LaunchDate,"pre-launch","live (zero-fee)")</f>
        <v>pre-launch</v>
      </c>
      <c r="AP638" s="20"/>
      <c r="AQ638" s="20"/>
      <c r="AR638" s="20"/>
    </row>
    <row r="639" customFormat="false" ht="15" hidden="false" customHeight="false" outlineLevel="0" collapsed="false">
      <c r="A639" s="18" t="n">
        <v>45700</v>
      </c>
      <c r="B639" s="19" t="n">
        <v>7575580365.85</v>
      </c>
      <c r="C639" s="19" t="n">
        <v>0</v>
      </c>
      <c r="D639" s="19" t="n">
        <v>122695803</v>
      </c>
      <c r="E639" s="21" t="n">
        <f aca="false">B639+C639</f>
        <v>7575580365.85</v>
      </c>
      <c r="F639" s="21" t="n">
        <f aca="false">E639+D639</f>
        <v>7698276168.85</v>
      </c>
      <c r="G639" s="22" t="n">
        <f aca="false">IFERROR(C639/E639,0)</f>
        <v>0</v>
      </c>
      <c r="H639" s="19" t="n">
        <v>1791221</v>
      </c>
      <c r="I639" s="19" t="n">
        <v>18209</v>
      </c>
      <c r="J639" s="19" t="n">
        <v>54104</v>
      </c>
      <c r="K639" s="21" t="n">
        <f aca="false">H639+I639</f>
        <v>1809430</v>
      </c>
      <c r="L639" s="20"/>
      <c r="M639" s="21" t="n">
        <f aca="false">H639-L639</f>
        <v>1791221</v>
      </c>
      <c r="N639" s="23" t="n">
        <f aca="false">IFERROR(M639/B639*10000,0)</f>
        <v>2.36446702892184</v>
      </c>
      <c r="O639" s="19" t="n">
        <v>1737484</v>
      </c>
      <c r="P639" s="19" t="n">
        <v>17662</v>
      </c>
      <c r="Q639" s="21" t="n">
        <f aca="false">O639+P639</f>
        <v>1755146</v>
      </c>
      <c r="R639" s="22" t="n">
        <f aca="false">IF(A639&lt;HlpChangeDate,HlpSharePre,HlpSharePost)</f>
        <v>0.03</v>
      </c>
      <c r="S639" s="21" t="n">
        <f aca="false">Q639*R639/(1-R639)</f>
        <v>54282.8659793814</v>
      </c>
      <c r="T639" s="19" t="n">
        <v>54104</v>
      </c>
      <c r="U639" s="21" t="n">
        <f aca="false">S639-T639</f>
        <v>178.865979381444</v>
      </c>
      <c r="V639" s="21" t="n">
        <f aca="false">Y639-O639*R639/(1-R639)</f>
        <v>0.381443298967497</v>
      </c>
      <c r="W639" s="21" t="n">
        <f aca="false">Z639-P639*R639/(1-R639)</f>
        <v>-0.247422680412456</v>
      </c>
      <c r="X639" s="21" t="n">
        <f aca="false">S639+V639+W639</f>
        <v>54283</v>
      </c>
      <c r="Y639" s="19" t="n">
        <v>53737</v>
      </c>
      <c r="Z639" s="19" t="n">
        <v>546</v>
      </c>
      <c r="AA639" s="19" t="n">
        <v>1755146</v>
      </c>
      <c r="AB639" s="29" t="n">
        <v>25.842</v>
      </c>
      <c r="AC639" s="29" t="n">
        <v>24.42375</v>
      </c>
      <c r="AD639" s="24" t="n">
        <f aca="false">IFERROR(AA639/AC639,0)</f>
        <v>71862.2652131634</v>
      </c>
      <c r="AE639" s="25" t="n">
        <f aca="false">K639-Q639-X639</f>
        <v>1</v>
      </c>
      <c r="AF639" s="25" t="n">
        <f aca="false">Q639-AA639</f>
        <v>0</v>
      </c>
      <c r="AG639" s="19" t="n">
        <v>1803463.604922</v>
      </c>
      <c r="AH639" s="26" t="n">
        <f aca="false">IFERROR(AG639/Q639,0)</f>
        <v>1.02752910864509</v>
      </c>
      <c r="AI639" s="27" t="n">
        <v>332547169.811321</v>
      </c>
      <c r="AJ639" s="26" t="n">
        <f aca="false">IF(AI639&gt;0,AprCoef/SQRT(AI639),0)</f>
        <v>0.0259927191114841</v>
      </c>
      <c r="AK639" s="24" t="n">
        <f aca="false">AI639*AJ639/365</f>
        <v>23681.6580170539</v>
      </c>
      <c r="AL639" s="24" t="n">
        <f aca="false">AD639</f>
        <v>71862.2652131634</v>
      </c>
      <c r="AM639" s="24" t="n">
        <f aca="false">AK639-AL639</f>
        <v>-48180.6071961095</v>
      </c>
      <c r="AN639" s="28" t="str">
        <f aca="false">IF(A639&gt;=Hip3LaunchDate,"YES","")</f>
        <v/>
      </c>
      <c r="AO639" s="28" t="str">
        <f aca="false">IF(A639&lt;Hip4LaunchDate,"pre-launch","live (zero-fee)")</f>
        <v>pre-launch</v>
      </c>
      <c r="AP639" s="20"/>
      <c r="AQ639" s="20"/>
      <c r="AR639" s="20"/>
    </row>
    <row r="640" customFormat="false" ht="15" hidden="false" customHeight="false" outlineLevel="0" collapsed="false">
      <c r="A640" s="18" t="n">
        <v>45701</v>
      </c>
      <c r="B640" s="19" t="n">
        <v>5121162003.89</v>
      </c>
      <c r="C640" s="19" t="n">
        <v>0</v>
      </c>
      <c r="D640" s="19" t="n">
        <v>199613305</v>
      </c>
      <c r="E640" s="21" t="n">
        <f aca="false">B640+C640</f>
        <v>5121162003.89</v>
      </c>
      <c r="F640" s="21" t="n">
        <f aca="false">E640+D640</f>
        <v>5320775308.89</v>
      </c>
      <c r="G640" s="22" t="n">
        <f aca="false">IFERROR(C640/E640,0)</f>
        <v>0</v>
      </c>
      <c r="H640" s="19" t="n">
        <v>1388068</v>
      </c>
      <c r="I640" s="19" t="n">
        <v>18585</v>
      </c>
      <c r="J640" s="19" t="n">
        <v>0</v>
      </c>
      <c r="K640" s="21" t="n">
        <f aca="false">H640+I640</f>
        <v>1406653</v>
      </c>
      <c r="L640" s="20"/>
      <c r="M640" s="21" t="n">
        <f aca="false">H640-L640</f>
        <v>1388068</v>
      </c>
      <c r="N640" s="23" t="n">
        <f aca="false">IFERROR(M640/B640*10000,0)</f>
        <v>2.71045516417101</v>
      </c>
      <c r="O640" s="19" t="n">
        <v>1346426</v>
      </c>
      <c r="P640" s="19" t="n">
        <v>18028</v>
      </c>
      <c r="Q640" s="21" t="n">
        <f aca="false">O640+P640</f>
        <v>1364454</v>
      </c>
      <c r="R640" s="22" t="n">
        <f aca="false">IF(A640&lt;HlpChangeDate,HlpSharePre,HlpSharePost)</f>
        <v>0.03</v>
      </c>
      <c r="S640" s="21" t="n">
        <f aca="false">Q640*R640/(1-R640)</f>
        <v>42199.6082474227</v>
      </c>
      <c r="T640" s="19" t="n">
        <v>0</v>
      </c>
      <c r="U640" s="21" t="n">
        <f aca="false">S640-T640</f>
        <v>42199.6082474227</v>
      </c>
      <c r="V640" s="21" t="n">
        <f aca="false">Y640-O640*R640/(1-R640)</f>
        <v>-0.0412371134007117</v>
      </c>
      <c r="W640" s="21" t="n">
        <f aca="false">Z640-P640*R640/(1-R640)</f>
        <v>0.43298969072157</v>
      </c>
      <c r="X640" s="21" t="n">
        <f aca="false">S640+V640+W640</f>
        <v>42200</v>
      </c>
      <c r="Y640" s="19" t="n">
        <v>41642</v>
      </c>
      <c r="Z640" s="19" t="n">
        <v>558</v>
      </c>
      <c r="AA640" s="19" t="n">
        <v>1364454</v>
      </c>
      <c r="AB640" s="29" t="n">
        <v>26.271</v>
      </c>
      <c r="AC640" s="29" t="n">
        <v>25.73175</v>
      </c>
      <c r="AD640" s="24" t="n">
        <f aca="false">IFERROR(AA640/AC640,0)</f>
        <v>53026.0864496196</v>
      </c>
      <c r="AE640" s="25" t="n">
        <f aca="false">K640-Q640-X640</f>
        <v>-1</v>
      </c>
      <c r="AF640" s="25" t="n">
        <f aca="false">Q640-AA640</f>
        <v>0</v>
      </c>
      <c r="AG640" s="19" t="n">
        <v>1225092.04359201</v>
      </c>
      <c r="AH640" s="26" t="n">
        <f aca="false">IFERROR(AG640/Q640,0)</f>
        <v>0.897862473628284</v>
      </c>
      <c r="AI640" s="27" t="n">
        <v>333264150.943396</v>
      </c>
      <c r="AJ640" s="26" t="n">
        <f aca="false">IF(AI640&gt;0,AprCoef/SQRT(AI640),0)</f>
        <v>0.0259647438201134</v>
      </c>
      <c r="AK640" s="24" t="n">
        <f aca="false">AI640*AJ640/365</f>
        <v>23707.1734347202</v>
      </c>
      <c r="AL640" s="24" t="n">
        <f aca="false">AD640</f>
        <v>53026.0864496196</v>
      </c>
      <c r="AM640" s="24" t="n">
        <f aca="false">AK640-AL640</f>
        <v>-29318.9130148994</v>
      </c>
      <c r="AN640" s="28" t="str">
        <f aca="false">IF(A640&gt;=Hip3LaunchDate,"YES","")</f>
        <v/>
      </c>
      <c r="AO640" s="28" t="str">
        <f aca="false">IF(A640&lt;Hip4LaunchDate,"pre-launch","live (zero-fee)")</f>
        <v>pre-launch</v>
      </c>
      <c r="AP640" s="20"/>
      <c r="AQ640" s="20"/>
      <c r="AR640" s="20"/>
    </row>
    <row r="641" customFormat="false" ht="15" hidden="false" customHeight="false" outlineLevel="0" collapsed="false">
      <c r="A641" s="18" t="n">
        <v>45702</v>
      </c>
      <c r="B641" s="19" t="n">
        <v>5071294403.58</v>
      </c>
      <c r="C641" s="19" t="n">
        <v>0</v>
      </c>
      <c r="D641" s="19" t="n">
        <v>103410352</v>
      </c>
      <c r="E641" s="21" t="n">
        <f aca="false">B641+C641</f>
        <v>5071294403.58</v>
      </c>
      <c r="F641" s="21" t="n">
        <f aca="false">E641+D641</f>
        <v>5174704755.58</v>
      </c>
      <c r="G641" s="22" t="n">
        <f aca="false">IFERROR(C641/E641,0)</f>
        <v>0</v>
      </c>
      <c r="H641" s="19" t="n">
        <v>1000308</v>
      </c>
      <c r="I641" s="19" t="n">
        <v>25753</v>
      </c>
      <c r="J641" s="19" t="n">
        <v>0</v>
      </c>
      <c r="K641" s="21" t="n">
        <f aca="false">H641+I641</f>
        <v>1026061</v>
      </c>
      <c r="L641" s="20"/>
      <c r="M641" s="21" t="n">
        <f aca="false">H641-L641</f>
        <v>1000308</v>
      </c>
      <c r="N641" s="23" t="n">
        <f aca="false">IFERROR(M641/B641*10000,0)</f>
        <v>1.97249049334199</v>
      </c>
      <c r="O641" s="19" t="n">
        <v>970299</v>
      </c>
      <c r="P641" s="19" t="n">
        <v>24980</v>
      </c>
      <c r="Q641" s="21" t="n">
        <f aca="false">O641+P641</f>
        <v>995279</v>
      </c>
      <c r="R641" s="22" t="n">
        <f aca="false">IF(A641&lt;HlpChangeDate,HlpSharePre,HlpSharePost)</f>
        <v>0.03</v>
      </c>
      <c r="S641" s="21" t="n">
        <f aca="false">Q641*R641/(1-R641)</f>
        <v>30781.824742268</v>
      </c>
      <c r="T641" s="19" t="n">
        <v>0</v>
      </c>
      <c r="U641" s="21" t="n">
        <f aca="false">S641-T641</f>
        <v>30781.824742268</v>
      </c>
      <c r="V641" s="21" t="n">
        <f aca="false">Y641-O641*R641/(1-R641)</f>
        <v>-0.247422680411546</v>
      </c>
      <c r="W641" s="21" t="n">
        <f aca="false">Z641-P641*R641/(1-R641)</f>
        <v>0.422680412371165</v>
      </c>
      <c r="X641" s="21" t="n">
        <f aca="false">S641+V641+W641</f>
        <v>30782</v>
      </c>
      <c r="Y641" s="19" t="n">
        <v>30009</v>
      </c>
      <c r="Z641" s="19" t="n">
        <v>773</v>
      </c>
      <c r="AA641" s="19" t="n">
        <v>995279</v>
      </c>
      <c r="AB641" s="29" t="n">
        <v>26.184</v>
      </c>
      <c r="AC641" s="29" t="n">
        <v>26.64575</v>
      </c>
      <c r="AD641" s="24" t="n">
        <f aca="false">IFERROR(AA641/AC641,0)</f>
        <v>37352.2606794705</v>
      </c>
      <c r="AE641" s="25" t="n">
        <f aca="false">K641-Q641-X641</f>
        <v>0</v>
      </c>
      <c r="AF641" s="25" t="n">
        <f aca="false">Q641-AA641</f>
        <v>0</v>
      </c>
      <c r="AG641" s="19" t="n">
        <v>1220176.861781</v>
      </c>
      <c r="AH641" s="26" t="n">
        <f aca="false">IFERROR(AG641/Q641,0)</f>
        <v>1.22596464085046</v>
      </c>
      <c r="AI641" s="27" t="n">
        <v>333981132.075472</v>
      </c>
      <c r="AJ641" s="26" t="n">
        <f aca="false">IF(AI641&gt;0,AprCoef/SQRT(AI641),0)</f>
        <v>0.0259368586619917</v>
      </c>
      <c r="AK641" s="24" t="n">
        <f aca="false">AI641*AJ641/365</f>
        <v>23732.6614203109</v>
      </c>
      <c r="AL641" s="24" t="n">
        <f aca="false">AD641</f>
        <v>37352.2606794705</v>
      </c>
      <c r="AM641" s="24" t="n">
        <f aca="false">AK641-AL641</f>
        <v>-13619.5992591595</v>
      </c>
      <c r="AN641" s="28" t="str">
        <f aca="false">IF(A641&gt;=Hip3LaunchDate,"YES","")</f>
        <v/>
      </c>
      <c r="AO641" s="28" t="str">
        <f aca="false">IF(A641&lt;Hip4LaunchDate,"pre-launch","live (zero-fee)")</f>
        <v>pre-launch</v>
      </c>
      <c r="AP641" s="20"/>
      <c r="AQ641" s="20"/>
      <c r="AR641" s="20"/>
    </row>
    <row r="642" customFormat="false" ht="15" hidden="false" customHeight="false" outlineLevel="0" collapsed="false">
      <c r="A642" s="18" t="n">
        <v>45703</v>
      </c>
      <c r="B642" s="19" t="n">
        <v>2569566270.96</v>
      </c>
      <c r="C642" s="19" t="n">
        <v>0</v>
      </c>
      <c r="D642" s="19" t="n">
        <v>78021652</v>
      </c>
      <c r="E642" s="21" t="n">
        <f aca="false">B642+C642</f>
        <v>2569566270.96</v>
      </c>
      <c r="F642" s="21" t="n">
        <f aca="false">E642+D642</f>
        <v>2647587922.96</v>
      </c>
      <c r="G642" s="22" t="n">
        <f aca="false">IFERROR(C642/E642,0)</f>
        <v>0</v>
      </c>
      <c r="H642" s="19" t="n">
        <v>724327</v>
      </c>
      <c r="I642" s="19" t="n">
        <v>17622</v>
      </c>
      <c r="J642" s="19" t="n">
        <v>0</v>
      </c>
      <c r="K642" s="21" t="n">
        <f aca="false">H642+I642</f>
        <v>741949</v>
      </c>
      <c r="L642" s="20"/>
      <c r="M642" s="21" t="n">
        <f aca="false">H642-L642</f>
        <v>724327</v>
      </c>
      <c r="N642" s="23" t="n">
        <f aca="false">IFERROR(M642/B642*10000,0)</f>
        <v>2.81886872576899</v>
      </c>
      <c r="O642" s="19" t="n">
        <v>702597</v>
      </c>
      <c r="P642" s="19" t="n">
        <v>17093</v>
      </c>
      <c r="Q642" s="21" t="n">
        <f aca="false">O642+P642</f>
        <v>719690</v>
      </c>
      <c r="R642" s="22" t="n">
        <f aca="false">IF(A642&lt;HlpChangeDate,HlpSharePre,HlpSharePost)</f>
        <v>0.03</v>
      </c>
      <c r="S642" s="21" t="n">
        <f aca="false">Q642*R642/(1-R642)</f>
        <v>22258.4536082474</v>
      </c>
      <c r="T642" s="19" t="n">
        <v>0</v>
      </c>
      <c r="U642" s="21" t="n">
        <f aca="false">S642-T642</f>
        <v>22258.4536082474</v>
      </c>
      <c r="V642" s="21" t="n">
        <f aca="false">Y642-O642*R642/(1-R642)</f>
        <v>0.195876288660656</v>
      </c>
      <c r="W642" s="21" t="n">
        <f aca="false">Z642-P642*R642/(1-R642)</f>
        <v>0.350515463917532</v>
      </c>
      <c r="X642" s="21" t="n">
        <f aca="false">S642+V642+W642</f>
        <v>22259</v>
      </c>
      <c r="Y642" s="19" t="n">
        <v>21730</v>
      </c>
      <c r="Z642" s="19" t="n">
        <v>529</v>
      </c>
      <c r="AA642" s="19" t="n">
        <v>719690</v>
      </c>
      <c r="AB642" s="29" t="n">
        <v>25.719</v>
      </c>
      <c r="AC642" s="29" t="n">
        <v>26.025</v>
      </c>
      <c r="AD642" s="24" t="n">
        <f aca="false">IFERROR(AA642/AC642,0)</f>
        <v>27653.7944284342</v>
      </c>
      <c r="AE642" s="25" t="n">
        <f aca="false">K642-Q642-X642</f>
        <v>0</v>
      </c>
      <c r="AF642" s="25" t="n">
        <f aca="false">Q642-AA642</f>
        <v>0</v>
      </c>
      <c r="AG642" s="19" t="n">
        <v>741948.981001973</v>
      </c>
      <c r="AH642" s="26" t="n">
        <f aca="false">IFERROR(AG642/Q642,0)</f>
        <v>1.03092856785835</v>
      </c>
      <c r="AI642" s="27" t="n">
        <v>334698113.207547</v>
      </c>
      <c r="AJ642" s="26" t="n">
        <f aca="false">IF(AI642&gt;0,AprCoef/SQRT(AI642),0)</f>
        <v>0.0259090631541576</v>
      </c>
      <c r="AK642" s="24" t="n">
        <f aca="false">AI642*AJ642/365</f>
        <v>23758.1220621144</v>
      </c>
      <c r="AL642" s="24" t="n">
        <f aca="false">AD642</f>
        <v>27653.7944284342</v>
      </c>
      <c r="AM642" s="24" t="n">
        <f aca="false">AK642-AL642</f>
        <v>-3895.67236631984</v>
      </c>
      <c r="AN642" s="28" t="str">
        <f aca="false">IF(A642&gt;=Hip3LaunchDate,"YES","")</f>
        <v/>
      </c>
      <c r="AO642" s="28" t="str">
        <f aca="false">IF(A642&lt;Hip4LaunchDate,"pre-launch","live (zero-fee)")</f>
        <v>pre-launch</v>
      </c>
      <c r="AP642" s="20"/>
      <c r="AQ642" s="20"/>
      <c r="AR642" s="20"/>
    </row>
    <row r="643" customFormat="false" ht="15" hidden="false" customHeight="false" outlineLevel="0" collapsed="false">
      <c r="A643" s="18" t="n">
        <v>45704</v>
      </c>
      <c r="B643" s="19" t="n">
        <v>2576463334.92</v>
      </c>
      <c r="C643" s="19" t="n">
        <v>0</v>
      </c>
      <c r="D643" s="19" t="n">
        <v>120737014</v>
      </c>
      <c r="E643" s="21" t="n">
        <f aca="false">B643+C643</f>
        <v>2576463334.92</v>
      </c>
      <c r="F643" s="21" t="n">
        <f aca="false">E643+D643</f>
        <v>2697200348.92</v>
      </c>
      <c r="G643" s="22" t="n">
        <f aca="false">IFERROR(C643/E643,0)</f>
        <v>0</v>
      </c>
      <c r="H643" s="19" t="n">
        <v>599409</v>
      </c>
      <c r="I643" s="19" t="n">
        <v>8856</v>
      </c>
      <c r="J643" s="19" t="n">
        <v>18248</v>
      </c>
      <c r="K643" s="21" t="n">
        <f aca="false">H643+I643</f>
        <v>608265</v>
      </c>
      <c r="L643" s="20"/>
      <c r="M643" s="21" t="n">
        <f aca="false">H643-L643</f>
        <v>599409</v>
      </c>
      <c r="N643" s="23" t="n">
        <f aca="false">IFERROR(M643/B643*10000,0)</f>
        <v>2.32647983720914</v>
      </c>
      <c r="O643" s="19" t="n">
        <v>581427</v>
      </c>
      <c r="P643" s="19" t="n">
        <v>8590</v>
      </c>
      <c r="Q643" s="21" t="n">
        <f aca="false">O643+P643</f>
        <v>590017</v>
      </c>
      <c r="R643" s="22" t="n">
        <f aca="false">IF(A643&lt;HlpChangeDate,HlpSharePre,HlpSharePost)</f>
        <v>0.03</v>
      </c>
      <c r="S643" s="21" t="n">
        <f aca="false">Q643*R643/(1-R643)</f>
        <v>18247.9484536082</v>
      </c>
      <c r="T643" s="19" t="n">
        <v>18248</v>
      </c>
      <c r="U643" s="21" t="n">
        <f aca="false">S643-T643</f>
        <v>-0.0515463917545276</v>
      </c>
      <c r="V643" s="21" t="n">
        <f aca="false">Y643-O643*R643/(1-R643)</f>
        <v>-0.27835051546208</v>
      </c>
      <c r="W643" s="21" t="n">
        <f aca="false">Z643-P643*R643/(1-R643)</f>
        <v>0.329896907216494</v>
      </c>
      <c r="X643" s="21" t="n">
        <f aca="false">S643+V643+W643</f>
        <v>18248</v>
      </c>
      <c r="Y643" s="19" t="n">
        <v>17982</v>
      </c>
      <c r="Z643" s="19" t="n">
        <v>266</v>
      </c>
      <c r="AA643" s="19" t="n">
        <v>590017</v>
      </c>
      <c r="AB643" s="29" t="n">
        <v>26.797</v>
      </c>
      <c r="AC643" s="29" t="n">
        <v>26.26525</v>
      </c>
      <c r="AD643" s="24" t="n">
        <f aca="false">IFERROR(AA643/AC643,0)</f>
        <v>22463.7877042861</v>
      </c>
      <c r="AE643" s="25" t="n">
        <f aca="false">K643-Q643-X643</f>
        <v>0</v>
      </c>
      <c r="AF643" s="25" t="n">
        <f aca="false">Q643-AA643</f>
        <v>0</v>
      </c>
      <c r="AG643" s="19" t="n">
        <v>608265.345591009</v>
      </c>
      <c r="AH643" s="26" t="n">
        <f aca="false">IFERROR(AG643/Q643,0)</f>
        <v>1.03092850814639</v>
      </c>
      <c r="AI643" s="27" t="n">
        <v>335415094.339623</v>
      </c>
      <c r="AJ643" s="26" t="n">
        <f aca="false">IF(AI643&gt;0,AprCoef/SQRT(AI643),0)</f>
        <v>0.0258813568172651</v>
      </c>
      <c r="AK643" s="24" t="n">
        <f aca="false">AI643*AJ643/365</f>
        <v>23783.5554479463</v>
      </c>
      <c r="AL643" s="24" t="n">
        <f aca="false">AD643</f>
        <v>22463.7877042861</v>
      </c>
      <c r="AM643" s="24" t="n">
        <f aca="false">AK643-AL643</f>
        <v>1319.76774366022</v>
      </c>
      <c r="AN643" s="28" t="str">
        <f aca="false">IF(A643&gt;=Hip3LaunchDate,"YES","")</f>
        <v/>
      </c>
      <c r="AO643" s="28" t="str">
        <f aca="false">IF(A643&lt;Hip4LaunchDate,"pre-launch","live (zero-fee)")</f>
        <v>pre-launch</v>
      </c>
      <c r="AP643" s="20"/>
      <c r="AQ643" s="20"/>
      <c r="AR643" s="20"/>
    </row>
    <row r="644" customFormat="false" ht="15" hidden="false" customHeight="false" outlineLevel="0" collapsed="false">
      <c r="A644" s="18" t="n">
        <v>45705</v>
      </c>
      <c r="B644" s="19" t="n">
        <v>5049366130.65</v>
      </c>
      <c r="C644" s="19" t="n">
        <v>0</v>
      </c>
      <c r="D644" s="19" t="n">
        <v>360271474</v>
      </c>
      <c r="E644" s="21" t="n">
        <f aca="false">B644+C644</f>
        <v>5049366130.65</v>
      </c>
      <c r="F644" s="21" t="n">
        <f aca="false">E644+D644</f>
        <v>5409637604.65</v>
      </c>
      <c r="G644" s="22" t="n">
        <f aca="false">IFERROR(C644/E644,0)</f>
        <v>0</v>
      </c>
      <c r="H644" s="19" t="n">
        <v>1305683</v>
      </c>
      <c r="I644" s="19" t="n">
        <v>18954</v>
      </c>
      <c r="J644" s="19" t="n">
        <v>39606</v>
      </c>
      <c r="K644" s="21" t="n">
        <f aca="false">H644+I644</f>
        <v>1324637</v>
      </c>
      <c r="L644" s="20"/>
      <c r="M644" s="21" t="n">
        <f aca="false">H644-L644</f>
        <v>1305683</v>
      </c>
      <c r="N644" s="23" t="n">
        <f aca="false">IFERROR(M644/B644*10000,0)</f>
        <v>2.58583546175116</v>
      </c>
      <c r="O644" s="19" t="n">
        <v>1266513</v>
      </c>
      <c r="P644" s="19" t="n">
        <v>18385</v>
      </c>
      <c r="Q644" s="21" t="n">
        <f aca="false">O644+P644</f>
        <v>1284898</v>
      </c>
      <c r="R644" s="22" t="n">
        <f aca="false">IF(A644&lt;HlpChangeDate,HlpSharePre,HlpSharePost)</f>
        <v>0.03</v>
      </c>
      <c r="S644" s="21" t="n">
        <f aca="false">Q644*R644/(1-R644)</f>
        <v>39739.1134020619</v>
      </c>
      <c r="T644" s="19" t="n">
        <v>39606</v>
      </c>
      <c r="U644" s="21" t="n">
        <f aca="false">S644-T644</f>
        <v>133.113402061848</v>
      </c>
      <c r="V644" s="21" t="n">
        <f aca="false">Y644-O644*R644/(1-R644)</f>
        <v>-0.505154639176908</v>
      </c>
      <c r="W644" s="21" t="n">
        <f aca="false">Z644-P644*R644/(1-R644)</f>
        <v>0.391752577319608</v>
      </c>
      <c r="X644" s="21" t="n">
        <f aca="false">S644+V644+W644</f>
        <v>39739</v>
      </c>
      <c r="Y644" s="19" t="n">
        <v>39170</v>
      </c>
      <c r="Z644" s="19" t="n">
        <v>569</v>
      </c>
      <c r="AA644" s="19" t="n">
        <v>1284898</v>
      </c>
      <c r="AB644" s="29" t="n">
        <v>25.378</v>
      </c>
      <c r="AC644" s="29" t="n">
        <v>26.007</v>
      </c>
      <c r="AD644" s="24" t="n">
        <f aca="false">IFERROR(AA644/AC644,0)</f>
        <v>49405.8522705425</v>
      </c>
      <c r="AE644" s="25" t="n">
        <f aca="false">K644-Q644-X644</f>
        <v>0</v>
      </c>
      <c r="AF644" s="25" t="n">
        <f aca="false">Q644-AA644</f>
        <v>0</v>
      </c>
      <c r="AG644" s="19" t="n">
        <v>1320213.49765801</v>
      </c>
      <c r="AH644" s="26" t="n">
        <f aca="false">IFERROR(AG644/Q644,0)</f>
        <v>1.02748505924829</v>
      </c>
      <c r="AI644" s="27" t="n">
        <v>336132075.471698</v>
      </c>
      <c r="AJ644" s="26" t="n">
        <f aca="false">IF(AI644&gt;0,AprCoef/SQRT(AI644),0)</f>
        <v>0.0258537391755483</v>
      </c>
      <c r="AK644" s="24" t="n">
        <f aca="false">AI644*AJ644/365</f>
        <v>23808.9616651535</v>
      </c>
      <c r="AL644" s="24" t="n">
        <f aca="false">AD644</f>
        <v>49405.8522705425</v>
      </c>
      <c r="AM644" s="24" t="n">
        <f aca="false">AK644-AL644</f>
        <v>-25596.8906053891</v>
      </c>
      <c r="AN644" s="28" t="str">
        <f aca="false">IF(A644&gt;=Hip3LaunchDate,"YES","")</f>
        <v/>
      </c>
      <c r="AO644" s="28" t="str">
        <f aca="false">IF(A644&lt;Hip4LaunchDate,"pre-launch","live (zero-fee)")</f>
        <v>pre-launch</v>
      </c>
      <c r="AP644" s="20"/>
      <c r="AQ644" s="20"/>
      <c r="AR644" s="20"/>
    </row>
    <row r="645" customFormat="false" ht="15" hidden="false" customHeight="false" outlineLevel="0" collapsed="false">
      <c r="A645" s="18" t="n">
        <v>45706</v>
      </c>
      <c r="B645" s="19" t="n">
        <v>6787245917.89</v>
      </c>
      <c r="C645" s="19" t="n">
        <v>0</v>
      </c>
      <c r="D645" s="19" t="n">
        <v>146705782</v>
      </c>
      <c r="E645" s="21" t="n">
        <f aca="false">B645+C645</f>
        <v>6787245917.89</v>
      </c>
      <c r="F645" s="21" t="n">
        <f aca="false">E645+D645</f>
        <v>6933951699.89</v>
      </c>
      <c r="G645" s="22" t="n">
        <f aca="false">IFERROR(C645/E645,0)</f>
        <v>0</v>
      </c>
      <c r="H645" s="19" t="n">
        <v>1594393</v>
      </c>
      <c r="I645" s="19" t="n">
        <v>55805</v>
      </c>
      <c r="J645" s="19" t="n">
        <v>49639</v>
      </c>
      <c r="K645" s="21" t="n">
        <f aca="false">H645+I645</f>
        <v>1650198</v>
      </c>
      <c r="L645" s="20"/>
      <c r="M645" s="21" t="n">
        <f aca="false">H645-L645</f>
        <v>1594393</v>
      </c>
      <c r="N645" s="23" t="n">
        <f aca="false">IFERROR(M645/B645*10000,0)</f>
        <v>2.34910156385738</v>
      </c>
      <c r="O645" s="19" t="n">
        <v>1546561</v>
      </c>
      <c r="P645" s="19" t="n">
        <v>54131</v>
      </c>
      <c r="Q645" s="21" t="n">
        <f aca="false">O645+P645</f>
        <v>1600692</v>
      </c>
      <c r="R645" s="22" t="n">
        <f aca="false">IF(A645&lt;HlpChangeDate,HlpSharePre,HlpSharePost)</f>
        <v>0.03</v>
      </c>
      <c r="S645" s="21" t="n">
        <f aca="false">Q645*R645/(1-R645)</f>
        <v>49505.9381443299</v>
      </c>
      <c r="T645" s="19" t="n">
        <v>49639</v>
      </c>
      <c r="U645" s="21" t="n">
        <f aca="false">S645-T645</f>
        <v>-133.061855670108</v>
      </c>
      <c r="V645" s="21" t="n">
        <f aca="false">Y645-O645*R645/(1-R645)</f>
        <v>0.216494845357374</v>
      </c>
      <c r="W645" s="21" t="n">
        <f aca="false">Z645-P645*R645/(1-R645)</f>
        <v>-0.154639175257671</v>
      </c>
      <c r="X645" s="21" t="n">
        <f aca="false">S645+V645+W645</f>
        <v>49506</v>
      </c>
      <c r="Y645" s="19" t="n">
        <v>47832</v>
      </c>
      <c r="Z645" s="19" t="n">
        <v>1674</v>
      </c>
      <c r="AA645" s="19" t="n">
        <v>1600692</v>
      </c>
      <c r="AB645" s="29" t="n">
        <v>24.087</v>
      </c>
      <c r="AC645" s="29" t="n">
        <v>24.8365</v>
      </c>
      <c r="AD645" s="24" t="n">
        <f aca="false">IFERROR(AA645/AC645,0)</f>
        <v>64449.1776216456</v>
      </c>
      <c r="AE645" s="25" t="n">
        <f aca="false">K645-Q645-X645</f>
        <v>0</v>
      </c>
      <c r="AF645" s="25" t="n">
        <f aca="false">Q645-AA645</f>
        <v>0</v>
      </c>
      <c r="AG645" s="19" t="n">
        <v>1654620.895641</v>
      </c>
      <c r="AH645" s="26" t="n">
        <f aca="false">IFERROR(AG645/Q645,0)</f>
        <v>1.03369098842313</v>
      </c>
      <c r="AI645" s="27" t="n">
        <v>336849056.603774</v>
      </c>
      <c r="AJ645" s="26" t="n">
        <f aca="false">IF(AI645&gt;0,AprCoef/SQRT(AI645),0)</f>
        <v>0.025826209756788</v>
      </c>
      <c r="AK645" s="24" t="n">
        <f aca="false">AI645*AJ645/365</f>
        <v>23834.340800617</v>
      </c>
      <c r="AL645" s="24" t="n">
        <f aca="false">AD645</f>
        <v>64449.1776216456</v>
      </c>
      <c r="AM645" s="24" t="n">
        <f aca="false">AK645-AL645</f>
        <v>-40614.8368210285</v>
      </c>
      <c r="AN645" s="28" t="str">
        <f aca="false">IF(A645&gt;=Hip3LaunchDate,"YES","")</f>
        <v/>
      </c>
      <c r="AO645" s="28" t="str">
        <f aca="false">IF(A645&lt;Hip4LaunchDate,"pre-launch","live (zero-fee)")</f>
        <v>pre-launch</v>
      </c>
      <c r="AP645" s="20"/>
      <c r="AQ645" s="20"/>
      <c r="AR645" s="20"/>
    </row>
    <row r="646" customFormat="false" ht="15" hidden="false" customHeight="false" outlineLevel="0" collapsed="false">
      <c r="A646" s="18" t="n">
        <v>45707</v>
      </c>
      <c r="B646" s="19" t="n">
        <v>3901859790.86</v>
      </c>
      <c r="C646" s="19" t="n">
        <v>0</v>
      </c>
      <c r="D646" s="19" t="n">
        <v>136622361</v>
      </c>
      <c r="E646" s="21" t="n">
        <f aca="false">B646+C646</f>
        <v>3901859790.86</v>
      </c>
      <c r="F646" s="21" t="n">
        <f aca="false">E646+D646</f>
        <v>4038482151.86</v>
      </c>
      <c r="G646" s="22" t="n">
        <f aca="false">IFERROR(C646/E646,0)</f>
        <v>0</v>
      </c>
      <c r="H646" s="19" t="n">
        <v>987639</v>
      </c>
      <c r="I646" s="19" t="n">
        <v>22056</v>
      </c>
      <c r="J646" s="19" t="n">
        <v>30291</v>
      </c>
      <c r="K646" s="21" t="n">
        <f aca="false">H646+I646</f>
        <v>1009695</v>
      </c>
      <c r="L646" s="20"/>
      <c r="M646" s="21" t="n">
        <f aca="false">H646-L646</f>
        <v>987639</v>
      </c>
      <c r="N646" s="23" t="n">
        <f aca="false">IFERROR(M646/B646*10000,0)</f>
        <v>2.53120064004739</v>
      </c>
      <c r="O646" s="19" t="n">
        <v>958010</v>
      </c>
      <c r="P646" s="19" t="n">
        <v>21395</v>
      </c>
      <c r="Q646" s="21" t="n">
        <f aca="false">O646+P646</f>
        <v>979405</v>
      </c>
      <c r="R646" s="22" t="n">
        <f aca="false">IF(A646&lt;HlpChangeDate,HlpSharePre,HlpSharePost)</f>
        <v>0.03</v>
      </c>
      <c r="S646" s="21" t="n">
        <f aca="false">Q646*R646/(1-R646)</f>
        <v>30290.8762886598</v>
      </c>
      <c r="T646" s="19" t="n">
        <v>30291</v>
      </c>
      <c r="U646" s="21" t="n">
        <f aca="false">S646-T646</f>
        <v>-0.123711340209411</v>
      </c>
      <c r="V646" s="21" t="n">
        <f aca="false">Y646-O646*R646/(1-R646)</f>
        <v>-0.175257731960301</v>
      </c>
      <c r="W646" s="21" t="n">
        <f aca="false">Z646-P646*R646/(1-R646)</f>
        <v>0.298969072164937</v>
      </c>
      <c r="X646" s="21" t="n">
        <f aca="false">S646+V646+W646</f>
        <v>30291</v>
      </c>
      <c r="Y646" s="19" t="n">
        <v>29629</v>
      </c>
      <c r="Z646" s="19" t="n">
        <v>662</v>
      </c>
      <c r="AA646" s="19" t="n">
        <v>979405</v>
      </c>
      <c r="AB646" s="29" t="n">
        <v>24.063</v>
      </c>
      <c r="AC646" s="29" t="n">
        <v>23.7905</v>
      </c>
      <c r="AD646" s="24" t="n">
        <f aca="false">IFERROR(AA646/AC646,0)</f>
        <v>41167.9031546205</v>
      </c>
      <c r="AE646" s="25" t="n">
        <f aca="false">K646-Q646-X646</f>
        <v>-0.999999999996362</v>
      </c>
      <c r="AF646" s="25" t="n">
        <f aca="false">Q646-AA646</f>
        <v>0</v>
      </c>
      <c r="AG646" s="19" t="n">
        <v>1009695.90181899</v>
      </c>
      <c r="AH646" s="26" t="n">
        <f aca="false">IFERROR(AG646/Q646,0)</f>
        <v>1.03092786111873</v>
      </c>
      <c r="AI646" s="27" t="n">
        <v>337566037.735849</v>
      </c>
      <c r="AJ646" s="26" t="n">
        <f aca="false">IF(AI646&gt;0,AprCoef/SQRT(AI646),0)</f>
        <v>0.025798768092277</v>
      </c>
      <c r="AK646" s="24" t="n">
        <f aca="false">AI646*AJ646/365</f>
        <v>23859.6929407562</v>
      </c>
      <c r="AL646" s="24" t="n">
        <f aca="false">AD646</f>
        <v>41167.9031546205</v>
      </c>
      <c r="AM646" s="24" t="n">
        <f aca="false">AK646-AL646</f>
        <v>-17308.2102138644</v>
      </c>
      <c r="AN646" s="28" t="str">
        <f aca="false">IF(A646&gt;=Hip3LaunchDate,"YES","")</f>
        <v/>
      </c>
      <c r="AO646" s="28" t="str">
        <f aca="false">IF(A646&lt;Hip4LaunchDate,"pre-launch","live (zero-fee)")</f>
        <v>pre-launch</v>
      </c>
      <c r="AP646" s="20"/>
      <c r="AQ646" s="20"/>
      <c r="AR646" s="20"/>
    </row>
    <row r="647" customFormat="false" ht="15" hidden="false" customHeight="false" outlineLevel="0" collapsed="false">
      <c r="A647" s="18" t="n">
        <v>45708</v>
      </c>
      <c r="B647" s="19" t="n">
        <v>5037378690.97</v>
      </c>
      <c r="C647" s="19" t="n">
        <v>0</v>
      </c>
      <c r="D647" s="19" t="n">
        <v>206747279</v>
      </c>
      <c r="E647" s="21" t="n">
        <f aca="false">B647+C647</f>
        <v>5037378690.97</v>
      </c>
      <c r="F647" s="21" t="n">
        <f aca="false">E647+D647</f>
        <v>5244125969.97</v>
      </c>
      <c r="G647" s="22" t="n">
        <f aca="false">IFERROR(C647/E647,0)</f>
        <v>0</v>
      </c>
      <c r="H647" s="19" t="n">
        <v>1174903</v>
      </c>
      <c r="I647" s="19" t="n">
        <v>20113</v>
      </c>
      <c r="J647" s="19" t="n">
        <v>35850</v>
      </c>
      <c r="K647" s="21" t="n">
        <f aca="false">H647+I647</f>
        <v>1195016</v>
      </c>
      <c r="L647" s="20"/>
      <c r="M647" s="21" t="n">
        <f aca="false">H647-L647</f>
        <v>1174903</v>
      </c>
      <c r="N647" s="23" t="n">
        <f aca="false">IFERROR(M647/B647*10000,0)</f>
        <v>2.3323698138997</v>
      </c>
      <c r="O647" s="19" t="n">
        <v>1139656</v>
      </c>
      <c r="P647" s="19" t="n">
        <v>19510</v>
      </c>
      <c r="Q647" s="21" t="n">
        <f aca="false">O647+P647</f>
        <v>1159166</v>
      </c>
      <c r="R647" s="22" t="n">
        <f aca="false">IF(A647&lt;HlpChangeDate,HlpSharePre,HlpSharePost)</f>
        <v>0.03</v>
      </c>
      <c r="S647" s="21" t="n">
        <f aca="false">Q647*R647/(1-R647)</f>
        <v>35850.4948453608</v>
      </c>
      <c r="T647" s="19" t="n">
        <v>35850</v>
      </c>
      <c r="U647" s="21" t="n">
        <f aca="false">S647-T647</f>
        <v>0.494845360823092</v>
      </c>
      <c r="V647" s="21" t="n">
        <f aca="false">Y647-O647*R647/(1-R647)</f>
        <v>-0.0927835051552393</v>
      </c>
      <c r="W647" s="21" t="n">
        <f aca="false">Z647-P647*R647/(1-R647)</f>
        <v>-0.402061855670127</v>
      </c>
      <c r="X647" s="21" t="n">
        <f aca="false">S647+V647+W647</f>
        <v>35850</v>
      </c>
      <c r="Y647" s="19" t="n">
        <v>35247</v>
      </c>
      <c r="Z647" s="19" t="n">
        <v>603</v>
      </c>
      <c r="AA647" s="19" t="n">
        <v>1159166</v>
      </c>
      <c r="AB647" s="29" t="n">
        <v>24.448</v>
      </c>
      <c r="AC647" s="29" t="n">
        <v>24.44</v>
      </c>
      <c r="AD647" s="24" t="n">
        <f aca="false">IFERROR(AA647/AC647,0)</f>
        <v>47429.0507364975</v>
      </c>
      <c r="AE647" s="25" t="n">
        <f aca="false">K647-Q647-X647</f>
        <v>0</v>
      </c>
      <c r="AF647" s="25" t="n">
        <f aca="false">Q647-AA647</f>
        <v>0</v>
      </c>
      <c r="AG647" s="19" t="n">
        <v>1124109.265169</v>
      </c>
      <c r="AH647" s="26" t="n">
        <f aca="false">IFERROR(AG647/Q647,0)</f>
        <v>0.969756933147621</v>
      </c>
      <c r="AI647" s="27" t="n">
        <v>338283018.867925</v>
      </c>
      <c r="AJ647" s="26" t="n">
        <f aca="false">IF(AI647&gt;0,AprCoef/SQRT(AI647),0)</f>
        <v>0.0257714137167869</v>
      </c>
      <c r="AK647" s="24" t="n">
        <f aca="false">AI647*AJ647/365</f>
        <v>23885.0181715313</v>
      </c>
      <c r="AL647" s="24" t="n">
        <f aca="false">AD647</f>
        <v>47429.0507364975</v>
      </c>
      <c r="AM647" s="24" t="n">
        <f aca="false">AK647-AL647</f>
        <v>-23544.0325649662</v>
      </c>
      <c r="AN647" s="28" t="str">
        <f aca="false">IF(A647&gt;=Hip3LaunchDate,"YES","")</f>
        <v/>
      </c>
      <c r="AO647" s="28" t="str">
        <f aca="false">IF(A647&lt;Hip4LaunchDate,"pre-launch","live (zero-fee)")</f>
        <v>pre-launch</v>
      </c>
      <c r="AP647" s="20"/>
      <c r="AQ647" s="20"/>
      <c r="AR647" s="20"/>
    </row>
    <row r="648" customFormat="false" ht="15" hidden="false" customHeight="false" outlineLevel="0" collapsed="false">
      <c r="A648" s="18" t="n">
        <v>45709</v>
      </c>
      <c r="B648" s="19" t="n">
        <v>10385529202.05</v>
      </c>
      <c r="C648" s="19" t="n">
        <v>0</v>
      </c>
      <c r="D648" s="19" t="n">
        <v>71766053</v>
      </c>
      <c r="E648" s="21" t="n">
        <f aca="false">B648+C648</f>
        <v>10385529202.05</v>
      </c>
      <c r="F648" s="21" t="n">
        <f aca="false">E648+D648</f>
        <v>10457295255.05</v>
      </c>
      <c r="G648" s="22" t="n">
        <f aca="false">IFERROR(C648/E648,0)</f>
        <v>0</v>
      </c>
      <c r="H648" s="19" t="n">
        <v>2360338</v>
      </c>
      <c r="I648" s="19" t="n">
        <v>27835</v>
      </c>
      <c r="J648" s="19" t="n">
        <v>0</v>
      </c>
      <c r="K648" s="21" t="n">
        <f aca="false">H648+I648</f>
        <v>2388173</v>
      </c>
      <c r="L648" s="20"/>
      <c r="M648" s="21" t="n">
        <f aca="false">H648-L648</f>
        <v>2360338</v>
      </c>
      <c r="N648" s="23" t="n">
        <f aca="false">IFERROR(M648/B648*10000,0)</f>
        <v>2.27271808116826</v>
      </c>
      <c r="O648" s="19" t="n">
        <v>2289528</v>
      </c>
      <c r="P648" s="19" t="n">
        <v>27000</v>
      </c>
      <c r="Q648" s="21" t="n">
        <f aca="false">O648+P648</f>
        <v>2316528</v>
      </c>
      <c r="R648" s="22" t="n">
        <f aca="false">IF(A648&lt;HlpChangeDate,HlpSharePre,HlpSharePost)</f>
        <v>0.03</v>
      </c>
      <c r="S648" s="21" t="n">
        <f aca="false">Q648*R648/(1-R648)</f>
        <v>71645.1958762887</v>
      </c>
      <c r="T648" s="19" t="n">
        <v>0</v>
      </c>
      <c r="U648" s="21" t="n">
        <f aca="false">S648-T648</f>
        <v>71645.1958762887</v>
      </c>
      <c r="V648" s="21" t="n">
        <f aca="false">Y648-O648*R648/(1-R648)</f>
        <v>-0.144329896909767</v>
      </c>
      <c r="W648" s="21" t="n">
        <f aca="false">Z648-P648*R648/(1-R648)</f>
        <v>-0.0515463917525949</v>
      </c>
      <c r="X648" s="21" t="n">
        <f aca="false">S648+V648+W648</f>
        <v>71645</v>
      </c>
      <c r="Y648" s="19" t="n">
        <v>70810</v>
      </c>
      <c r="Z648" s="19" t="n">
        <v>835</v>
      </c>
      <c r="AA648" s="19" t="n">
        <v>2316528</v>
      </c>
      <c r="AB648" s="29" t="n">
        <v>24.994</v>
      </c>
      <c r="AC648" s="29" t="n">
        <v>24.723</v>
      </c>
      <c r="AD648" s="24" t="n">
        <f aca="false">IFERROR(AA648/AC648,0)</f>
        <v>93699.3083363669</v>
      </c>
      <c r="AE648" s="25" t="n">
        <f aca="false">K648-Q648-X648</f>
        <v>0</v>
      </c>
      <c r="AF648" s="25" t="n">
        <f aca="false">Q648-AA648</f>
        <v>0</v>
      </c>
      <c r="AG648" s="19" t="n">
        <v>2459079.79272902</v>
      </c>
      <c r="AH648" s="26" t="n">
        <f aca="false">IFERROR(AG648/Q648,0)</f>
        <v>1.06153683129624</v>
      </c>
      <c r="AI648" s="27" t="n">
        <v>339000000</v>
      </c>
      <c r="AJ648" s="26" t="n">
        <f aca="false">IF(AI648&gt;0,AprCoef/SQRT(AI648),0)</f>
        <v>0.0257441461685351</v>
      </c>
      <c r="AK648" s="24" t="n">
        <f aca="false">AI648*AJ648/365</f>
        <v>23910.3165784477</v>
      </c>
      <c r="AL648" s="24" t="n">
        <f aca="false">AD648</f>
        <v>93699.3083363669</v>
      </c>
      <c r="AM648" s="24" t="n">
        <f aca="false">AK648-AL648</f>
        <v>-69788.9917579192</v>
      </c>
      <c r="AN648" s="28" t="str">
        <f aca="false">IF(A648&gt;=Hip3LaunchDate,"YES","")</f>
        <v/>
      </c>
      <c r="AO648" s="28" t="str">
        <f aca="false">IF(A648&lt;Hip4LaunchDate,"pre-launch","live (zero-fee)")</f>
        <v>pre-launch</v>
      </c>
      <c r="AP648" s="20"/>
      <c r="AQ648" s="20"/>
      <c r="AR648" s="20"/>
    </row>
    <row r="649" customFormat="false" ht="15" hidden="false" customHeight="false" outlineLevel="0" collapsed="false">
      <c r="A649" s="18" t="n">
        <v>45710</v>
      </c>
      <c r="B649" s="19" t="n">
        <v>3022212830.22</v>
      </c>
      <c r="C649" s="19" t="n">
        <v>0</v>
      </c>
      <c r="D649" s="19" t="n">
        <v>87664629</v>
      </c>
      <c r="E649" s="21" t="n">
        <f aca="false">B649+C649</f>
        <v>3022212830.22</v>
      </c>
      <c r="F649" s="21" t="n">
        <f aca="false">E649+D649</f>
        <v>3109877459.22</v>
      </c>
      <c r="G649" s="22" t="n">
        <f aca="false">IFERROR(C649/E649,0)</f>
        <v>0</v>
      </c>
      <c r="H649" s="19" t="n">
        <v>886199</v>
      </c>
      <c r="I649" s="19" t="n">
        <v>12423</v>
      </c>
      <c r="J649" s="19" t="n">
        <v>0</v>
      </c>
      <c r="K649" s="21" t="n">
        <f aca="false">H649+I649</f>
        <v>898622</v>
      </c>
      <c r="L649" s="20"/>
      <c r="M649" s="21" t="n">
        <f aca="false">H649-L649</f>
        <v>886199</v>
      </c>
      <c r="N649" s="23" t="n">
        <f aca="false">IFERROR(M649/B649*10000,0)</f>
        <v>2.93228521545086</v>
      </c>
      <c r="O649" s="19" t="n">
        <v>859613</v>
      </c>
      <c r="P649" s="19" t="n">
        <v>12051</v>
      </c>
      <c r="Q649" s="21" t="n">
        <f aca="false">O649+P649</f>
        <v>871664</v>
      </c>
      <c r="R649" s="22" t="n">
        <f aca="false">IF(A649&lt;HlpChangeDate,HlpSharePre,HlpSharePost)</f>
        <v>0.03</v>
      </c>
      <c r="S649" s="21" t="n">
        <f aca="false">Q649*R649/(1-R649)</f>
        <v>26958.6804123711</v>
      </c>
      <c r="T649" s="19" t="n">
        <v>0</v>
      </c>
      <c r="U649" s="21" t="n">
        <f aca="false">S649-T649</f>
        <v>26958.6804123711</v>
      </c>
      <c r="V649" s="21" t="n">
        <f aca="false">Y649-O649*R649/(1-R649)</f>
        <v>0.0309278350505338</v>
      </c>
      <c r="W649" s="21" t="n">
        <f aca="false">Z649-P649*R649/(1-R649)</f>
        <v>0.288659793814475</v>
      </c>
      <c r="X649" s="21" t="n">
        <f aca="false">S649+V649+W649</f>
        <v>26959</v>
      </c>
      <c r="Y649" s="19" t="n">
        <v>26586</v>
      </c>
      <c r="Z649" s="19" t="n">
        <v>373</v>
      </c>
      <c r="AA649" s="19" t="n">
        <v>871664</v>
      </c>
      <c r="AB649" s="29" t="n">
        <v>24.783</v>
      </c>
      <c r="AC649" s="29" t="n">
        <v>24.7655</v>
      </c>
      <c r="AD649" s="24" t="n">
        <f aca="false">IFERROR(AA649/AC649,0)</f>
        <v>35196.7050937797</v>
      </c>
      <c r="AE649" s="25" t="n">
        <f aca="false">K649-Q649-X649</f>
        <v>-1</v>
      </c>
      <c r="AF649" s="25" t="n">
        <f aca="false">Q649-AA649</f>
        <v>0</v>
      </c>
      <c r="AG649" s="19" t="n">
        <v>898622.798019975</v>
      </c>
      <c r="AH649" s="26" t="n">
        <f aca="false">IFERROR(AG649/Q649,0)</f>
        <v>1.03092796997464</v>
      </c>
      <c r="AI649" s="27" t="n">
        <v>339716981.132076</v>
      </c>
      <c r="AJ649" s="26" t="n">
        <f aca="false">IF(AI649&gt;0,AprCoef/SQRT(AI649),0)</f>
        <v>0.0257169649891519</v>
      </c>
      <c r="AK649" s="24" t="n">
        <f aca="false">AI649*AJ649/365</f>
        <v>23935.5882465588</v>
      </c>
      <c r="AL649" s="24" t="n">
        <f aca="false">AD649</f>
        <v>35196.7050937797</v>
      </c>
      <c r="AM649" s="24" t="n">
        <f aca="false">AK649-AL649</f>
        <v>-11261.1168472209</v>
      </c>
      <c r="AN649" s="28" t="str">
        <f aca="false">IF(A649&gt;=Hip3LaunchDate,"YES","")</f>
        <v/>
      </c>
      <c r="AO649" s="28" t="str">
        <f aca="false">IF(A649&lt;Hip4LaunchDate,"pre-launch","live (zero-fee)")</f>
        <v>pre-launch</v>
      </c>
      <c r="AP649" s="20"/>
      <c r="AQ649" s="20"/>
      <c r="AR649" s="20"/>
    </row>
    <row r="650" customFormat="false" ht="15" hidden="false" customHeight="false" outlineLevel="0" collapsed="false">
      <c r="A650" s="18" t="n">
        <v>45711</v>
      </c>
      <c r="B650" s="19" t="n">
        <v>3357930484.68</v>
      </c>
      <c r="C650" s="19" t="n">
        <v>0</v>
      </c>
      <c r="D650" s="19" t="n">
        <v>313527932</v>
      </c>
      <c r="E650" s="21" t="n">
        <f aca="false">B650+C650</f>
        <v>3357930484.68</v>
      </c>
      <c r="F650" s="21" t="n">
        <f aca="false">E650+D650</f>
        <v>3671458416.68</v>
      </c>
      <c r="G650" s="22" t="n">
        <f aca="false">IFERROR(C650/E650,0)</f>
        <v>0</v>
      </c>
      <c r="H650" s="19" t="n">
        <v>739684</v>
      </c>
      <c r="I650" s="19" t="n">
        <v>13884</v>
      </c>
      <c r="J650" s="19" t="n">
        <v>22607</v>
      </c>
      <c r="K650" s="21" t="n">
        <f aca="false">H650+I650</f>
        <v>753568</v>
      </c>
      <c r="L650" s="20"/>
      <c r="M650" s="21" t="n">
        <f aca="false">H650-L650</f>
        <v>739684</v>
      </c>
      <c r="N650" s="23" t="n">
        <f aca="false">IFERROR(M650/B650*10000,0)</f>
        <v>2.20279723887878</v>
      </c>
      <c r="O650" s="19" t="n">
        <v>717494</v>
      </c>
      <c r="P650" s="19" t="n">
        <v>13468</v>
      </c>
      <c r="Q650" s="21" t="n">
        <f aca="false">O650+P650</f>
        <v>730962</v>
      </c>
      <c r="R650" s="22" t="n">
        <f aca="false">IF(A650&lt;HlpChangeDate,HlpSharePre,HlpSharePost)</f>
        <v>0.03</v>
      </c>
      <c r="S650" s="21" t="n">
        <f aca="false">Q650*R650/(1-R650)</f>
        <v>22607.0721649485</v>
      </c>
      <c r="T650" s="19" t="n">
        <v>22607</v>
      </c>
      <c r="U650" s="21" t="n">
        <f aca="false">S650-T650</f>
        <v>0.0721649484548834</v>
      </c>
      <c r="V650" s="21" t="n">
        <f aca="false">Y650-O650*R650/(1-R650)</f>
        <v>0.463917525772558</v>
      </c>
      <c r="W650" s="21" t="n">
        <f aca="false">Z650-P650*R650/(1-R650)</f>
        <v>0.46391752577324</v>
      </c>
      <c r="X650" s="21" t="n">
        <f aca="false">S650+V650+W650</f>
        <v>22608</v>
      </c>
      <c r="Y650" s="19" t="n">
        <v>22191</v>
      </c>
      <c r="Z650" s="19" t="n">
        <v>417</v>
      </c>
      <c r="AA650" s="19" t="n">
        <v>730962</v>
      </c>
      <c r="AB650" s="29" t="n">
        <v>23.133</v>
      </c>
      <c r="AC650" s="29" t="n">
        <v>23.86275</v>
      </c>
      <c r="AD650" s="24" t="n">
        <f aca="false">IFERROR(AA650/AC650,0)</f>
        <v>30631.9263286922</v>
      </c>
      <c r="AE650" s="25" t="n">
        <f aca="false">K650-Q650-X650</f>
        <v>-2</v>
      </c>
      <c r="AF650" s="25" t="n">
        <f aca="false">Q650-AA650</f>
        <v>0</v>
      </c>
      <c r="AG650" s="19" t="n">
        <v>753568.550208002</v>
      </c>
      <c r="AH650" s="26" t="n">
        <f aca="false">IFERROR(AG650/Q650,0)</f>
        <v>1.03092712098304</v>
      </c>
      <c r="AI650" s="27" t="n">
        <v>340433962.264151</v>
      </c>
      <c r="AJ650" s="26" t="n">
        <f aca="false">IF(AI650&gt;0,AprCoef/SQRT(AI650),0)</f>
        <v>0.0256898697236479</v>
      </c>
      <c r="AK650" s="24" t="n">
        <f aca="false">AI650*AJ650/365</f>
        <v>23960.8332604693</v>
      </c>
      <c r="AL650" s="24" t="n">
        <f aca="false">AD650</f>
        <v>30631.9263286922</v>
      </c>
      <c r="AM650" s="24" t="n">
        <f aca="false">AK650-AL650</f>
        <v>-6671.09306822288</v>
      </c>
      <c r="AN650" s="28" t="str">
        <f aca="false">IF(A650&gt;=Hip3LaunchDate,"YES","")</f>
        <v/>
      </c>
      <c r="AO650" s="28" t="str">
        <f aca="false">IF(A650&lt;Hip4LaunchDate,"pre-launch","live (zero-fee)")</f>
        <v>pre-launch</v>
      </c>
      <c r="AP650" s="20"/>
      <c r="AQ650" s="20"/>
      <c r="AR650" s="20"/>
    </row>
    <row r="651" customFormat="false" ht="15" hidden="false" customHeight="false" outlineLevel="0" collapsed="false">
      <c r="A651" s="18" t="n">
        <v>45712</v>
      </c>
      <c r="B651" s="19" t="n">
        <v>9442757917.15</v>
      </c>
      <c r="C651" s="19" t="n">
        <v>0</v>
      </c>
      <c r="D651" s="19" t="n">
        <v>403523120</v>
      </c>
      <c r="E651" s="21" t="n">
        <f aca="false">B651+C651</f>
        <v>9442757917.15</v>
      </c>
      <c r="F651" s="21" t="n">
        <f aca="false">E651+D651</f>
        <v>9846281037.15</v>
      </c>
      <c r="G651" s="22" t="n">
        <f aca="false">IFERROR(C651/E651,0)</f>
        <v>0</v>
      </c>
      <c r="H651" s="19" t="n">
        <v>1495241</v>
      </c>
      <c r="I651" s="19" t="n">
        <v>36499</v>
      </c>
      <c r="J651" s="19" t="n">
        <v>0</v>
      </c>
      <c r="K651" s="21" t="n">
        <f aca="false">H651+I651</f>
        <v>1531740</v>
      </c>
      <c r="L651" s="20"/>
      <c r="M651" s="21" t="n">
        <f aca="false">H651-L651</f>
        <v>1495241</v>
      </c>
      <c r="N651" s="23" t="n">
        <f aca="false">IFERROR(M651/B651*10000,0)</f>
        <v>1.5834791203154</v>
      </c>
      <c r="O651" s="19" t="n">
        <v>1450384</v>
      </c>
      <c r="P651" s="19" t="n">
        <v>35404</v>
      </c>
      <c r="Q651" s="21" t="n">
        <f aca="false">O651+P651</f>
        <v>1485788</v>
      </c>
      <c r="R651" s="22" t="n">
        <f aca="false">IF(A651&lt;HlpChangeDate,HlpSharePre,HlpSharePost)</f>
        <v>0.03</v>
      </c>
      <c r="S651" s="21" t="n">
        <f aca="false">Q651*R651/(1-R651)</f>
        <v>45952.206185567</v>
      </c>
      <c r="T651" s="19" t="n">
        <v>0</v>
      </c>
      <c r="U651" s="21" t="n">
        <f aca="false">S651-T651</f>
        <v>45952.206185567</v>
      </c>
      <c r="V651" s="21" t="n">
        <f aca="false">Y651-O651*R651/(1-R651)</f>
        <v>-0.23711340205773</v>
      </c>
      <c r="W651" s="21" t="n">
        <f aca="false">Z651-P651*R651/(1-R651)</f>
        <v>0.0309278350516706</v>
      </c>
      <c r="X651" s="21" t="n">
        <f aca="false">S651+V651+W651</f>
        <v>45952</v>
      </c>
      <c r="Y651" s="19" t="n">
        <v>44857</v>
      </c>
      <c r="Z651" s="19" t="n">
        <v>1095</v>
      </c>
      <c r="AA651" s="19" t="n">
        <v>1485788</v>
      </c>
      <c r="AB651" s="29" t="n">
        <v>19.884</v>
      </c>
      <c r="AC651" s="29" t="n">
        <v>21.5705</v>
      </c>
      <c r="AD651" s="24" t="n">
        <f aca="false">IFERROR(AA651/AC651,0)</f>
        <v>68880.5544609536</v>
      </c>
      <c r="AE651" s="25" t="n">
        <f aca="false">K651-Q651-X651</f>
        <v>0</v>
      </c>
      <c r="AF651" s="25" t="n">
        <f aca="false">Q651-AA651</f>
        <v>0</v>
      </c>
      <c r="AG651" s="19" t="n">
        <v>1531740.15295202</v>
      </c>
      <c r="AH651" s="26" t="n">
        <f aca="false">IFERROR(AG651/Q651,0)</f>
        <v>1.03092779922305</v>
      </c>
      <c r="AI651" s="27" t="n">
        <v>341150943.396226</v>
      </c>
      <c r="AJ651" s="26" t="n">
        <f aca="false">IF(AI651&gt;0,AprCoef/SQRT(AI651),0)</f>
        <v>0.0256628599203826</v>
      </c>
      <c r="AK651" s="24" t="n">
        <f aca="false">AI651*AJ651/365</f>
        <v>23986.051704339</v>
      </c>
      <c r="AL651" s="24" t="n">
        <f aca="false">AD651</f>
        <v>68880.5544609536</v>
      </c>
      <c r="AM651" s="24" t="n">
        <f aca="false">AK651-AL651</f>
        <v>-44894.5027566146</v>
      </c>
      <c r="AN651" s="28" t="str">
        <f aca="false">IF(A651&gt;=Hip3LaunchDate,"YES","")</f>
        <v/>
      </c>
      <c r="AO651" s="28" t="str">
        <f aca="false">IF(A651&lt;Hip4LaunchDate,"pre-launch","live (zero-fee)")</f>
        <v>pre-launch</v>
      </c>
      <c r="AP651" s="20"/>
      <c r="AQ651" s="20"/>
      <c r="AR651" s="20"/>
    </row>
    <row r="652" customFormat="false" ht="15" hidden="false" customHeight="false" outlineLevel="0" collapsed="false">
      <c r="A652" s="18" t="n">
        <v>45713</v>
      </c>
      <c r="B652" s="19" t="n">
        <v>13212926718.16</v>
      </c>
      <c r="C652" s="19" t="n">
        <v>0</v>
      </c>
      <c r="D652" s="19" t="n">
        <v>252882738</v>
      </c>
      <c r="E652" s="21" t="n">
        <f aca="false">B652+C652</f>
        <v>13212926718.16</v>
      </c>
      <c r="F652" s="21" t="n">
        <f aca="false">E652+D652</f>
        <v>13465809456.16</v>
      </c>
      <c r="G652" s="22" t="n">
        <f aca="false">IFERROR(C652/E652,0)</f>
        <v>0</v>
      </c>
      <c r="H652" s="19" t="n">
        <v>3778850</v>
      </c>
      <c r="I652" s="19" t="n">
        <v>76421</v>
      </c>
      <c r="J652" s="19" t="n">
        <v>0</v>
      </c>
      <c r="K652" s="21" t="n">
        <f aca="false">H652+I652</f>
        <v>3855271</v>
      </c>
      <c r="L652" s="20"/>
      <c r="M652" s="21" t="n">
        <f aca="false">H652-L652</f>
        <v>3778850</v>
      </c>
      <c r="N652" s="23" t="n">
        <f aca="false">IFERROR(M652/B652*10000,0)</f>
        <v>2.85996439744595</v>
      </c>
      <c r="O652" s="19" t="n">
        <v>3665484</v>
      </c>
      <c r="P652" s="19" t="n">
        <v>74128</v>
      </c>
      <c r="Q652" s="21" t="n">
        <f aca="false">O652+P652</f>
        <v>3739612</v>
      </c>
      <c r="R652" s="22" t="n">
        <f aca="false">IF(A652&lt;HlpChangeDate,HlpSharePre,HlpSharePost)</f>
        <v>0.03</v>
      </c>
      <c r="S652" s="21" t="n">
        <f aca="false">Q652*R652/(1-R652)</f>
        <v>115658.103092784</v>
      </c>
      <c r="T652" s="19" t="n">
        <v>0</v>
      </c>
      <c r="U652" s="21" t="n">
        <f aca="false">S652-T652</f>
        <v>115658.103092784</v>
      </c>
      <c r="V652" s="21" t="n">
        <f aca="false">Y652-O652*R652/(1-R652)</f>
        <v>-0.484536082469276</v>
      </c>
      <c r="W652" s="21" t="n">
        <f aca="false">Z652-P652*R652/(1-R652)</f>
        <v>0.381443298969316</v>
      </c>
      <c r="X652" s="21" t="n">
        <f aca="false">S652+V652+W652</f>
        <v>115658</v>
      </c>
      <c r="Y652" s="19" t="n">
        <v>113365</v>
      </c>
      <c r="Z652" s="19" t="n">
        <v>2293</v>
      </c>
      <c r="AA652" s="19" t="n">
        <v>3739612</v>
      </c>
      <c r="AB652" s="29" t="n">
        <v>20.198</v>
      </c>
      <c r="AC652" s="29" t="n">
        <v>19.48325</v>
      </c>
      <c r="AD652" s="24" t="n">
        <f aca="false">IFERROR(AA652/AC652,0)</f>
        <v>191939.845764952</v>
      </c>
      <c r="AE652" s="25" t="n">
        <f aca="false">K652-Q652-X652</f>
        <v>0.999999999985448</v>
      </c>
      <c r="AF652" s="25" t="n">
        <f aca="false">Q652-AA652</f>
        <v>0</v>
      </c>
      <c r="AG652" s="19" t="n">
        <v>3846701.15187699</v>
      </c>
      <c r="AH652" s="26" t="n">
        <f aca="false">IFERROR(AG652/Q652,0)</f>
        <v>1.02863643390731</v>
      </c>
      <c r="AI652" s="27" t="n">
        <v>341867924.528302</v>
      </c>
      <c r="AJ652" s="26" t="n">
        <f aca="false">IF(AI652&gt;0,AprCoef/SQRT(AI652),0)</f>
        <v>0.0256359351310323</v>
      </c>
      <c r="AK652" s="24" t="n">
        <f aca="false">AI652*AJ652/365</f>
        <v>24011.2436618855</v>
      </c>
      <c r="AL652" s="24" t="n">
        <f aca="false">AD652</f>
        <v>191939.845764952</v>
      </c>
      <c r="AM652" s="24" t="n">
        <f aca="false">AK652-AL652</f>
        <v>-167928.602103066</v>
      </c>
      <c r="AN652" s="28" t="str">
        <f aca="false">IF(A652&gt;=Hip3LaunchDate,"YES","")</f>
        <v/>
      </c>
      <c r="AO652" s="28" t="str">
        <f aca="false">IF(A652&lt;Hip4LaunchDate,"pre-launch","live (zero-fee)")</f>
        <v>pre-launch</v>
      </c>
      <c r="AP652" s="20"/>
      <c r="AQ652" s="20"/>
      <c r="AR652" s="20"/>
    </row>
    <row r="653" customFormat="false" ht="15" hidden="false" customHeight="false" outlineLevel="0" collapsed="false">
      <c r="A653" s="18" t="n">
        <v>45714</v>
      </c>
      <c r="B653" s="19" t="n">
        <v>9361694443.81</v>
      </c>
      <c r="C653" s="19" t="n">
        <v>0</v>
      </c>
      <c r="D653" s="19" t="n">
        <v>163029559</v>
      </c>
      <c r="E653" s="21" t="n">
        <f aca="false">B653+C653</f>
        <v>9361694443.81</v>
      </c>
      <c r="F653" s="21" t="n">
        <f aca="false">E653+D653</f>
        <v>9524724002.81</v>
      </c>
      <c r="G653" s="22" t="n">
        <f aca="false">IFERROR(C653/E653,0)</f>
        <v>0</v>
      </c>
      <c r="H653" s="19" t="n">
        <v>2179082</v>
      </c>
      <c r="I653" s="19" t="n">
        <v>36925</v>
      </c>
      <c r="J653" s="19" t="n">
        <v>66507</v>
      </c>
      <c r="K653" s="21" t="n">
        <f aca="false">H653+I653</f>
        <v>2216007</v>
      </c>
      <c r="L653" s="20"/>
      <c r="M653" s="21" t="n">
        <f aca="false">H653-L653</f>
        <v>2179082</v>
      </c>
      <c r="N653" s="23" t="n">
        <f aca="false">IFERROR(M653/B653*10000,0)</f>
        <v>2.32765768321014</v>
      </c>
      <c r="O653" s="19" t="n">
        <v>2113710</v>
      </c>
      <c r="P653" s="19" t="n">
        <v>35817</v>
      </c>
      <c r="Q653" s="21" t="n">
        <f aca="false">O653+P653</f>
        <v>2149527</v>
      </c>
      <c r="R653" s="22" t="n">
        <f aca="false">IF(A653&lt;HlpChangeDate,HlpSharePre,HlpSharePost)</f>
        <v>0.03</v>
      </c>
      <c r="S653" s="21" t="n">
        <f aca="false">Q653*R653/(1-R653)</f>
        <v>66480.2164948454</v>
      </c>
      <c r="T653" s="19" t="n">
        <v>66507</v>
      </c>
      <c r="U653" s="21" t="n">
        <f aca="false">S653-T653</f>
        <v>-26.7835051546426</v>
      </c>
      <c r="V653" s="21" t="n">
        <f aca="false">Y653-O653*R653/(1-R653)</f>
        <v>-0.474226804122736</v>
      </c>
      <c r="W653" s="21" t="n">
        <f aca="false">Z653-P653*R653/(1-R653)</f>
        <v>0.257731958762861</v>
      </c>
      <c r="X653" s="21" t="n">
        <f aca="false">S653+V653+W653</f>
        <v>66480</v>
      </c>
      <c r="Y653" s="19" t="n">
        <v>65372</v>
      </c>
      <c r="Z653" s="19" t="n">
        <v>1108</v>
      </c>
      <c r="AA653" s="19" t="n">
        <v>2149527</v>
      </c>
      <c r="AB653" s="29" t="n">
        <v>19.572</v>
      </c>
      <c r="AC653" s="29" t="n">
        <v>19.89725</v>
      </c>
      <c r="AD653" s="24" t="n">
        <f aca="false">IFERROR(AA653/AC653,0)</f>
        <v>108031.361117742</v>
      </c>
      <c r="AE653" s="25" t="n">
        <f aca="false">K653-Q653-X653</f>
        <v>0</v>
      </c>
      <c r="AF653" s="25" t="n">
        <f aca="false">Q653-AA653</f>
        <v>0</v>
      </c>
      <c r="AG653" s="19" t="n">
        <v>2216900.83892402</v>
      </c>
      <c r="AH653" s="26" t="n">
        <f aca="false">IFERROR(AG653/Q653,0)</f>
        <v>1.03134356485125</v>
      </c>
      <c r="AI653" s="27" t="n">
        <v>342584905.660377</v>
      </c>
      <c r="AJ653" s="26" t="n">
        <f aca="false">IF(AI653&gt;0,AprCoef/SQRT(AI653),0)</f>
        <v>0.025609094910559</v>
      </c>
      <c r="AK653" s="24" t="n">
        <f aca="false">AI653*AJ653/365</f>
        <v>24036.4092163877</v>
      </c>
      <c r="AL653" s="24" t="n">
        <f aca="false">AD653</f>
        <v>108031.361117742</v>
      </c>
      <c r="AM653" s="24" t="n">
        <f aca="false">AK653-AL653</f>
        <v>-83994.9519013547</v>
      </c>
      <c r="AN653" s="28" t="str">
        <f aca="false">IF(A653&gt;=Hip3LaunchDate,"YES","")</f>
        <v/>
      </c>
      <c r="AO653" s="28" t="str">
        <f aca="false">IF(A653&lt;Hip4LaunchDate,"pre-launch","live (zero-fee)")</f>
        <v>pre-launch</v>
      </c>
      <c r="AP653" s="20"/>
      <c r="AQ653" s="20"/>
      <c r="AR653" s="20"/>
    </row>
    <row r="654" customFormat="false" ht="15" hidden="false" customHeight="false" outlineLevel="0" collapsed="false">
      <c r="A654" s="18" t="n">
        <v>45715</v>
      </c>
      <c r="B654" s="19" t="n">
        <v>6796939578.98</v>
      </c>
      <c r="C654" s="19" t="n">
        <v>0</v>
      </c>
      <c r="D654" s="19" t="n">
        <v>214669060</v>
      </c>
      <c r="E654" s="21" t="n">
        <f aca="false">B654+C654</f>
        <v>6796939578.98</v>
      </c>
      <c r="F654" s="21" t="n">
        <f aca="false">E654+D654</f>
        <v>7011608638.98</v>
      </c>
      <c r="G654" s="22" t="n">
        <f aca="false">IFERROR(C654/E654,0)</f>
        <v>0</v>
      </c>
      <c r="H654" s="19" t="n">
        <v>1537557</v>
      </c>
      <c r="I654" s="19" t="n">
        <v>21492</v>
      </c>
      <c r="J654" s="19" t="n">
        <v>46852</v>
      </c>
      <c r="K654" s="21" t="n">
        <f aca="false">H654+I654</f>
        <v>1559049</v>
      </c>
      <c r="L654" s="20"/>
      <c r="M654" s="21" t="n">
        <f aca="false">H654-L654</f>
        <v>1537557</v>
      </c>
      <c r="N654" s="23" t="n">
        <f aca="false">IFERROR(M654/B654*10000,0)</f>
        <v>2.26213133445382</v>
      </c>
      <c r="O654" s="19" t="n">
        <v>1491430</v>
      </c>
      <c r="P654" s="19" t="n">
        <v>20848</v>
      </c>
      <c r="Q654" s="21" t="n">
        <f aca="false">O654+P654</f>
        <v>1512278</v>
      </c>
      <c r="R654" s="22" t="n">
        <f aca="false">IF(A654&lt;HlpChangeDate,HlpSharePre,HlpSharePost)</f>
        <v>0.03</v>
      </c>
      <c r="S654" s="21" t="n">
        <f aca="false">Q654*R654/(1-R654)</f>
        <v>46771.4845360825</v>
      </c>
      <c r="T654" s="19" t="n">
        <v>46852</v>
      </c>
      <c r="U654" s="21" t="n">
        <f aca="false">S654-T654</f>
        <v>-80.5154639175307</v>
      </c>
      <c r="V654" s="21" t="n">
        <f aca="false">Y654-O654*R654/(1-R654)</f>
        <v>0.298969072158798</v>
      </c>
      <c r="W654" s="21" t="n">
        <f aca="false">Z654-P654*R654/(1-R654)</f>
        <v>0.216494845360899</v>
      </c>
      <c r="X654" s="21" t="n">
        <f aca="false">S654+V654+W654</f>
        <v>46772</v>
      </c>
      <c r="Y654" s="19" t="n">
        <v>46127</v>
      </c>
      <c r="Z654" s="19" t="n">
        <v>645</v>
      </c>
      <c r="AA654" s="19" t="n">
        <v>1512278</v>
      </c>
      <c r="AB654" s="29" t="n">
        <v>20.872</v>
      </c>
      <c r="AC654" s="29" t="n">
        <v>20.3055</v>
      </c>
      <c r="AD654" s="24" t="n">
        <f aca="false">IFERROR(AA654/AC654,0)</f>
        <v>74476.2749008889</v>
      </c>
      <c r="AE654" s="25" t="n">
        <f aca="false">K654-Q654-X654</f>
        <v>-0.999999999985448</v>
      </c>
      <c r="AF654" s="25" t="n">
        <f aca="false">Q654-AA654</f>
        <v>0</v>
      </c>
      <c r="AG654" s="19" t="n">
        <v>1561749.52337399</v>
      </c>
      <c r="AH654" s="26" t="n">
        <f aca="false">IFERROR(AG654/Q654,0)</f>
        <v>1.03271324675357</v>
      </c>
      <c r="AI654" s="27" t="n">
        <v>343301886.792453</v>
      </c>
      <c r="AJ654" s="26" t="n">
        <f aca="false">IF(AI654&gt;0,AprCoef/SQRT(AI654),0)</f>
        <v>0.0255823388171794</v>
      </c>
      <c r="AK654" s="24" t="n">
        <f aca="false">AI654*AJ654/365</f>
        <v>24061.5484506891</v>
      </c>
      <c r="AL654" s="24" t="n">
        <f aca="false">AD654</f>
        <v>74476.2749008889</v>
      </c>
      <c r="AM654" s="24" t="n">
        <f aca="false">AK654-AL654</f>
        <v>-50414.7264501999</v>
      </c>
      <c r="AN654" s="28" t="str">
        <f aca="false">IF(A654&gt;=Hip3LaunchDate,"YES","")</f>
        <v/>
      </c>
      <c r="AO654" s="28" t="str">
        <f aca="false">IF(A654&lt;Hip4LaunchDate,"pre-launch","live (zero-fee)")</f>
        <v>pre-launch</v>
      </c>
      <c r="AP654" s="20"/>
      <c r="AQ654" s="20"/>
      <c r="AR654" s="20"/>
    </row>
    <row r="655" customFormat="false" ht="15" hidden="false" customHeight="false" outlineLevel="0" collapsed="false">
      <c r="A655" s="18" t="n">
        <v>45716</v>
      </c>
      <c r="B655" s="19" t="n">
        <v>11157922813.23</v>
      </c>
      <c r="C655" s="19" t="n">
        <v>0</v>
      </c>
      <c r="D655" s="19" t="n">
        <v>87391052</v>
      </c>
      <c r="E655" s="21" t="n">
        <f aca="false">B655+C655</f>
        <v>11157922813.23</v>
      </c>
      <c r="F655" s="21" t="n">
        <f aca="false">E655+D655</f>
        <v>11245313865.23</v>
      </c>
      <c r="G655" s="22" t="n">
        <f aca="false">IFERROR(C655/E655,0)</f>
        <v>0</v>
      </c>
      <c r="H655" s="19" t="n">
        <v>2474574</v>
      </c>
      <c r="I655" s="19" t="n">
        <v>33048</v>
      </c>
      <c r="J655" s="19" t="n">
        <v>74950</v>
      </c>
      <c r="K655" s="21" t="n">
        <f aca="false">H655+I655</f>
        <v>2507622</v>
      </c>
      <c r="L655" s="20"/>
      <c r="M655" s="21" t="n">
        <f aca="false">H655-L655</f>
        <v>2474574</v>
      </c>
      <c r="N655" s="23" t="n">
        <f aca="false">IFERROR(M655/B655*10000,0)</f>
        <v>2.2177730043677</v>
      </c>
      <c r="O655" s="19" t="n">
        <v>2400337</v>
      </c>
      <c r="P655" s="19" t="n">
        <v>32056</v>
      </c>
      <c r="Q655" s="21" t="n">
        <f aca="false">O655+P655</f>
        <v>2432393</v>
      </c>
      <c r="R655" s="22" t="n">
        <f aca="false">IF(A655&lt;HlpChangeDate,HlpSharePre,HlpSharePost)</f>
        <v>0.03</v>
      </c>
      <c r="S655" s="21" t="n">
        <f aca="false">Q655*R655/(1-R655)</f>
        <v>75228.6494845361</v>
      </c>
      <c r="T655" s="19" t="n">
        <v>74950</v>
      </c>
      <c r="U655" s="21" t="n">
        <f aca="false">S655-T655</f>
        <v>278.649484536072</v>
      </c>
      <c r="V655" s="21" t="n">
        <f aca="false">Y655-O655*R655/(1-R655)</f>
        <v>-0.22680412371119</v>
      </c>
      <c r="W655" s="21" t="n">
        <f aca="false">Z655-P655*R655/(1-R655)</f>
        <v>-0.422680412371165</v>
      </c>
      <c r="X655" s="21" t="n">
        <f aca="false">S655+V655+W655</f>
        <v>75228</v>
      </c>
      <c r="Y655" s="19" t="n">
        <v>74237</v>
      </c>
      <c r="Z655" s="19" t="n">
        <v>991</v>
      </c>
      <c r="AA655" s="19" t="n">
        <v>2432393</v>
      </c>
      <c r="AB655" s="29" t="n">
        <v>19.947</v>
      </c>
      <c r="AC655" s="29" t="n">
        <v>20.04425</v>
      </c>
      <c r="AD655" s="24" t="n">
        <f aca="false">IFERROR(AA655/AC655,0)</f>
        <v>121351.160557267</v>
      </c>
      <c r="AE655" s="25" t="n">
        <f aca="false">K655-Q655-X655</f>
        <v>1.00000000001455</v>
      </c>
      <c r="AF655" s="25" t="n">
        <f aca="false">Q655-AA655</f>
        <v>0</v>
      </c>
      <c r="AG655" s="19" t="n">
        <v>2498326.87918899</v>
      </c>
      <c r="AH655" s="26" t="n">
        <f aca="false">IFERROR(AG655/Q655,0)</f>
        <v>1.02710658976119</v>
      </c>
      <c r="AI655" s="27" t="n">
        <v>344018867.924528</v>
      </c>
      <c r="AJ655" s="26" t="n">
        <f aca="false">IF(AI655&gt;0,AprCoef/SQRT(AI655),0)</f>
        <v>0.0255556664123347</v>
      </c>
      <c r="AK655" s="24" t="n">
        <f aca="false">AI655*AJ655/365</f>
        <v>24086.6614472008</v>
      </c>
      <c r="AL655" s="24" t="n">
        <f aca="false">AD655</f>
        <v>121351.160557267</v>
      </c>
      <c r="AM655" s="24" t="n">
        <f aca="false">AK655-AL655</f>
        <v>-97264.4991100663</v>
      </c>
      <c r="AN655" s="28" t="str">
        <f aca="false">IF(A655&gt;=Hip3LaunchDate,"YES","")</f>
        <v/>
      </c>
      <c r="AO655" s="28" t="str">
        <f aca="false">IF(A655&lt;Hip4LaunchDate,"pre-launch","live (zero-fee)")</f>
        <v>pre-launch</v>
      </c>
      <c r="AP655" s="20"/>
      <c r="AQ655" s="20"/>
      <c r="AR655" s="20"/>
    </row>
    <row r="656" customFormat="false" ht="15" hidden="false" customHeight="false" outlineLevel="0" collapsed="false">
      <c r="A656" s="18" t="n">
        <v>45717</v>
      </c>
      <c r="B656" s="19" t="n">
        <v>4300489522.68</v>
      </c>
      <c r="C656" s="19" t="n">
        <v>0</v>
      </c>
      <c r="D656" s="19" t="n">
        <v>230865213</v>
      </c>
      <c r="E656" s="21" t="n">
        <f aca="false">B656+C656</f>
        <v>4300489522.68</v>
      </c>
      <c r="F656" s="21" t="n">
        <f aca="false">E656+D656</f>
        <v>4531354735.68</v>
      </c>
      <c r="G656" s="22" t="n">
        <f aca="false">IFERROR(C656/E656,0)</f>
        <v>0</v>
      </c>
      <c r="H656" s="19" t="n">
        <v>1004215</v>
      </c>
      <c r="I656" s="19" t="n">
        <v>12337</v>
      </c>
      <c r="J656" s="19" t="n">
        <v>30706</v>
      </c>
      <c r="K656" s="21" t="n">
        <f aca="false">H656+I656</f>
        <v>1016552</v>
      </c>
      <c r="L656" s="20"/>
      <c r="M656" s="21" t="n">
        <f aca="false">H656-L656</f>
        <v>1004215</v>
      </c>
      <c r="N656" s="23" t="n">
        <f aca="false">IFERROR(M656/B656*10000,0)</f>
        <v>2.33511788531039</v>
      </c>
      <c r="O656" s="19" t="n">
        <v>974089</v>
      </c>
      <c r="P656" s="19" t="n">
        <v>11966</v>
      </c>
      <c r="Q656" s="21" t="n">
        <f aca="false">O656+P656</f>
        <v>986055</v>
      </c>
      <c r="R656" s="22" t="n">
        <f aca="false">IF(A656&lt;HlpChangeDate,HlpSharePre,HlpSharePost)</f>
        <v>0.03</v>
      </c>
      <c r="S656" s="21" t="n">
        <f aca="false">Q656*R656/(1-R656)</f>
        <v>30496.5463917526</v>
      </c>
      <c r="T656" s="19" t="n">
        <v>30706</v>
      </c>
      <c r="U656" s="21" t="n">
        <f aca="false">S656-T656</f>
        <v>-209.453608247422</v>
      </c>
      <c r="V656" s="21" t="n">
        <f aca="false">Y656-O656*R656/(1-R656)</f>
        <v>-0.463917525772558</v>
      </c>
      <c r="W656" s="21" t="n">
        <f aca="false">Z656-P656*R656/(1-R656)</f>
        <v>-0.082474226804095</v>
      </c>
      <c r="X656" s="21" t="n">
        <f aca="false">S656+V656+W656</f>
        <v>30496</v>
      </c>
      <c r="Y656" s="19" t="n">
        <v>30126</v>
      </c>
      <c r="Z656" s="19" t="n">
        <v>370</v>
      </c>
      <c r="AA656" s="19" t="n">
        <v>986055</v>
      </c>
      <c r="AB656" s="29" t="n">
        <v>19.605</v>
      </c>
      <c r="AC656" s="29" t="n">
        <v>19.72925</v>
      </c>
      <c r="AD656" s="24" t="n">
        <f aca="false">IFERROR(AA656/AC656,0)</f>
        <v>49979.3453881927</v>
      </c>
      <c r="AE656" s="25" t="n">
        <f aca="false">K656-Q656-X656</f>
        <v>1</v>
      </c>
      <c r="AF656" s="25" t="n">
        <f aca="false">Q656-AA656</f>
        <v>0</v>
      </c>
      <c r="AG656" s="19" t="n">
        <v>1023541.26310602</v>
      </c>
      <c r="AH656" s="26" t="n">
        <f aca="false">IFERROR(AG656/Q656,0)</f>
        <v>1.03801640182953</v>
      </c>
      <c r="AI656" s="27" t="n">
        <v>344735849.056604</v>
      </c>
      <c r="AJ656" s="26" t="n">
        <f aca="false">IF(AI656&gt;0,AprCoef/SQRT(AI656),0)</f>
        <v>0.02552907726066</v>
      </c>
      <c r="AK656" s="24" t="n">
        <f aca="false">AI656*AJ656/365</f>
        <v>24111.7482879048</v>
      </c>
      <c r="AL656" s="24" t="n">
        <f aca="false">AD656</f>
        <v>49979.3453881927</v>
      </c>
      <c r="AM656" s="24" t="n">
        <f aca="false">AK656-AL656</f>
        <v>-25867.5971002879</v>
      </c>
      <c r="AN656" s="28" t="str">
        <f aca="false">IF(A656&gt;=Hip3LaunchDate,"YES","")</f>
        <v/>
      </c>
      <c r="AO656" s="28" t="str">
        <f aca="false">IF(A656&lt;Hip4LaunchDate,"pre-launch","live (zero-fee)")</f>
        <v>pre-launch</v>
      </c>
      <c r="AP656" s="20"/>
      <c r="AQ656" s="20"/>
      <c r="AR656" s="20"/>
    </row>
    <row r="657" customFormat="false" ht="15" hidden="false" customHeight="false" outlineLevel="0" collapsed="false">
      <c r="A657" s="18" t="n">
        <v>45718</v>
      </c>
      <c r="B657" s="19" t="n">
        <v>11125716133.36</v>
      </c>
      <c r="C657" s="19" t="n">
        <v>0</v>
      </c>
      <c r="D657" s="19" t="n">
        <v>260215664</v>
      </c>
      <c r="E657" s="21" t="n">
        <f aca="false">B657+C657</f>
        <v>11125716133.36</v>
      </c>
      <c r="F657" s="21" t="n">
        <f aca="false">E657+D657</f>
        <v>11385931797.36</v>
      </c>
      <c r="G657" s="22" t="n">
        <f aca="false">IFERROR(C657/E657,0)</f>
        <v>0</v>
      </c>
      <c r="H657" s="19" t="n">
        <v>2590972</v>
      </c>
      <c r="I657" s="19" t="n">
        <v>31229</v>
      </c>
      <c r="J657" s="19" t="n">
        <v>78435</v>
      </c>
      <c r="K657" s="21" t="n">
        <f aca="false">H657+I657</f>
        <v>2622201</v>
      </c>
      <c r="L657" s="20"/>
      <c r="M657" s="21" t="n">
        <f aca="false">H657-L657</f>
        <v>2590972</v>
      </c>
      <c r="N657" s="23" t="n">
        <f aca="false">IFERROR(M657/B657*10000,0)</f>
        <v>2.32881368618698</v>
      </c>
      <c r="O657" s="19" t="n">
        <v>2513243</v>
      </c>
      <c r="P657" s="19" t="n">
        <v>30292</v>
      </c>
      <c r="Q657" s="21" t="n">
        <f aca="false">O657+P657</f>
        <v>2543535</v>
      </c>
      <c r="R657" s="22" t="n">
        <f aca="false">IF(A657&lt;HlpChangeDate,HlpSharePre,HlpSharePost)</f>
        <v>0.03</v>
      </c>
      <c r="S657" s="21" t="n">
        <f aca="false">Q657*R657/(1-R657)</f>
        <v>78666.0309278351</v>
      </c>
      <c r="T657" s="19" t="n">
        <v>78435</v>
      </c>
      <c r="U657" s="21" t="n">
        <f aca="false">S657-T657</f>
        <v>231.030927835061</v>
      </c>
      <c r="V657" s="21" t="n">
        <f aca="false">Y657-O657*R657/(1-R657)</f>
        <v>-0.164948453602847</v>
      </c>
      <c r="W657" s="21" t="n">
        <f aca="false">Z657-P657*R657/(1-R657)</f>
        <v>0.134020618556633</v>
      </c>
      <c r="X657" s="21" t="n">
        <f aca="false">S657+V657+W657</f>
        <v>78666</v>
      </c>
      <c r="Y657" s="19" t="n">
        <v>77729</v>
      </c>
      <c r="Z657" s="19" t="n">
        <v>937</v>
      </c>
      <c r="AA657" s="19" t="n">
        <v>2543535</v>
      </c>
      <c r="AB657" s="29" t="n">
        <v>20.527</v>
      </c>
      <c r="AC657" s="29" t="n">
        <v>19.81975</v>
      </c>
      <c r="AD657" s="24" t="n">
        <f aca="false">IFERROR(AA657/AC657,0)</f>
        <v>128333.354356135</v>
      </c>
      <c r="AE657" s="25" t="n">
        <f aca="false">K657-Q657-X657</f>
        <v>0</v>
      </c>
      <c r="AF657" s="25" t="n">
        <f aca="false">Q657-AA657</f>
        <v>0</v>
      </c>
      <c r="AG657" s="19" t="n">
        <v>2614494.136379</v>
      </c>
      <c r="AH657" s="26" t="n">
        <f aca="false">IFERROR(AG657/Q657,0)</f>
        <v>1.02789784153904</v>
      </c>
      <c r="AI657" s="27" t="n">
        <v>345452830.188679</v>
      </c>
      <c r="AJ657" s="26" t="n">
        <f aca="false">IF(AI657&gt;0,AprCoef/SQRT(AI657),0)</f>
        <v>0.0255025709299545</v>
      </c>
      <c r="AK657" s="24" t="n">
        <f aca="false">AI657*AJ657/365</f>
        <v>24136.809054357</v>
      </c>
      <c r="AL657" s="24" t="n">
        <f aca="false">AD657</f>
        <v>128333.354356135</v>
      </c>
      <c r="AM657" s="24" t="n">
        <f aca="false">AK657-AL657</f>
        <v>-104196.545301778</v>
      </c>
      <c r="AN657" s="28" t="str">
        <f aca="false">IF(A657&gt;=Hip3LaunchDate,"YES","")</f>
        <v/>
      </c>
      <c r="AO657" s="28" t="str">
        <f aca="false">IF(A657&lt;Hip4LaunchDate,"pre-launch","live (zero-fee)")</f>
        <v>pre-launch</v>
      </c>
      <c r="AP657" s="20"/>
      <c r="AQ657" s="20"/>
      <c r="AR657" s="20"/>
    </row>
    <row r="658" customFormat="false" ht="15" hidden="false" customHeight="false" outlineLevel="0" collapsed="false">
      <c r="A658" s="18" t="n">
        <v>45719</v>
      </c>
      <c r="B658" s="19" t="n">
        <v>11687296548.94</v>
      </c>
      <c r="C658" s="19" t="n">
        <v>0</v>
      </c>
      <c r="D658" s="19" t="n">
        <v>277747349</v>
      </c>
      <c r="E658" s="21" t="n">
        <f aca="false">B658+C658</f>
        <v>11687296548.94</v>
      </c>
      <c r="F658" s="21" t="n">
        <f aca="false">E658+D658</f>
        <v>11965043897.94</v>
      </c>
      <c r="G658" s="22" t="n">
        <f aca="false">IFERROR(C658/E658,0)</f>
        <v>0</v>
      </c>
      <c r="H658" s="19" t="n">
        <v>2348731</v>
      </c>
      <c r="I658" s="19" t="n">
        <v>31999</v>
      </c>
      <c r="J658" s="19" t="n">
        <v>0</v>
      </c>
      <c r="K658" s="21" t="n">
        <f aca="false">H658+I658</f>
        <v>2380730</v>
      </c>
      <c r="L658" s="20"/>
      <c r="M658" s="21" t="n">
        <f aca="false">H658-L658</f>
        <v>2348731</v>
      </c>
      <c r="N658" s="23" t="n">
        <f aca="false">IFERROR(M658/B658*10000,0)</f>
        <v>2.00964439480491</v>
      </c>
      <c r="O658" s="19" t="n">
        <v>2278269</v>
      </c>
      <c r="P658" s="19" t="n">
        <v>31039</v>
      </c>
      <c r="Q658" s="21" t="n">
        <f aca="false">O658+P658</f>
        <v>2309308</v>
      </c>
      <c r="R658" s="22" t="n">
        <f aca="false">IF(A658&lt;HlpChangeDate,HlpSharePre,HlpSharePost)</f>
        <v>0.03</v>
      </c>
      <c r="S658" s="21" t="n">
        <f aca="false">Q658*R658/(1-R658)</f>
        <v>71421.8969072165</v>
      </c>
      <c r="T658" s="19" t="n">
        <v>0</v>
      </c>
      <c r="U658" s="21" t="n">
        <f aca="false">S658-T658</f>
        <v>71421.8969072165</v>
      </c>
      <c r="V658" s="21" t="n">
        <f aca="false">Y658-O658*R658/(1-R658)</f>
        <v>0.0721649484621594</v>
      </c>
      <c r="W658" s="21" t="n">
        <f aca="false">Z658-P658*R658/(1-R658)</f>
        <v>0.0309278350515569</v>
      </c>
      <c r="X658" s="21" t="n">
        <f aca="false">S658+V658+W658</f>
        <v>71422</v>
      </c>
      <c r="Y658" s="19" t="n">
        <v>70462</v>
      </c>
      <c r="Z658" s="19" t="n">
        <v>960</v>
      </c>
      <c r="AA658" s="19" t="n">
        <v>2309308</v>
      </c>
      <c r="AB658" s="29" t="n">
        <v>17.884</v>
      </c>
      <c r="AC658" s="29" t="n">
        <v>19.21</v>
      </c>
      <c r="AD658" s="24" t="n">
        <f aca="false">IFERROR(AA658/AC658,0)</f>
        <v>120213.846954711</v>
      </c>
      <c r="AE658" s="25" t="n">
        <f aca="false">K658-Q658-X658</f>
        <v>0</v>
      </c>
      <c r="AF658" s="25" t="n">
        <f aca="false">Q658-AA658</f>
        <v>0</v>
      </c>
      <c r="AG658" s="19" t="n">
        <v>2395717.192862</v>
      </c>
      <c r="AH658" s="26" t="n">
        <f aca="false">IFERROR(AG658/Q658,0)</f>
        <v>1.0374177861342</v>
      </c>
      <c r="AI658" s="27" t="n">
        <v>346169811.320755</v>
      </c>
      <c r="AJ658" s="26" t="n">
        <f aca="false">IF(AI658&gt;0,AprCoef/SQRT(AI658),0)</f>
        <v>0.0254761469911523</v>
      </c>
      <c r="AK658" s="24" t="n">
        <f aca="false">AI658*AJ658/365</f>
        <v>24161.8438276904</v>
      </c>
      <c r="AL658" s="24" t="n">
        <f aca="false">AD658</f>
        <v>120213.846954711</v>
      </c>
      <c r="AM658" s="24" t="n">
        <f aca="false">AK658-AL658</f>
        <v>-96052.0031270207</v>
      </c>
      <c r="AN658" s="28" t="str">
        <f aca="false">IF(A658&gt;=Hip3LaunchDate,"YES","")</f>
        <v/>
      </c>
      <c r="AO658" s="28" t="str">
        <f aca="false">IF(A658&lt;Hip4LaunchDate,"pre-launch","live (zero-fee)")</f>
        <v>pre-launch</v>
      </c>
      <c r="AP658" s="20"/>
      <c r="AQ658" s="20"/>
      <c r="AR658" s="20"/>
    </row>
    <row r="659" customFormat="false" ht="15" hidden="false" customHeight="false" outlineLevel="0" collapsed="false">
      <c r="A659" s="18" t="n">
        <v>45720</v>
      </c>
      <c r="B659" s="19" t="n">
        <v>10923024321.66</v>
      </c>
      <c r="C659" s="19" t="n">
        <v>0</v>
      </c>
      <c r="D659" s="19" t="n">
        <v>143679985</v>
      </c>
      <c r="E659" s="21" t="n">
        <f aca="false">B659+C659</f>
        <v>10923024321.66</v>
      </c>
      <c r="F659" s="21" t="n">
        <f aca="false">E659+D659</f>
        <v>11066704306.66</v>
      </c>
      <c r="G659" s="22" t="n">
        <f aca="false">IFERROR(C659/E659,0)</f>
        <v>0</v>
      </c>
      <c r="H659" s="19" t="n">
        <v>2789913</v>
      </c>
      <c r="I659" s="19" t="n">
        <v>47916</v>
      </c>
      <c r="J659" s="19" t="n">
        <v>0</v>
      </c>
      <c r="K659" s="21" t="n">
        <f aca="false">H659+I659</f>
        <v>2837829</v>
      </c>
      <c r="L659" s="20"/>
      <c r="M659" s="21" t="n">
        <f aca="false">H659-L659</f>
        <v>2789913</v>
      </c>
      <c r="N659" s="23" t="n">
        <f aca="false">IFERROR(M659/B659*10000,0)</f>
        <v>2.55415800408656</v>
      </c>
      <c r="O659" s="19" t="n">
        <v>2706216</v>
      </c>
      <c r="P659" s="19" t="n">
        <v>46479</v>
      </c>
      <c r="Q659" s="21" t="n">
        <f aca="false">O659+P659</f>
        <v>2752695</v>
      </c>
      <c r="R659" s="22" t="n">
        <f aca="false">IF(A659&lt;HlpChangeDate,HlpSharePre,HlpSharePost)</f>
        <v>0.03</v>
      </c>
      <c r="S659" s="21" t="n">
        <f aca="false">Q659*R659/(1-R659)</f>
        <v>85134.8969072165</v>
      </c>
      <c r="T659" s="19" t="n">
        <v>0</v>
      </c>
      <c r="U659" s="21" t="n">
        <f aca="false">S659-T659</f>
        <v>85134.8969072165</v>
      </c>
      <c r="V659" s="21" t="n">
        <f aca="false">Y659-O659*R659/(1-R659)</f>
        <v>-0.402061855667853</v>
      </c>
      <c r="W659" s="21" t="n">
        <f aca="false">Z659-P659*R659/(1-R659)</f>
        <v>-0.494845360824684</v>
      </c>
      <c r="X659" s="21" t="n">
        <f aca="false">S659+V659+W659</f>
        <v>85134</v>
      </c>
      <c r="Y659" s="19" t="n">
        <v>83697</v>
      </c>
      <c r="Z659" s="19" t="n">
        <v>1437</v>
      </c>
      <c r="AA659" s="19" t="n">
        <v>2752695</v>
      </c>
      <c r="AB659" s="29" t="n">
        <v>17.093</v>
      </c>
      <c r="AC659" s="29" t="n">
        <v>17.0875</v>
      </c>
      <c r="AD659" s="24" t="n">
        <f aca="false">IFERROR(AA659/AC659,0)</f>
        <v>161094.074615947</v>
      </c>
      <c r="AE659" s="25" t="n">
        <f aca="false">K659-Q659-X659</f>
        <v>0</v>
      </c>
      <c r="AF659" s="25" t="n">
        <f aca="false">Q659-AA659</f>
        <v>0</v>
      </c>
      <c r="AG659" s="19" t="n">
        <v>2837829.149463</v>
      </c>
      <c r="AH659" s="26" t="n">
        <f aca="false">IFERROR(AG659/Q659,0)</f>
        <v>1.03092756351975</v>
      </c>
      <c r="AI659" s="27" t="n">
        <v>346886792.45283</v>
      </c>
      <c r="AJ659" s="26" t="n">
        <f aca="false">IF(AI659&gt;0,AprCoef/SQRT(AI659),0)</f>
        <v>0.025449805018293</v>
      </c>
      <c r="AK659" s="24" t="n">
        <f aca="false">AI659*AJ659/365</f>
        <v>24186.8526886181</v>
      </c>
      <c r="AL659" s="24" t="n">
        <f aca="false">AD659</f>
        <v>161094.074615947</v>
      </c>
      <c r="AM659" s="24" t="n">
        <f aca="false">AK659-AL659</f>
        <v>-136907.221927329</v>
      </c>
      <c r="AN659" s="28" t="str">
        <f aca="false">IF(A659&gt;=Hip3LaunchDate,"YES","")</f>
        <v/>
      </c>
      <c r="AO659" s="28" t="str">
        <f aca="false">IF(A659&lt;Hip4LaunchDate,"pre-launch","live (zero-fee)")</f>
        <v>pre-launch</v>
      </c>
      <c r="AP659" s="20"/>
      <c r="AQ659" s="20"/>
      <c r="AR659" s="20"/>
    </row>
    <row r="660" customFormat="false" ht="15" hidden="false" customHeight="false" outlineLevel="0" collapsed="false">
      <c r="A660" s="18" t="n">
        <v>45721</v>
      </c>
      <c r="B660" s="19" t="n">
        <v>6393102152.21</v>
      </c>
      <c r="C660" s="19" t="n">
        <v>0</v>
      </c>
      <c r="D660" s="19" t="n">
        <v>171189803</v>
      </c>
      <c r="E660" s="21" t="n">
        <f aca="false">B660+C660</f>
        <v>6393102152.21</v>
      </c>
      <c r="F660" s="21" t="n">
        <f aca="false">E660+D660</f>
        <v>6564291955.21</v>
      </c>
      <c r="G660" s="22" t="n">
        <f aca="false">IFERROR(C660/E660,0)</f>
        <v>0</v>
      </c>
      <c r="H660" s="19" t="n">
        <v>1450674</v>
      </c>
      <c r="I660" s="19" t="n">
        <v>20047</v>
      </c>
      <c r="J660" s="19" t="n">
        <v>44122</v>
      </c>
      <c r="K660" s="21" t="n">
        <f aca="false">H660+I660</f>
        <v>1470721</v>
      </c>
      <c r="L660" s="20"/>
      <c r="M660" s="21" t="n">
        <f aca="false">H660-L660</f>
        <v>1450674</v>
      </c>
      <c r="N660" s="23" t="n">
        <f aca="false">IFERROR(M660/B660*10000,0)</f>
        <v>2.26912376098749</v>
      </c>
      <c r="O660" s="19" t="n">
        <v>1407154</v>
      </c>
      <c r="P660" s="19" t="n">
        <v>19446</v>
      </c>
      <c r="Q660" s="21" t="n">
        <f aca="false">O660+P660</f>
        <v>1426600</v>
      </c>
      <c r="R660" s="22" t="n">
        <f aca="false">IF(A660&lt;HlpChangeDate,HlpSharePre,HlpSharePost)</f>
        <v>0.03</v>
      </c>
      <c r="S660" s="21" t="n">
        <f aca="false">Q660*R660/(1-R660)</f>
        <v>44121.6494845361</v>
      </c>
      <c r="T660" s="19" t="n">
        <v>44122</v>
      </c>
      <c r="U660" s="21" t="n">
        <f aca="false">S660-T660</f>
        <v>-0.350515463913325</v>
      </c>
      <c r="V660" s="21" t="n">
        <f aca="false">Y660-O660*R660/(1-R660)</f>
        <v>-0.22680412371119</v>
      </c>
      <c r="W660" s="21" t="n">
        <f aca="false">Z660-P660*R660/(1-R660)</f>
        <v>-0.422680412371165</v>
      </c>
      <c r="X660" s="21" t="n">
        <f aca="false">S660+V660+W660</f>
        <v>44121</v>
      </c>
      <c r="Y660" s="19" t="n">
        <v>43520</v>
      </c>
      <c r="Z660" s="19" t="n">
        <v>601</v>
      </c>
      <c r="AA660" s="19" t="n">
        <v>1426600</v>
      </c>
      <c r="AB660" s="29" t="n">
        <v>17.191</v>
      </c>
      <c r="AC660" s="29" t="n">
        <v>17.1265</v>
      </c>
      <c r="AD660" s="24" t="n">
        <f aca="false">IFERROR(AA660/AC660,0)</f>
        <v>83297.8133302192</v>
      </c>
      <c r="AE660" s="25" t="n">
        <f aca="false">K660-Q660-X660</f>
        <v>0</v>
      </c>
      <c r="AF660" s="25" t="n">
        <f aca="false">Q660-AA660</f>
        <v>0</v>
      </c>
      <c r="AG660" s="19" t="n">
        <v>1470721.02791998</v>
      </c>
      <c r="AH660" s="26" t="n">
        <f aca="false">IFERROR(AG660/Q660,0)</f>
        <v>1.03092739935509</v>
      </c>
      <c r="AI660" s="27" t="n">
        <v>347603773.584906</v>
      </c>
      <c r="AJ660" s="26" t="n">
        <f aca="false">IF(AI660&gt;0,AprCoef/SQRT(AI660),0)</f>
        <v>0.0254235445884929</v>
      </c>
      <c r="AK660" s="24" t="n">
        <f aca="false">AI660*AJ660/365</f>
        <v>24211.8357174363</v>
      </c>
      <c r="AL660" s="24" t="n">
        <f aca="false">AD660</f>
        <v>83297.8133302192</v>
      </c>
      <c r="AM660" s="24" t="n">
        <f aca="false">AK660-AL660</f>
        <v>-59085.977612783</v>
      </c>
      <c r="AN660" s="28" t="str">
        <f aca="false">IF(A660&gt;=Hip3LaunchDate,"YES","")</f>
        <v/>
      </c>
      <c r="AO660" s="28" t="str">
        <f aca="false">IF(A660&lt;Hip4LaunchDate,"pre-launch","live (zero-fee)")</f>
        <v>pre-launch</v>
      </c>
      <c r="AP660" s="20"/>
      <c r="AQ660" s="20"/>
      <c r="AR660" s="20"/>
    </row>
    <row r="661" customFormat="false" ht="15" hidden="false" customHeight="false" outlineLevel="0" collapsed="false">
      <c r="A661" s="18" t="n">
        <v>45722</v>
      </c>
      <c r="B661" s="19" t="n">
        <v>6898925843.82</v>
      </c>
      <c r="C661" s="19" t="n">
        <v>0</v>
      </c>
      <c r="D661" s="19" t="n">
        <v>199378699</v>
      </c>
      <c r="E661" s="21" t="n">
        <f aca="false">B661+C661</f>
        <v>6898925843.82</v>
      </c>
      <c r="F661" s="21" t="n">
        <f aca="false">E661+D661</f>
        <v>7098304542.82</v>
      </c>
      <c r="G661" s="22" t="n">
        <f aca="false">IFERROR(C661/E661,0)</f>
        <v>0</v>
      </c>
      <c r="H661" s="19" t="n">
        <v>1566336</v>
      </c>
      <c r="I661" s="19" t="n">
        <v>24157</v>
      </c>
      <c r="J661" s="19" t="n">
        <v>47715</v>
      </c>
      <c r="K661" s="21" t="n">
        <f aca="false">H661+I661</f>
        <v>1590493</v>
      </c>
      <c r="L661" s="20"/>
      <c r="M661" s="21" t="n">
        <f aca="false">H661-L661</f>
        <v>1566336</v>
      </c>
      <c r="N661" s="23" t="n">
        <f aca="false">IFERROR(M661/B661*10000,0)</f>
        <v>2.27040561887342</v>
      </c>
      <c r="O661" s="19" t="n">
        <v>1519346</v>
      </c>
      <c r="P661" s="19" t="n">
        <v>23432</v>
      </c>
      <c r="Q661" s="21" t="n">
        <f aca="false">O661+P661</f>
        <v>1542778</v>
      </c>
      <c r="R661" s="22" t="n">
        <f aca="false">IF(A661&lt;HlpChangeDate,HlpSharePre,HlpSharePost)</f>
        <v>0.03</v>
      </c>
      <c r="S661" s="21" t="n">
        <f aca="false">Q661*R661/(1-R661)</f>
        <v>47714.7835051546</v>
      </c>
      <c r="T661" s="19" t="n">
        <v>47715</v>
      </c>
      <c r="U661" s="21" t="n">
        <f aca="false">S661-T661</f>
        <v>-0.21649484536465</v>
      </c>
      <c r="V661" s="21" t="n">
        <f aca="false">Y661-O661*R661/(1-R661)</f>
        <v>-0.0824742268014234</v>
      </c>
      <c r="W661" s="21" t="n">
        <f aca="false">Z661-P661*R661/(1-R661)</f>
        <v>0.29896907216505</v>
      </c>
      <c r="X661" s="21" t="n">
        <f aca="false">S661+V661+W661</f>
        <v>47715</v>
      </c>
      <c r="Y661" s="19" t="n">
        <v>46990</v>
      </c>
      <c r="Z661" s="19" t="n">
        <v>725</v>
      </c>
      <c r="AA661" s="19" t="n">
        <v>1542778</v>
      </c>
      <c r="AB661" s="29" t="n">
        <v>15.38</v>
      </c>
      <c r="AC661" s="29" t="n">
        <v>16.26075</v>
      </c>
      <c r="AD661" s="24" t="n">
        <f aca="false">IFERROR(AA661/AC661,0)</f>
        <v>94877.4195532186</v>
      </c>
      <c r="AE661" s="25" t="n">
        <f aca="false">K661-Q661-X661</f>
        <v>0</v>
      </c>
      <c r="AF661" s="25" t="n">
        <f aca="false">Q661-AA661</f>
        <v>0</v>
      </c>
      <c r="AG661" s="19" t="n">
        <v>1590492.523718</v>
      </c>
      <c r="AH661" s="26" t="n">
        <f aca="false">IFERROR(AG661/Q661,0)</f>
        <v>1.03092766666234</v>
      </c>
      <c r="AI661" s="27" t="n">
        <v>348320754.716981</v>
      </c>
      <c r="AJ661" s="26" t="n">
        <f aca="false">IF(AI661&gt;0,AprCoef/SQRT(AI661),0)</f>
        <v>0.0253973652819165</v>
      </c>
      <c r="AK661" s="24" t="n">
        <f aca="false">AI661*AJ661/365</f>
        <v>24236.7929940274</v>
      </c>
      <c r="AL661" s="24" t="n">
        <f aca="false">AD661</f>
        <v>94877.4195532186</v>
      </c>
      <c r="AM661" s="24" t="n">
        <f aca="false">AK661-AL661</f>
        <v>-70640.6265591913</v>
      </c>
      <c r="AN661" s="28" t="str">
        <f aca="false">IF(A661&gt;=Hip3LaunchDate,"YES","")</f>
        <v/>
      </c>
      <c r="AO661" s="28" t="str">
        <f aca="false">IF(A661&lt;Hip4LaunchDate,"pre-launch","live (zero-fee)")</f>
        <v>pre-launch</v>
      </c>
      <c r="AP661" s="20"/>
      <c r="AQ661" s="20"/>
      <c r="AR661" s="20"/>
    </row>
    <row r="662" customFormat="false" ht="15" hidden="false" customHeight="false" outlineLevel="0" collapsed="false">
      <c r="A662" s="18" t="n">
        <v>45723</v>
      </c>
      <c r="B662" s="19" t="n">
        <v>10328312158.95</v>
      </c>
      <c r="C662" s="19" t="n">
        <v>0</v>
      </c>
      <c r="D662" s="19" t="n">
        <v>149081874</v>
      </c>
      <c r="E662" s="21" t="n">
        <f aca="false">B662+C662</f>
        <v>10328312158.95</v>
      </c>
      <c r="F662" s="21" t="n">
        <f aca="false">E662+D662</f>
        <v>10477394032.95</v>
      </c>
      <c r="G662" s="22" t="n">
        <f aca="false">IFERROR(C662/E662,0)</f>
        <v>0</v>
      </c>
      <c r="H662" s="19" t="n">
        <v>2332222</v>
      </c>
      <c r="I662" s="19" t="n">
        <v>23676</v>
      </c>
      <c r="J662" s="19" t="n">
        <v>70677</v>
      </c>
      <c r="K662" s="21" t="n">
        <f aca="false">H662+I662</f>
        <v>2355898</v>
      </c>
      <c r="L662" s="20"/>
      <c r="M662" s="21" t="n">
        <f aca="false">H662-L662</f>
        <v>2332222</v>
      </c>
      <c r="N662" s="23" t="n">
        <f aca="false">IFERROR(M662/B662*10000,0)</f>
        <v>2.25808628177355</v>
      </c>
      <c r="O662" s="19" t="n">
        <v>2262255</v>
      </c>
      <c r="P662" s="19" t="n">
        <v>22966</v>
      </c>
      <c r="Q662" s="21" t="n">
        <f aca="false">O662+P662</f>
        <v>2285221</v>
      </c>
      <c r="R662" s="22" t="n">
        <f aca="false">IF(A662&lt;HlpChangeDate,HlpSharePre,HlpSharePost)</f>
        <v>0.03</v>
      </c>
      <c r="S662" s="21" t="n">
        <f aca="false">Q662*R662/(1-R662)</f>
        <v>70676.9381443299</v>
      </c>
      <c r="T662" s="19" t="n">
        <v>70677</v>
      </c>
      <c r="U662" s="21" t="n">
        <f aca="false">S662-T662</f>
        <v>-0.0618556700937916</v>
      </c>
      <c r="V662" s="21" t="n">
        <f aca="false">Y662-O662*R662/(1-R662)</f>
        <v>0.350515463927877</v>
      </c>
      <c r="W662" s="21" t="n">
        <f aca="false">Z662-P662*R662/(1-R662)</f>
        <v>-0.288659793814418</v>
      </c>
      <c r="X662" s="21" t="n">
        <f aca="false">S662+V662+W662</f>
        <v>70677</v>
      </c>
      <c r="Y662" s="19" t="n">
        <v>69967</v>
      </c>
      <c r="Z662" s="19" t="n">
        <v>710</v>
      </c>
      <c r="AA662" s="19" t="n">
        <v>2285221</v>
      </c>
      <c r="AB662" s="29" t="n">
        <v>15.141</v>
      </c>
      <c r="AC662" s="29" t="n">
        <v>15.4045</v>
      </c>
      <c r="AD662" s="24" t="n">
        <f aca="false">IFERROR(AA662/AC662,0)</f>
        <v>148347.625693791</v>
      </c>
      <c r="AE662" s="25" t="n">
        <f aca="false">K662-Q662-X662</f>
        <v>0</v>
      </c>
      <c r="AF662" s="25" t="n">
        <f aca="false">Q662-AA662</f>
        <v>0</v>
      </c>
      <c r="AG662" s="19" t="n">
        <v>2355898.01909602</v>
      </c>
      <c r="AH662" s="26" t="n">
        <f aca="false">IFERROR(AG662/Q662,0)</f>
        <v>1.03092787047555</v>
      </c>
      <c r="AI662" s="27" t="n">
        <v>349037735.849057</v>
      </c>
      <c r="AJ662" s="26" t="n">
        <f aca="false">IF(AI662&gt;0,AprCoef/SQRT(AI662),0)</f>
        <v>0.0253712666817481</v>
      </c>
      <c r="AK662" s="24" t="n">
        <f aca="false">AI662*AJ662/365</f>
        <v>24261.7245978629</v>
      </c>
      <c r="AL662" s="24" t="n">
        <f aca="false">AD662</f>
        <v>148347.625693791</v>
      </c>
      <c r="AM662" s="24" t="n">
        <f aca="false">AK662-AL662</f>
        <v>-124085.901095928</v>
      </c>
      <c r="AN662" s="28" t="str">
        <f aca="false">IF(A662&gt;=Hip3LaunchDate,"YES","")</f>
        <v/>
      </c>
      <c r="AO662" s="28" t="str">
        <f aca="false">IF(A662&lt;Hip4LaunchDate,"pre-launch","live (zero-fee)")</f>
        <v>pre-launch</v>
      </c>
      <c r="AP662" s="20"/>
      <c r="AQ662" s="20"/>
      <c r="AR662" s="20"/>
    </row>
    <row r="663" customFormat="false" ht="15" hidden="false" customHeight="false" outlineLevel="0" collapsed="false">
      <c r="A663" s="18" t="n">
        <v>45724</v>
      </c>
      <c r="B663" s="19" t="n">
        <v>2704382867.57</v>
      </c>
      <c r="C663" s="19" t="n">
        <v>0</v>
      </c>
      <c r="D663" s="19" t="n">
        <v>67592094</v>
      </c>
      <c r="E663" s="21" t="n">
        <f aca="false">B663+C663</f>
        <v>2704382867.57</v>
      </c>
      <c r="F663" s="21" t="n">
        <f aca="false">E663+D663</f>
        <v>2771974961.57</v>
      </c>
      <c r="G663" s="22" t="n">
        <f aca="false">IFERROR(C663/E663,0)</f>
        <v>0</v>
      </c>
      <c r="H663" s="19" t="n">
        <v>634401</v>
      </c>
      <c r="I663" s="19" t="n">
        <v>10892</v>
      </c>
      <c r="J663" s="19" t="n">
        <v>18033</v>
      </c>
      <c r="K663" s="21" t="n">
        <f aca="false">H663+I663</f>
        <v>645293</v>
      </c>
      <c r="L663" s="20"/>
      <c r="M663" s="21" t="n">
        <f aca="false">H663-L663</f>
        <v>634401</v>
      </c>
      <c r="N663" s="23" t="n">
        <f aca="false">IFERROR(M663/B663*10000,0)</f>
        <v>2.34582539183897</v>
      </c>
      <c r="O663" s="19" t="n">
        <v>615369</v>
      </c>
      <c r="P663" s="19" t="n">
        <v>10565</v>
      </c>
      <c r="Q663" s="21" t="n">
        <f aca="false">O663+P663</f>
        <v>625934</v>
      </c>
      <c r="R663" s="22" t="n">
        <f aca="false">IF(A663&lt;HlpChangeDate,HlpSharePre,HlpSharePost)</f>
        <v>0.03</v>
      </c>
      <c r="S663" s="21" t="n">
        <f aca="false">Q663*R663/(1-R663)</f>
        <v>19358.7835051546</v>
      </c>
      <c r="T663" s="19" t="n">
        <v>18033</v>
      </c>
      <c r="U663" s="21" t="n">
        <f aca="false">S663-T663</f>
        <v>1325.78350515464</v>
      </c>
      <c r="V663" s="21" t="n">
        <f aca="false">Y663-O663*R663/(1-R663)</f>
        <v>-0.0309278350505338</v>
      </c>
      <c r="W663" s="21" t="n">
        <f aca="false">Z663-P663*R663/(1-R663)</f>
        <v>0.247422680412399</v>
      </c>
      <c r="X663" s="21" t="n">
        <f aca="false">S663+V663+W663</f>
        <v>19359</v>
      </c>
      <c r="Y663" s="19" t="n">
        <v>19032</v>
      </c>
      <c r="Z663" s="19" t="n">
        <v>327</v>
      </c>
      <c r="AA663" s="19" t="n">
        <v>625934</v>
      </c>
      <c r="AB663" s="29" t="n">
        <v>15.111</v>
      </c>
      <c r="AC663" s="29" t="n">
        <v>15.3225</v>
      </c>
      <c r="AD663" s="24" t="n">
        <f aca="false">IFERROR(AA663/AC663,0)</f>
        <v>40850.6444770762</v>
      </c>
      <c r="AE663" s="25" t="n">
        <f aca="false">K663-Q663-X663</f>
        <v>0</v>
      </c>
      <c r="AF663" s="25" t="n">
        <f aca="false">Q663-AA663</f>
        <v>0</v>
      </c>
      <c r="AG663" s="19" t="n">
        <v>601095.680918992</v>
      </c>
      <c r="AH663" s="26" t="n">
        <f aca="false">IFERROR(AG663/Q663,0)</f>
        <v>0.960317990265733</v>
      </c>
      <c r="AI663" s="27" t="n">
        <v>349754716.981132</v>
      </c>
      <c r="AJ663" s="26" t="n">
        <f aca="false">IF(AI663&gt;0,AprCoef/SQRT(AI663),0)</f>
        <v>0.0253452483741644</v>
      </c>
      <c r="AK663" s="24" t="n">
        <f aca="false">AI663*AJ663/365</f>
        <v>24286.6306080065</v>
      </c>
      <c r="AL663" s="24" t="n">
        <f aca="false">AD663</f>
        <v>40850.6444770762</v>
      </c>
      <c r="AM663" s="24" t="n">
        <f aca="false">AK663-AL663</f>
        <v>-16564.0138690697</v>
      </c>
      <c r="AN663" s="28" t="str">
        <f aca="false">IF(A663&gt;=Hip3LaunchDate,"YES","")</f>
        <v/>
      </c>
      <c r="AO663" s="28" t="str">
        <f aca="false">IF(A663&lt;Hip4LaunchDate,"pre-launch","live (zero-fee)")</f>
        <v>pre-launch</v>
      </c>
      <c r="AP663" s="20"/>
      <c r="AQ663" s="20"/>
      <c r="AR663" s="20"/>
    </row>
    <row r="664" customFormat="false" ht="15" hidden="false" customHeight="false" outlineLevel="0" collapsed="false">
      <c r="A664" s="18" t="n">
        <v>45725</v>
      </c>
      <c r="B664" s="19" t="n">
        <v>5412422029.1</v>
      </c>
      <c r="C664" s="19" t="n">
        <v>0</v>
      </c>
      <c r="D664" s="19" t="n">
        <v>118439528</v>
      </c>
      <c r="E664" s="21" t="n">
        <f aca="false">B664+C664</f>
        <v>5412422029.1</v>
      </c>
      <c r="F664" s="21" t="n">
        <f aca="false">E664+D664</f>
        <v>5530861557.1</v>
      </c>
      <c r="G664" s="22" t="n">
        <f aca="false">IFERROR(C664/E664,0)</f>
        <v>0</v>
      </c>
      <c r="H664" s="19" t="n">
        <v>1210965</v>
      </c>
      <c r="I664" s="19" t="n">
        <v>17991</v>
      </c>
      <c r="J664" s="19" t="n">
        <v>37861</v>
      </c>
      <c r="K664" s="21" t="n">
        <f aca="false">H664+I664</f>
        <v>1228956</v>
      </c>
      <c r="L664" s="20"/>
      <c r="M664" s="21" t="n">
        <f aca="false">H664-L664</f>
        <v>1210965</v>
      </c>
      <c r="N664" s="23" t="n">
        <f aca="false">IFERROR(M664/B664*10000,0)</f>
        <v>2.23738096085121</v>
      </c>
      <c r="O664" s="19" t="n">
        <v>1174636</v>
      </c>
      <c r="P664" s="19" t="n">
        <v>17452</v>
      </c>
      <c r="Q664" s="21" t="n">
        <f aca="false">O664+P664</f>
        <v>1192088</v>
      </c>
      <c r="R664" s="22" t="n">
        <f aca="false">IF(A664&lt;HlpChangeDate,HlpSharePre,HlpSharePost)</f>
        <v>0.03</v>
      </c>
      <c r="S664" s="21" t="n">
        <f aca="false">Q664*R664/(1-R664)</f>
        <v>36868.7010309278</v>
      </c>
      <c r="T664" s="19" t="n">
        <v>37861</v>
      </c>
      <c r="U664" s="21" t="n">
        <f aca="false">S664-T664</f>
        <v>-992.298969072166</v>
      </c>
      <c r="V664" s="21" t="n">
        <f aca="false">Y664-O664*R664/(1-R664)</f>
        <v>0.0515463917472516</v>
      </c>
      <c r="W664" s="21" t="n">
        <f aca="false">Z664-P664*R664/(1-R664)</f>
        <v>0.247422680412456</v>
      </c>
      <c r="X664" s="21" t="n">
        <f aca="false">S664+V664+W664</f>
        <v>36869</v>
      </c>
      <c r="Y664" s="19" t="n">
        <v>36329</v>
      </c>
      <c r="Z664" s="19" t="n">
        <v>540</v>
      </c>
      <c r="AA664" s="19" t="n">
        <v>1192088</v>
      </c>
      <c r="AB664" s="29" t="n">
        <v>14.42</v>
      </c>
      <c r="AC664" s="29" t="n">
        <v>14.82675</v>
      </c>
      <c r="AD664" s="24" t="n">
        <f aca="false">IFERROR(AA664/AC664,0)</f>
        <v>80401.1668099887</v>
      </c>
      <c r="AE664" s="25" t="n">
        <f aca="false">K664-Q664-X664</f>
        <v>-0.999999999992724</v>
      </c>
      <c r="AF664" s="25" t="n">
        <f aca="false">Q664-AA664</f>
        <v>0</v>
      </c>
      <c r="AG664" s="19" t="n">
        <v>1262038.716719</v>
      </c>
      <c r="AH664" s="26" t="n">
        <f aca="false">IFERROR(AG664/Q664,0)</f>
        <v>1.0586791551622</v>
      </c>
      <c r="AI664" s="27" t="n">
        <v>350471698.113208</v>
      </c>
      <c r="AJ664" s="26" t="n">
        <f aca="false">IF(AI664&gt;0,AprCoef/SQRT(AI664),0)</f>
        <v>0.0253193099483065</v>
      </c>
      <c r="AK664" s="24" t="n">
        <f aca="false">AI664*AJ664/365</f>
        <v>24311.5111031167</v>
      </c>
      <c r="AL664" s="24" t="n">
        <f aca="false">AD664</f>
        <v>80401.1668099887</v>
      </c>
      <c r="AM664" s="24" t="n">
        <f aca="false">AK664-AL664</f>
        <v>-56089.655706872</v>
      </c>
      <c r="AN664" s="28" t="str">
        <f aca="false">IF(A664&gt;=Hip3LaunchDate,"YES","")</f>
        <v/>
      </c>
      <c r="AO664" s="28" t="str">
        <f aca="false">IF(A664&lt;Hip4LaunchDate,"pre-launch","live (zero-fee)")</f>
        <v>pre-launch</v>
      </c>
      <c r="AP664" s="20"/>
      <c r="AQ664" s="20"/>
      <c r="AR664" s="20"/>
    </row>
    <row r="665" customFormat="false" ht="15" hidden="false" customHeight="false" outlineLevel="0" collapsed="false">
      <c r="A665" s="18" t="n">
        <v>45726</v>
      </c>
      <c r="B665" s="19" t="n">
        <v>9662861733.83</v>
      </c>
      <c r="C665" s="19" t="n">
        <v>0</v>
      </c>
      <c r="D665" s="19" t="n">
        <v>169103609</v>
      </c>
      <c r="E665" s="21" t="n">
        <f aca="false">B665+C665</f>
        <v>9662861733.83</v>
      </c>
      <c r="F665" s="21" t="n">
        <f aca="false">E665+D665</f>
        <v>9831965342.83</v>
      </c>
      <c r="G665" s="22" t="n">
        <f aca="false">IFERROR(C665/E665,0)</f>
        <v>0</v>
      </c>
      <c r="H665" s="19" t="n">
        <v>2172589</v>
      </c>
      <c r="I665" s="19" t="n">
        <v>24937</v>
      </c>
      <c r="J665" s="19" t="n">
        <v>65505</v>
      </c>
      <c r="K665" s="21" t="n">
        <f aca="false">H665+I665</f>
        <v>2197526</v>
      </c>
      <c r="L665" s="20"/>
      <c r="M665" s="21" t="n">
        <f aca="false">H665-L665</f>
        <v>2172589</v>
      </c>
      <c r="N665" s="23" t="n">
        <f aca="false">IFERROR(M665/B665*10000,0)</f>
        <v>2.24839085960807</v>
      </c>
      <c r="O665" s="19" t="n">
        <v>2107411</v>
      </c>
      <c r="P665" s="19" t="n">
        <v>24189</v>
      </c>
      <c r="Q665" s="21" t="n">
        <f aca="false">O665+P665</f>
        <v>2131600</v>
      </c>
      <c r="R665" s="22" t="n">
        <f aca="false">IF(A665&lt;HlpChangeDate,HlpSharePre,HlpSharePost)</f>
        <v>0.03</v>
      </c>
      <c r="S665" s="21" t="n">
        <f aca="false">Q665*R665/(1-R665)</f>
        <v>65925.7731958763</v>
      </c>
      <c r="T665" s="19" t="n">
        <v>65505</v>
      </c>
      <c r="U665" s="21" t="n">
        <f aca="false">S665-T665</f>
        <v>420.773195876289</v>
      </c>
      <c r="V665" s="21" t="n">
        <f aca="false">Y665-O665*R665/(1-R665)</f>
        <v>0.340206185574061</v>
      </c>
      <c r="W665" s="21" t="n">
        <f aca="false">Z665-P665*R665/(1-R665)</f>
        <v>-0.113402061855595</v>
      </c>
      <c r="X665" s="21" t="n">
        <f aca="false">S665+V665+W665</f>
        <v>65926</v>
      </c>
      <c r="Y665" s="19" t="n">
        <v>65178</v>
      </c>
      <c r="Z665" s="19" t="n">
        <v>748</v>
      </c>
      <c r="AA665" s="19" t="n">
        <v>2131600</v>
      </c>
      <c r="AB665" s="29" t="n">
        <v>13.458</v>
      </c>
      <c r="AC665" s="29" t="n">
        <v>14.10725</v>
      </c>
      <c r="AD665" s="24" t="n">
        <f aca="false">IFERROR(AA665/AC665,0)</f>
        <v>151099.611901682</v>
      </c>
      <c r="AE665" s="25" t="n">
        <f aca="false">K665-Q665-X665</f>
        <v>0</v>
      </c>
      <c r="AF665" s="25" t="n">
        <f aca="false">Q665-AA665</f>
        <v>0</v>
      </c>
      <c r="AG665" s="19" t="n">
        <v>2183515.90793499</v>
      </c>
      <c r="AH665" s="26" t="n">
        <f aca="false">IFERROR(AG665/Q665,0)</f>
        <v>1.02435537058313</v>
      </c>
      <c r="AI665" s="27" t="n">
        <v>351188679.245283</v>
      </c>
      <c r="AJ665" s="26" t="n">
        <f aca="false">IF(AI665&gt;0,AprCoef/SQRT(AI665),0)</f>
        <v>0.0252934509962529</v>
      </c>
      <c r="AK665" s="24" t="n">
        <f aca="false">AI665*AJ665/365</f>
        <v>24336.3661614502</v>
      </c>
      <c r="AL665" s="24" t="n">
        <f aca="false">AD665</f>
        <v>151099.611901682</v>
      </c>
      <c r="AM665" s="24" t="n">
        <f aca="false">AK665-AL665</f>
        <v>-126763.245740232</v>
      </c>
      <c r="AN665" s="28" t="str">
        <f aca="false">IF(A665&gt;=Hip3LaunchDate,"YES","")</f>
        <v/>
      </c>
      <c r="AO665" s="28" t="str">
        <f aca="false">IF(A665&lt;Hip4LaunchDate,"pre-launch","live (zero-fee)")</f>
        <v>pre-launch</v>
      </c>
      <c r="AP665" s="20"/>
      <c r="AQ665" s="20"/>
      <c r="AR665" s="20"/>
    </row>
    <row r="666" customFormat="false" ht="15" hidden="false" customHeight="false" outlineLevel="0" collapsed="false">
      <c r="A666" s="18" t="n">
        <v>45727</v>
      </c>
      <c r="B666" s="19" t="n">
        <v>8230997836.54</v>
      </c>
      <c r="C666" s="19" t="n">
        <v>0</v>
      </c>
      <c r="D666" s="19" t="n">
        <v>165879349</v>
      </c>
      <c r="E666" s="21" t="n">
        <f aca="false">B666+C666</f>
        <v>8230997836.54</v>
      </c>
      <c r="F666" s="21" t="n">
        <f aca="false">E666+D666</f>
        <v>8396877185.54</v>
      </c>
      <c r="G666" s="22" t="n">
        <f aca="false">IFERROR(C666/E666,0)</f>
        <v>0</v>
      </c>
      <c r="H666" s="19" t="n">
        <v>1863002</v>
      </c>
      <c r="I666" s="19" t="n">
        <v>24588</v>
      </c>
      <c r="J666" s="19" t="n">
        <v>57174</v>
      </c>
      <c r="K666" s="21" t="n">
        <f aca="false">H666+I666</f>
        <v>1887590</v>
      </c>
      <c r="L666" s="20"/>
      <c r="M666" s="21" t="n">
        <f aca="false">H666-L666</f>
        <v>1863002</v>
      </c>
      <c r="N666" s="23" t="n">
        <f aca="false">IFERROR(M666/B666*10000,0)</f>
        <v>2.2633975090232</v>
      </c>
      <c r="O666" s="19" t="n">
        <v>1807112</v>
      </c>
      <c r="P666" s="19" t="n">
        <v>23851</v>
      </c>
      <c r="Q666" s="21" t="n">
        <f aca="false">O666+P666</f>
        <v>1830963</v>
      </c>
      <c r="R666" s="22" t="n">
        <f aca="false">IF(A666&lt;HlpChangeDate,HlpSharePre,HlpSharePost)</f>
        <v>0.03</v>
      </c>
      <c r="S666" s="21" t="n">
        <f aca="false">Q666*R666/(1-R666)</f>
        <v>56627.7216494845</v>
      </c>
      <c r="T666" s="19" t="n">
        <v>57174</v>
      </c>
      <c r="U666" s="21" t="n">
        <f aca="false">S666-T666</f>
        <v>-546.278350515466</v>
      </c>
      <c r="V666" s="21" t="n">
        <f aca="false">Y666-O666*R666/(1-R666)</f>
        <v>-0.0618556701083435</v>
      </c>
      <c r="W666" s="21" t="n">
        <f aca="false">Z666-P666*R666/(1-R666)</f>
        <v>0.340206185567013</v>
      </c>
      <c r="X666" s="21" t="n">
        <f aca="false">S666+V666+W666</f>
        <v>56628</v>
      </c>
      <c r="Y666" s="19" t="n">
        <v>55890</v>
      </c>
      <c r="Z666" s="19" t="n">
        <v>738</v>
      </c>
      <c r="AA666" s="19" t="n">
        <v>1830963</v>
      </c>
      <c r="AB666" s="29" t="n">
        <v>13.772</v>
      </c>
      <c r="AC666" s="29" t="n">
        <v>13.729</v>
      </c>
      <c r="AD666" s="24" t="n">
        <f aca="false">IFERROR(AA666/AC666,0)</f>
        <v>133364.629616141</v>
      </c>
      <c r="AE666" s="25" t="n">
        <f aca="false">K666-Q666-X666</f>
        <v>-0.999999999992724</v>
      </c>
      <c r="AF666" s="25" t="n">
        <f aca="false">Q666-AA666</f>
        <v>0</v>
      </c>
      <c r="AG666" s="19" t="n">
        <v>1905813.51777101</v>
      </c>
      <c r="AH666" s="26" t="n">
        <f aca="false">IFERROR(AG666/Q666,0)</f>
        <v>1.04088040980129</v>
      </c>
      <c r="AI666" s="27" t="n">
        <v>351905660.377359</v>
      </c>
      <c r="AJ666" s="26" t="n">
        <f aca="false">IF(AI666&gt;0,AprCoef/SQRT(AI666),0)</f>
        <v>0.0252676711129923</v>
      </c>
      <c r="AK666" s="24" t="n">
        <f aca="false">AI666*AJ666/365</f>
        <v>24361.1958608643</v>
      </c>
      <c r="AL666" s="24" t="n">
        <f aca="false">AD666</f>
        <v>133364.629616141</v>
      </c>
      <c r="AM666" s="24" t="n">
        <f aca="false">AK666-AL666</f>
        <v>-109003.433755277</v>
      </c>
      <c r="AN666" s="28" t="str">
        <f aca="false">IF(A666&gt;=Hip3LaunchDate,"YES","")</f>
        <v/>
      </c>
      <c r="AO666" s="28" t="str">
        <f aca="false">IF(A666&lt;Hip4LaunchDate,"pre-launch","live (zero-fee)")</f>
        <v>pre-launch</v>
      </c>
      <c r="AP666" s="20"/>
      <c r="AQ666" s="20"/>
      <c r="AR666" s="20"/>
    </row>
    <row r="667" customFormat="false" ht="15" hidden="false" customHeight="false" outlineLevel="0" collapsed="false">
      <c r="A667" s="18" t="n">
        <v>45728</v>
      </c>
      <c r="B667" s="19" t="n">
        <v>7385946216.24</v>
      </c>
      <c r="C667" s="19" t="n">
        <v>0</v>
      </c>
      <c r="D667" s="19" t="n">
        <v>179610161</v>
      </c>
      <c r="E667" s="21" t="n">
        <f aca="false">B667+C667</f>
        <v>7385946216.24</v>
      </c>
      <c r="F667" s="21" t="n">
        <f aca="false">E667+D667</f>
        <v>7565556377.24</v>
      </c>
      <c r="G667" s="22" t="n">
        <f aca="false">IFERROR(C667/E667,0)</f>
        <v>0</v>
      </c>
      <c r="H667" s="19" t="n">
        <v>1540013</v>
      </c>
      <c r="I667" s="19" t="n">
        <v>26516</v>
      </c>
      <c r="J667" s="19" t="n">
        <v>46996</v>
      </c>
      <c r="K667" s="21" t="n">
        <f aca="false">H667+I667</f>
        <v>1566529</v>
      </c>
      <c r="L667" s="20"/>
      <c r="M667" s="21" t="n">
        <f aca="false">H667-L667</f>
        <v>1540013</v>
      </c>
      <c r="N667" s="23" t="n">
        <f aca="false">IFERROR(M667/B667*10000,0)</f>
        <v>2.08505850829764</v>
      </c>
      <c r="O667" s="19" t="n">
        <v>1493812</v>
      </c>
      <c r="P667" s="19" t="n">
        <v>25720</v>
      </c>
      <c r="Q667" s="21" t="n">
        <f aca="false">O667+P667</f>
        <v>1519532</v>
      </c>
      <c r="R667" s="22" t="n">
        <f aca="false">IF(A667&lt;HlpChangeDate,HlpSharePre,HlpSharePost)</f>
        <v>0.03</v>
      </c>
      <c r="S667" s="21" t="n">
        <f aca="false">Q667*R667/(1-R667)</f>
        <v>46995.8350515464</v>
      </c>
      <c r="T667" s="19" t="n">
        <v>46996</v>
      </c>
      <c r="U667" s="21" t="n">
        <f aca="false">S667-T667</f>
        <v>-0.164948453610123</v>
      </c>
      <c r="V667" s="21" t="n">
        <f aca="false">Y667-O667*R667/(1-R667)</f>
        <v>-0.371134020620957</v>
      </c>
      <c r="W667" s="21" t="n">
        <f aca="false">Z667-P667*R667/(1-R667)</f>
        <v>-0.46391752577324</v>
      </c>
      <c r="X667" s="21" t="n">
        <f aca="false">S667+V667+W667</f>
        <v>46995</v>
      </c>
      <c r="Y667" s="19" t="n">
        <v>46200</v>
      </c>
      <c r="Z667" s="19" t="n">
        <v>795</v>
      </c>
      <c r="AA667" s="19" t="n">
        <v>1519532</v>
      </c>
      <c r="AB667" s="29" t="n">
        <v>13.163</v>
      </c>
      <c r="AC667" s="29" t="n">
        <v>13.4095</v>
      </c>
      <c r="AD667" s="24" t="n">
        <f aca="false">IFERROR(AA667/AC667,0)</f>
        <v>113317.573362169</v>
      </c>
      <c r="AE667" s="25" t="n">
        <f aca="false">K667-Q667-X667</f>
        <v>2.00000000000728</v>
      </c>
      <c r="AF667" s="25" t="n">
        <f aca="false">Q667-AA667</f>
        <v>0</v>
      </c>
      <c r="AG667" s="19" t="n">
        <v>1566528.03462699</v>
      </c>
      <c r="AH667" s="26" t="n">
        <f aca="false">IFERROR(AG667/Q667,0)</f>
        <v>1.03092796639162</v>
      </c>
      <c r="AI667" s="27" t="n">
        <v>352622641.509434</v>
      </c>
      <c r="AJ667" s="26" t="n">
        <f aca="false">IF(AI667&gt;0,AprCoef/SQRT(AI667),0)</f>
        <v>0.0252419698963973</v>
      </c>
      <c r="AK667" s="24" t="n">
        <f aca="false">AI667*AJ667/365</f>
        <v>24386.0002788198</v>
      </c>
      <c r="AL667" s="24" t="n">
        <f aca="false">AD667</f>
        <v>113317.573362169</v>
      </c>
      <c r="AM667" s="24" t="n">
        <f aca="false">AK667-AL667</f>
        <v>-88931.5730833488</v>
      </c>
      <c r="AN667" s="28" t="str">
        <f aca="false">IF(A667&gt;=Hip3LaunchDate,"YES","")</f>
        <v/>
      </c>
      <c r="AO667" s="28" t="str">
        <f aca="false">IF(A667&lt;Hip4LaunchDate,"pre-launch","live (zero-fee)")</f>
        <v>pre-launch</v>
      </c>
      <c r="AP667" s="20"/>
      <c r="AQ667" s="20"/>
      <c r="AR667" s="20"/>
    </row>
    <row r="668" customFormat="false" ht="15" hidden="false" customHeight="false" outlineLevel="0" collapsed="false">
      <c r="A668" s="18" t="n">
        <v>45729</v>
      </c>
      <c r="B668" s="19" t="n">
        <v>4794383453.13</v>
      </c>
      <c r="C668" s="19" t="n">
        <v>0</v>
      </c>
      <c r="D668" s="19" t="n">
        <v>144019081</v>
      </c>
      <c r="E668" s="21" t="n">
        <f aca="false">B668+C668</f>
        <v>4794383453.13</v>
      </c>
      <c r="F668" s="21" t="n">
        <f aca="false">E668+D668</f>
        <v>4938402534.13</v>
      </c>
      <c r="G668" s="22" t="n">
        <f aca="false">IFERROR(C668/E668,0)</f>
        <v>0</v>
      </c>
      <c r="H668" s="19" t="n">
        <v>1114147</v>
      </c>
      <c r="I668" s="19" t="n">
        <v>21681</v>
      </c>
      <c r="J668" s="19" t="n">
        <v>33865</v>
      </c>
      <c r="K668" s="21" t="n">
        <f aca="false">H668+I668</f>
        <v>1135828</v>
      </c>
      <c r="L668" s="20"/>
      <c r="M668" s="21" t="n">
        <f aca="false">H668-L668</f>
        <v>1114147</v>
      </c>
      <c r="N668" s="23" t="n">
        <f aca="false">IFERROR(M668/B668*10000,0)</f>
        <v>2.323858762846</v>
      </c>
      <c r="O668" s="19" t="n">
        <v>1080722</v>
      </c>
      <c r="P668" s="19" t="n">
        <v>21030</v>
      </c>
      <c r="Q668" s="21" t="n">
        <f aca="false">O668+P668</f>
        <v>1101752</v>
      </c>
      <c r="R668" s="22" t="n">
        <f aca="false">IF(A668&lt;HlpChangeDate,HlpSharePre,HlpSharePost)</f>
        <v>0.03</v>
      </c>
      <c r="S668" s="21" t="n">
        <f aca="false">Q668*R668/(1-R668)</f>
        <v>34074.8041237113</v>
      </c>
      <c r="T668" s="19" t="n">
        <v>33865</v>
      </c>
      <c r="U668" s="21" t="n">
        <f aca="false">S668-T668</f>
        <v>209.804123711336</v>
      </c>
      <c r="V668" s="21" t="n">
        <f aca="false">Y668-O668*R668/(1-R668)</f>
        <v>-0.391752577321313</v>
      </c>
      <c r="W668" s="21" t="n">
        <f aca="false">Z668-P668*R668/(1-R668)</f>
        <v>-0.412371134020646</v>
      </c>
      <c r="X668" s="21" t="n">
        <f aca="false">S668+V668+W668</f>
        <v>34074</v>
      </c>
      <c r="Y668" s="19" t="n">
        <v>33424</v>
      </c>
      <c r="Z668" s="19" t="n">
        <v>650</v>
      </c>
      <c r="AA668" s="19" t="n">
        <v>1101752</v>
      </c>
      <c r="AB668" s="29" t="n">
        <v>12.323</v>
      </c>
      <c r="AC668" s="29" t="n">
        <v>12.795</v>
      </c>
      <c r="AD668" s="24" t="n">
        <f aca="false">IFERROR(AA668/AC668,0)</f>
        <v>86108.0109417741</v>
      </c>
      <c r="AE668" s="25" t="n">
        <f aca="false">K668-Q668-X668</f>
        <v>2.00000000000728</v>
      </c>
      <c r="AF668" s="25" t="n">
        <f aca="false">Q668-AA668</f>
        <v>0</v>
      </c>
      <c r="AG668" s="19" t="n">
        <v>1128839.83118001</v>
      </c>
      <c r="AH668" s="26" t="n">
        <f aca="false">IFERROR(AG668/Q668,0)</f>
        <v>1.02458614205375</v>
      </c>
      <c r="AI668" s="27" t="n">
        <v>353339622.641509</v>
      </c>
      <c r="AJ668" s="26" t="n">
        <f aca="false">IF(AI668&gt;0,AprCoef/SQRT(AI668),0)</f>
        <v>0.0252163469471979</v>
      </c>
      <c r="AK668" s="24" t="n">
        <f aca="false">AI668*AJ668/365</f>
        <v>24410.7794923843</v>
      </c>
      <c r="AL668" s="24" t="n">
        <f aca="false">AD668</f>
        <v>86108.0109417741</v>
      </c>
      <c r="AM668" s="24" t="n">
        <f aca="false">AK668-AL668</f>
        <v>-61697.2314493898</v>
      </c>
      <c r="AN668" s="28" t="str">
        <f aca="false">IF(A668&gt;=Hip3LaunchDate,"YES","")</f>
        <v/>
      </c>
      <c r="AO668" s="28" t="str">
        <f aca="false">IF(A668&lt;Hip4LaunchDate,"pre-launch","live (zero-fee)")</f>
        <v>pre-launch</v>
      </c>
      <c r="AP668" s="20"/>
      <c r="AQ668" s="20"/>
      <c r="AR668" s="20"/>
    </row>
    <row r="669" customFormat="false" ht="15" hidden="false" customHeight="false" outlineLevel="0" collapsed="false">
      <c r="A669" s="18" t="n">
        <v>45730</v>
      </c>
      <c r="B669" s="19" t="n">
        <v>4206697098.39</v>
      </c>
      <c r="C669" s="19" t="n">
        <v>0</v>
      </c>
      <c r="D669" s="19" t="n">
        <v>129815493</v>
      </c>
      <c r="E669" s="21" t="n">
        <f aca="false">B669+C669</f>
        <v>4206697098.39</v>
      </c>
      <c r="F669" s="21" t="n">
        <f aca="false">E669+D669</f>
        <v>4336512591.39</v>
      </c>
      <c r="G669" s="22" t="n">
        <f aca="false">IFERROR(C669/E669,0)</f>
        <v>0</v>
      </c>
      <c r="H669" s="19" t="n">
        <v>944786</v>
      </c>
      <c r="I669" s="19" t="n">
        <v>16728</v>
      </c>
      <c r="J669" s="19" t="n">
        <v>28909</v>
      </c>
      <c r="K669" s="21" t="n">
        <f aca="false">H669+I669</f>
        <v>961514</v>
      </c>
      <c r="L669" s="20"/>
      <c r="M669" s="21" t="n">
        <f aca="false">H669-L669</f>
        <v>944786</v>
      </c>
      <c r="N669" s="23" t="n">
        <f aca="false">IFERROR(M669/B669*10000,0)</f>
        <v>2.24590926777588</v>
      </c>
      <c r="O669" s="19" t="n">
        <v>916442</v>
      </c>
      <c r="P669" s="19" t="n">
        <v>16226</v>
      </c>
      <c r="Q669" s="21" t="n">
        <f aca="false">O669+P669</f>
        <v>932668</v>
      </c>
      <c r="R669" s="22" t="n">
        <f aca="false">IF(A669&lt;HlpChangeDate,HlpSharePre,HlpSharePost)</f>
        <v>0.03</v>
      </c>
      <c r="S669" s="21" t="n">
        <f aca="false">Q669*R669/(1-R669)</f>
        <v>28845.4020618557</v>
      </c>
      <c r="T669" s="19" t="n">
        <v>28909</v>
      </c>
      <c r="U669" s="21" t="n">
        <f aca="false">S669-T669</f>
        <v>-63.5979381443322</v>
      </c>
      <c r="V669" s="21" t="n">
        <f aca="false">Y669-O669*R669/(1-R669)</f>
        <v>0.432989690722025</v>
      </c>
      <c r="W669" s="21" t="n">
        <f aca="false">Z669-P669*R669/(1-R669)</f>
        <v>0.164948453608247</v>
      </c>
      <c r="X669" s="21" t="n">
        <f aca="false">S669+V669+W669</f>
        <v>28846</v>
      </c>
      <c r="Y669" s="19" t="n">
        <v>28344</v>
      </c>
      <c r="Z669" s="19" t="n">
        <v>502</v>
      </c>
      <c r="AA669" s="19" t="n">
        <v>932668</v>
      </c>
      <c r="AB669" s="29" t="n">
        <v>13.801</v>
      </c>
      <c r="AC669" s="29" t="n">
        <v>13.22825</v>
      </c>
      <c r="AD669" s="24" t="n">
        <f aca="false">IFERROR(AA669/AC669,0)</f>
        <v>70505.7736284089</v>
      </c>
      <c r="AE669" s="25" t="n">
        <f aca="false">K669-Q669-X669</f>
        <v>0</v>
      </c>
      <c r="AF669" s="25" t="n">
        <f aca="false">Q669-AA669</f>
        <v>0</v>
      </c>
      <c r="AG669" s="19" t="n">
        <v>963621.702418</v>
      </c>
      <c r="AH669" s="26" t="n">
        <f aca="false">IFERROR(AG669/Q669,0)</f>
        <v>1.03318833970716</v>
      </c>
      <c r="AI669" s="27" t="n">
        <v>354056603.773585</v>
      </c>
      <c r="AJ669" s="26" t="n">
        <f aca="false">IF(AI669&gt;0,AprCoef/SQRT(AI669),0)</f>
        <v>0.0251908018689552</v>
      </c>
      <c r="AK669" s="24" t="n">
        <f aca="false">AI669*AJ669/365</f>
        <v>24435.5335782344</v>
      </c>
      <c r="AL669" s="24" t="n">
        <f aca="false">AD669</f>
        <v>70505.7736284089</v>
      </c>
      <c r="AM669" s="24" t="n">
        <f aca="false">AK669-AL669</f>
        <v>-46070.2400501745</v>
      </c>
      <c r="AN669" s="28" t="str">
        <f aca="false">IF(A669&gt;=Hip3LaunchDate,"YES","")</f>
        <v/>
      </c>
      <c r="AO669" s="28" t="str">
        <f aca="false">IF(A669&lt;Hip4LaunchDate,"pre-launch","live (zero-fee)")</f>
        <v>pre-launch</v>
      </c>
      <c r="AP669" s="20"/>
      <c r="AQ669" s="20"/>
      <c r="AR669" s="20"/>
    </row>
    <row r="670" customFormat="false" ht="15" hidden="false" customHeight="false" outlineLevel="0" collapsed="false">
      <c r="A670" s="18" t="n">
        <v>45731</v>
      </c>
      <c r="B670" s="19" t="n">
        <v>2136911541.36</v>
      </c>
      <c r="C670" s="19" t="n">
        <v>0</v>
      </c>
      <c r="D670" s="19" t="n">
        <v>57862220</v>
      </c>
      <c r="E670" s="21" t="n">
        <f aca="false">B670+C670</f>
        <v>2136911541.36</v>
      </c>
      <c r="F670" s="21" t="n">
        <f aca="false">E670+D670</f>
        <v>2194773761.36</v>
      </c>
      <c r="G670" s="22" t="n">
        <f aca="false">IFERROR(C670/E670,0)</f>
        <v>0</v>
      </c>
      <c r="H670" s="19" t="n">
        <v>614685</v>
      </c>
      <c r="I670" s="19" t="n">
        <v>7895</v>
      </c>
      <c r="J670" s="19" t="n">
        <v>18776</v>
      </c>
      <c r="K670" s="21" t="n">
        <f aca="false">H670+I670</f>
        <v>622580</v>
      </c>
      <c r="L670" s="20"/>
      <c r="M670" s="21" t="n">
        <f aca="false">H670-L670</f>
        <v>614685</v>
      </c>
      <c r="N670" s="23" t="n">
        <f aca="false">IFERROR(M670/B670*10000,0)</f>
        <v>2.87651120836193</v>
      </c>
      <c r="O670" s="19" t="n">
        <v>596245</v>
      </c>
      <c r="P670" s="19" t="n">
        <v>7658</v>
      </c>
      <c r="Q670" s="21" t="n">
        <f aca="false">O670+P670</f>
        <v>603903</v>
      </c>
      <c r="R670" s="22" t="n">
        <f aca="false">IF(A670&lt;HlpChangeDate,HlpSharePre,HlpSharePost)</f>
        <v>0.03</v>
      </c>
      <c r="S670" s="21" t="n">
        <f aca="false">Q670*R670/(1-R670)</f>
        <v>18677.412371134</v>
      </c>
      <c r="T670" s="19" t="n">
        <v>18776</v>
      </c>
      <c r="U670" s="21" t="n">
        <f aca="false">S670-T670</f>
        <v>-98.5876288659783</v>
      </c>
      <c r="V670" s="21" t="n">
        <f aca="false">Y670-O670*R670/(1-R670)</f>
        <v>0.432989690722025</v>
      </c>
      <c r="W670" s="21" t="n">
        <f aca="false">Z670-P670*R670/(1-R670)</f>
        <v>0.154639175257756</v>
      </c>
      <c r="X670" s="21" t="n">
        <f aca="false">S670+V670+W670</f>
        <v>18678</v>
      </c>
      <c r="Y670" s="19" t="n">
        <v>18441</v>
      </c>
      <c r="Z670" s="19" t="n">
        <v>237</v>
      </c>
      <c r="AA670" s="19" t="n">
        <v>603903</v>
      </c>
      <c r="AB670" s="29" t="n">
        <v>14.384</v>
      </c>
      <c r="AC670" s="29" t="n">
        <v>14.1855</v>
      </c>
      <c r="AD670" s="24" t="n">
        <f aca="false">IFERROR(AA670/AC670,0)</f>
        <v>42571.8515385429</v>
      </c>
      <c r="AE670" s="25" t="n">
        <f aca="false">K670-Q670-X670</f>
        <v>-1</v>
      </c>
      <c r="AF670" s="25" t="n">
        <f aca="false">Q670-AA670</f>
        <v>0</v>
      </c>
      <c r="AG670" s="19" t="n">
        <v>625850.633330017</v>
      </c>
      <c r="AH670" s="26" t="n">
        <f aca="false">IFERROR(AG670/Q670,0)</f>
        <v>1.03634297781269</v>
      </c>
      <c r="AI670" s="27" t="n">
        <v>354773584.90566</v>
      </c>
      <c r="AJ670" s="26" t="n">
        <f aca="false">IF(AI670&gt;0,AprCoef/SQRT(AI670),0)</f>
        <v>0.0251653342680362</v>
      </c>
      <c r="AK670" s="24" t="n">
        <f aca="false">AI670*AJ670/365</f>
        <v>24460.2626126588</v>
      </c>
      <c r="AL670" s="24" t="n">
        <f aca="false">AD670</f>
        <v>42571.8515385429</v>
      </c>
      <c r="AM670" s="24" t="n">
        <f aca="false">AK670-AL670</f>
        <v>-18111.5889258841</v>
      </c>
      <c r="AN670" s="28" t="str">
        <f aca="false">IF(A670&gt;=Hip3LaunchDate,"YES","")</f>
        <v/>
      </c>
      <c r="AO670" s="28" t="str">
        <f aca="false">IF(A670&lt;Hip4LaunchDate,"pre-launch","live (zero-fee)")</f>
        <v>pre-launch</v>
      </c>
      <c r="AP670" s="20"/>
      <c r="AQ670" s="20"/>
      <c r="AR670" s="20"/>
    </row>
    <row r="671" customFormat="false" ht="15" hidden="false" customHeight="false" outlineLevel="0" collapsed="false">
      <c r="A671" s="18" t="n">
        <v>45732</v>
      </c>
      <c r="B671" s="19" t="n">
        <v>3662298195.66</v>
      </c>
      <c r="C671" s="19" t="n">
        <v>0</v>
      </c>
      <c r="D671" s="19" t="n">
        <v>61473426</v>
      </c>
      <c r="E671" s="21" t="n">
        <f aca="false">B671+C671</f>
        <v>3662298195.66</v>
      </c>
      <c r="F671" s="21" t="n">
        <f aca="false">E671+D671</f>
        <v>3723771621.66</v>
      </c>
      <c r="G671" s="22" t="n">
        <f aca="false">IFERROR(C671/E671,0)</f>
        <v>0</v>
      </c>
      <c r="H671" s="19" t="n">
        <v>832729</v>
      </c>
      <c r="I671" s="19" t="n">
        <v>10659</v>
      </c>
      <c r="J671" s="19" t="n">
        <v>25302</v>
      </c>
      <c r="K671" s="21" t="n">
        <f aca="false">H671+I671</f>
        <v>843388</v>
      </c>
      <c r="L671" s="20"/>
      <c r="M671" s="21" t="n">
        <f aca="false">H671-L671</f>
        <v>832729</v>
      </c>
      <c r="N671" s="23" t="n">
        <f aca="false">IFERROR(M671/B671*10000,0)</f>
        <v>2.27378808472457</v>
      </c>
      <c r="O671" s="19" t="n">
        <v>807747</v>
      </c>
      <c r="P671" s="19" t="n">
        <v>10339</v>
      </c>
      <c r="Q671" s="21" t="n">
        <f aca="false">O671+P671</f>
        <v>818086</v>
      </c>
      <c r="R671" s="22" t="n">
        <f aca="false">IF(A671&lt;HlpChangeDate,HlpSharePre,HlpSharePost)</f>
        <v>0.03</v>
      </c>
      <c r="S671" s="21" t="n">
        <f aca="false">Q671*R671/(1-R671)</f>
        <v>25301.6288659794</v>
      </c>
      <c r="T671" s="19" t="n">
        <v>25302</v>
      </c>
      <c r="U671" s="21" t="n">
        <f aca="false">S671-T671</f>
        <v>-0.371134020620957</v>
      </c>
      <c r="V671" s="21" t="n">
        <f aca="false">Y671-O671*R671/(1-R671)</f>
        <v>0.134020618555951</v>
      </c>
      <c r="W671" s="21" t="n">
        <f aca="false">Z671-P671*R671/(1-R671)</f>
        <v>0.237113402061823</v>
      </c>
      <c r="X671" s="21" t="n">
        <f aca="false">S671+V671+W671</f>
        <v>25302</v>
      </c>
      <c r="Y671" s="19" t="n">
        <v>24982</v>
      </c>
      <c r="Z671" s="19" t="n">
        <v>320</v>
      </c>
      <c r="AA671" s="19" t="n">
        <v>818086</v>
      </c>
      <c r="AB671" s="29" t="n">
        <v>12.971</v>
      </c>
      <c r="AC671" s="29" t="n">
        <v>13.6435</v>
      </c>
      <c r="AD671" s="24" t="n">
        <f aca="false">IFERROR(AA671/AC671,0)</f>
        <v>59961.5934327702</v>
      </c>
      <c r="AE671" s="25" t="n">
        <f aca="false">K671-Q671-X671</f>
        <v>0</v>
      </c>
      <c r="AF671" s="25" t="n">
        <f aca="false">Q671-AA671</f>
        <v>0</v>
      </c>
      <c r="AG671" s="19" t="n">
        <v>760552.456948996</v>
      </c>
      <c r="AH671" s="26" t="n">
        <f aca="false">IFERROR(AG671/Q671,0)</f>
        <v>0.929672989085494</v>
      </c>
      <c r="AI671" s="27" t="n">
        <v>355490566.037736</v>
      </c>
      <c r="AJ671" s="26" t="n">
        <f aca="false">IF(AI671&gt;0,AprCoef/SQRT(AI671),0)</f>
        <v>0.0251399437535876</v>
      </c>
      <c r="AK671" s="24" t="n">
        <f aca="false">AI671*AJ671/365</f>
        <v>24484.9666715608</v>
      </c>
      <c r="AL671" s="24" t="n">
        <f aca="false">AD671</f>
        <v>59961.5934327702</v>
      </c>
      <c r="AM671" s="24" t="n">
        <f aca="false">AK671-AL671</f>
        <v>-35476.6267612094</v>
      </c>
      <c r="AN671" s="28" t="str">
        <f aca="false">IF(A671&gt;=Hip3LaunchDate,"YES","")</f>
        <v/>
      </c>
      <c r="AO671" s="28" t="str">
        <f aca="false">IF(A671&lt;Hip4LaunchDate,"pre-launch","live (zero-fee)")</f>
        <v>pre-launch</v>
      </c>
      <c r="AP671" s="20"/>
      <c r="AQ671" s="20"/>
      <c r="AR671" s="20"/>
    </row>
    <row r="672" customFormat="false" ht="15" hidden="false" customHeight="false" outlineLevel="0" collapsed="false">
      <c r="A672" s="18" t="n">
        <v>45733</v>
      </c>
      <c r="B672" s="19" t="n">
        <v>3724551748.31</v>
      </c>
      <c r="C672" s="19" t="n">
        <v>0</v>
      </c>
      <c r="D672" s="19" t="n">
        <v>62237612</v>
      </c>
      <c r="E672" s="21" t="n">
        <f aca="false">B672+C672</f>
        <v>3724551748.31</v>
      </c>
      <c r="F672" s="21" t="n">
        <f aca="false">E672+D672</f>
        <v>3786789360.31</v>
      </c>
      <c r="G672" s="22" t="n">
        <f aca="false">IFERROR(C672/E672,0)</f>
        <v>0</v>
      </c>
      <c r="H672" s="19" t="n">
        <v>801532</v>
      </c>
      <c r="I672" s="19" t="n">
        <v>8208</v>
      </c>
      <c r="J672" s="19" t="n">
        <v>24292</v>
      </c>
      <c r="K672" s="21" t="n">
        <f aca="false">H672+I672</f>
        <v>809740</v>
      </c>
      <c r="L672" s="20"/>
      <c r="M672" s="21" t="n">
        <f aca="false">H672-L672</f>
        <v>801532</v>
      </c>
      <c r="N672" s="23" t="n">
        <f aca="false">IFERROR(M672/B672*10000,0)</f>
        <v>2.1520227242478</v>
      </c>
      <c r="O672" s="19" t="n">
        <v>777486</v>
      </c>
      <c r="P672" s="19" t="n">
        <v>7961</v>
      </c>
      <c r="Q672" s="21" t="n">
        <f aca="false">O672+P672</f>
        <v>785447</v>
      </c>
      <c r="R672" s="22" t="n">
        <f aca="false">IF(A672&lt;HlpChangeDate,HlpSharePre,HlpSharePost)</f>
        <v>0.03</v>
      </c>
      <c r="S672" s="21" t="n">
        <f aca="false">Q672*R672/(1-R672)</f>
        <v>24292.175257732</v>
      </c>
      <c r="T672" s="19" t="n">
        <v>24292</v>
      </c>
      <c r="U672" s="21" t="n">
        <f aca="false">S672-T672</f>
        <v>0.175257731960301</v>
      </c>
      <c r="V672" s="21" t="n">
        <f aca="false">Y672-O672*R672/(1-R672)</f>
        <v>0.0412371134043497</v>
      </c>
      <c r="W672" s="21" t="n">
        <f aca="false">Z672-P672*R672/(1-R672)</f>
        <v>-0.216494845360813</v>
      </c>
      <c r="X672" s="21" t="n">
        <f aca="false">S672+V672+W672</f>
        <v>24292</v>
      </c>
      <c r="Y672" s="19" t="n">
        <v>24046</v>
      </c>
      <c r="Z672" s="19" t="n">
        <v>246</v>
      </c>
      <c r="AA672" s="19" t="n">
        <v>785447</v>
      </c>
      <c r="AB672" s="29" t="n">
        <v>13.241</v>
      </c>
      <c r="AC672" s="29" t="n">
        <v>13.307</v>
      </c>
      <c r="AD672" s="24" t="n">
        <f aca="false">IFERROR(AA672/AC672,0)</f>
        <v>59025.099571654</v>
      </c>
      <c r="AE672" s="25" t="n">
        <f aca="false">K672-Q672-X672</f>
        <v>0.999999999996362</v>
      </c>
      <c r="AF672" s="25" t="n">
        <f aca="false">Q672-AA672</f>
        <v>0</v>
      </c>
      <c r="AG672" s="19" t="n">
        <v>894181.870315999</v>
      </c>
      <c r="AH672" s="26" t="n">
        <f aca="false">IFERROR(AG672/Q672,0)</f>
        <v>1.13843692867373</v>
      </c>
      <c r="AI672" s="27" t="n">
        <v>356207547.169811</v>
      </c>
      <c r="AJ672" s="26" t="n">
        <f aca="false">IF(AI672&gt;0,AprCoef/SQRT(AI672),0)</f>
        <v>0.0251146299375113</v>
      </c>
      <c r="AK672" s="24" t="n">
        <f aca="false">AI672*AJ672/365</f>
        <v>24509.6458304614</v>
      </c>
      <c r="AL672" s="24" t="n">
        <f aca="false">AD672</f>
        <v>59025.099571654</v>
      </c>
      <c r="AM672" s="24" t="n">
        <f aca="false">AK672-AL672</f>
        <v>-34515.4537411926</v>
      </c>
      <c r="AN672" s="28" t="str">
        <f aca="false">IF(A672&gt;=Hip3LaunchDate,"YES","")</f>
        <v/>
      </c>
      <c r="AO672" s="28" t="str">
        <f aca="false">IF(A672&lt;Hip4LaunchDate,"pre-launch","live (zero-fee)")</f>
        <v>pre-launch</v>
      </c>
      <c r="AP672" s="20"/>
      <c r="AQ672" s="20"/>
      <c r="AR672" s="20"/>
    </row>
    <row r="673" customFormat="false" ht="15" hidden="false" customHeight="false" outlineLevel="0" collapsed="false">
      <c r="A673" s="18" t="n">
        <v>45734</v>
      </c>
      <c r="B673" s="19" t="n">
        <v>4923537604.5</v>
      </c>
      <c r="C673" s="19" t="n">
        <v>0</v>
      </c>
      <c r="D673" s="19" t="n">
        <v>57535112</v>
      </c>
      <c r="E673" s="21" t="n">
        <f aca="false">B673+C673</f>
        <v>4923537604.5</v>
      </c>
      <c r="F673" s="21" t="n">
        <f aca="false">E673+D673</f>
        <v>4981072716.5</v>
      </c>
      <c r="G673" s="22" t="n">
        <f aca="false">IFERROR(C673/E673,0)</f>
        <v>0</v>
      </c>
      <c r="H673" s="19" t="n">
        <v>1117474</v>
      </c>
      <c r="I673" s="19" t="n">
        <v>8169</v>
      </c>
      <c r="J673" s="19" t="n">
        <v>33579</v>
      </c>
      <c r="K673" s="21" t="n">
        <f aca="false">H673+I673</f>
        <v>1125643</v>
      </c>
      <c r="L673" s="20"/>
      <c r="M673" s="21" t="n">
        <f aca="false">H673-L673</f>
        <v>1117474</v>
      </c>
      <c r="N673" s="23" t="n">
        <f aca="false">IFERROR(M673/B673*10000,0)</f>
        <v>2.26965667730181</v>
      </c>
      <c r="O673" s="19" t="n">
        <v>1083950</v>
      </c>
      <c r="P673" s="19" t="n">
        <v>7924</v>
      </c>
      <c r="Q673" s="21" t="n">
        <f aca="false">O673+P673</f>
        <v>1091874</v>
      </c>
      <c r="R673" s="22" t="n">
        <f aca="false">IF(A673&lt;HlpChangeDate,HlpSharePre,HlpSharePost)</f>
        <v>0.03</v>
      </c>
      <c r="S673" s="21" t="n">
        <f aca="false">Q673*R673/(1-R673)</f>
        <v>33769.2989690722</v>
      </c>
      <c r="T673" s="19" t="n">
        <v>33579</v>
      </c>
      <c r="U673" s="21" t="n">
        <f aca="false">S673-T673</f>
        <v>190.298969072166</v>
      </c>
      <c r="V673" s="21" t="n">
        <f aca="false">Y673-O673*R673/(1-R673)</f>
        <v>-0.22680412371119</v>
      </c>
      <c r="W673" s="21" t="n">
        <f aca="false">Z673-P673*R673/(1-R673)</f>
        <v>-0.0721649484536044</v>
      </c>
      <c r="X673" s="21" t="n">
        <f aca="false">S673+V673+W673</f>
        <v>33769</v>
      </c>
      <c r="Y673" s="19" t="n">
        <v>33524</v>
      </c>
      <c r="Z673" s="19" t="n">
        <v>245</v>
      </c>
      <c r="AA673" s="19" t="n">
        <v>1091874</v>
      </c>
      <c r="AB673" s="29" t="n">
        <v>14.171</v>
      </c>
      <c r="AC673" s="29" t="n">
        <v>13.64875</v>
      </c>
      <c r="AD673" s="24" t="n">
        <f aca="false">IFERROR(AA673/AC673,0)</f>
        <v>79998.0950636505</v>
      </c>
      <c r="AE673" s="25" t="n">
        <f aca="false">K673-Q673-X673</f>
        <v>0</v>
      </c>
      <c r="AF673" s="25" t="n">
        <f aca="false">Q673-AA673</f>
        <v>0</v>
      </c>
      <c r="AG673" s="19" t="n">
        <v>1119293.97113499</v>
      </c>
      <c r="AH673" s="26" t="n">
        <f aca="false">IFERROR(AG673/Q673,0)</f>
        <v>1.02511276130303</v>
      </c>
      <c r="AI673" s="27" t="n">
        <v>356924528.301887</v>
      </c>
      <c r="AJ673" s="26" t="n">
        <f aca="false">IF(AI673&gt;0,AprCoef/SQRT(AI673),0)</f>
        <v>0.0250893924344391</v>
      </c>
      <c r="AK673" s="24" t="n">
        <f aca="false">AI673*AJ673/365</f>
        <v>24534.3001645017</v>
      </c>
      <c r="AL673" s="24" t="n">
        <f aca="false">AD673</f>
        <v>79998.0950636505</v>
      </c>
      <c r="AM673" s="24" t="n">
        <f aca="false">AK673-AL673</f>
        <v>-55463.7948991488</v>
      </c>
      <c r="AN673" s="28" t="str">
        <f aca="false">IF(A673&gt;=Hip3LaunchDate,"YES","")</f>
        <v/>
      </c>
      <c r="AO673" s="28" t="str">
        <f aca="false">IF(A673&lt;Hip4LaunchDate,"pre-launch","live (zero-fee)")</f>
        <v>pre-launch</v>
      </c>
      <c r="AP673" s="20"/>
      <c r="AQ673" s="20"/>
      <c r="AR673" s="20"/>
    </row>
    <row r="674" customFormat="false" ht="15" hidden="false" customHeight="false" outlineLevel="0" collapsed="false">
      <c r="A674" s="18" t="n">
        <v>45735</v>
      </c>
      <c r="B674" s="19" t="n">
        <v>5936470683.99</v>
      </c>
      <c r="C674" s="19" t="n">
        <v>0</v>
      </c>
      <c r="D674" s="19" t="n">
        <v>135305314</v>
      </c>
      <c r="E674" s="21" t="n">
        <f aca="false">B674+C674</f>
        <v>5936470683.99</v>
      </c>
      <c r="F674" s="21" t="n">
        <f aca="false">E674+D674</f>
        <v>6071775997.99</v>
      </c>
      <c r="G674" s="22" t="n">
        <f aca="false">IFERROR(C674/E674,0)</f>
        <v>0</v>
      </c>
      <c r="H674" s="19" t="n">
        <v>1391797</v>
      </c>
      <c r="I674" s="19" t="n">
        <v>18478</v>
      </c>
      <c r="J674" s="19" t="n">
        <v>42499</v>
      </c>
      <c r="K674" s="21" t="n">
        <f aca="false">H674+I674</f>
        <v>1410275</v>
      </c>
      <c r="L674" s="20"/>
      <c r="M674" s="21" t="n">
        <f aca="false">H674-L674</f>
        <v>1391797</v>
      </c>
      <c r="N674" s="23" t="n">
        <f aca="false">IFERROR(M674/B674*10000,0)</f>
        <v>2.34448559436758</v>
      </c>
      <c r="O674" s="19" t="n">
        <v>1350043</v>
      </c>
      <c r="P674" s="19" t="n">
        <v>17924</v>
      </c>
      <c r="Q674" s="21" t="n">
        <f aca="false">O674+P674</f>
        <v>1367967</v>
      </c>
      <c r="R674" s="22" t="n">
        <f aca="false">IF(A674&lt;HlpChangeDate,HlpSharePre,HlpSharePost)</f>
        <v>0.03</v>
      </c>
      <c r="S674" s="21" t="n">
        <f aca="false">Q674*R674/(1-R674)</f>
        <v>42308.2577319588</v>
      </c>
      <c r="T674" s="19" t="n">
        <v>42499</v>
      </c>
      <c r="U674" s="21" t="n">
        <f aca="false">S674-T674</f>
        <v>-190.742268041235</v>
      </c>
      <c r="V674" s="21" t="n">
        <f aca="false">Y674-O674*R674/(1-R674)</f>
        <v>0.0927835051552393</v>
      </c>
      <c r="W674" s="21" t="n">
        <f aca="false">Z674-P674*R674/(1-R674)</f>
        <v>-0.350515463917532</v>
      </c>
      <c r="X674" s="21" t="n">
        <f aca="false">S674+V674+W674</f>
        <v>42308</v>
      </c>
      <c r="Y674" s="19" t="n">
        <v>41754</v>
      </c>
      <c r="Z674" s="19" t="n">
        <v>554</v>
      </c>
      <c r="AA674" s="19" t="n">
        <v>1367967</v>
      </c>
      <c r="AB674" s="29" t="n">
        <v>15.618</v>
      </c>
      <c r="AC674" s="29" t="n">
        <v>14.85075</v>
      </c>
      <c r="AD674" s="24" t="n">
        <f aca="false">IFERROR(AA674/AC674,0)</f>
        <v>92114.3376597142</v>
      </c>
      <c r="AE674" s="25" t="n">
        <f aca="false">K674-Q674-X674</f>
        <v>0</v>
      </c>
      <c r="AF674" s="25" t="n">
        <f aca="false">Q674-AA674</f>
        <v>0</v>
      </c>
      <c r="AG674" s="19" t="n">
        <v>1416624.397508</v>
      </c>
      <c r="AH674" s="26" t="n">
        <f aca="false">IFERROR(AG674/Q674,0)</f>
        <v>1.03556913105944</v>
      </c>
      <c r="AI674" s="27" t="n">
        <v>357641509.433962</v>
      </c>
      <c r="AJ674" s="26" t="n">
        <f aca="false">IF(AI674&gt;0,AprCoef/SQRT(AI674),0)</f>
        <v>0.0250642308617081</v>
      </c>
      <c r="AK674" s="24" t="n">
        <f aca="false">AI674*AJ674/365</f>
        <v>24558.9297484454</v>
      </c>
      <c r="AL674" s="24" t="n">
        <f aca="false">AD674</f>
        <v>92114.3376597142</v>
      </c>
      <c r="AM674" s="24" t="n">
        <f aca="false">AK674-AL674</f>
        <v>-67555.4079112687</v>
      </c>
      <c r="AN674" s="28" t="str">
        <f aca="false">IF(A674&gt;=Hip3LaunchDate,"YES","")</f>
        <v/>
      </c>
      <c r="AO674" s="28" t="str">
        <f aca="false">IF(A674&lt;Hip4LaunchDate,"pre-launch","live (zero-fee)")</f>
        <v>pre-launch</v>
      </c>
      <c r="AP674" s="20"/>
      <c r="AQ674" s="20"/>
      <c r="AR674" s="20"/>
    </row>
    <row r="675" customFormat="false" ht="15" hidden="false" customHeight="false" outlineLevel="0" collapsed="false">
      <c r="A675" s="18" t="n">
        <v>45736</v>
      </c>
      <c r="B675" s="19" t="n">
        <v>4798349094.55</v>
      </c>
      <c r="C675" s="19" t="n">
        <v>0</v>
      </c>
      <c r="D675" s="19" t="n">
        <v>84104047</v>
      </c>
      <c r="E675" s="21" t="n">
        <f aca="false">B675+C675</f>
        <v>4798349094.55</v>
      </c>
      <c r="F675" s="21" t="n">
        <f aca="false">E675+D675</f>
        <v>4882453141.55</v>
      </c>
      <c r="G675" s="22" t="n">
        <f aca="false">IFERROR(C675/E675,0)</f>
        <v>0</v>
      </c>
      <c r="H675" s="19" t="n">
        <v>1147968</v>
      </c>
      <c r="I675" s="19" t="n">
        <v>14033</v>
      </c>
      <c r="J675" s="19" t="n">
        <v>34860</v>
      </c>
      <c r="K675" s="21" t="n">
        <f aca="false">H675+I675</f>
        <v>1162001</v>
      </c>
      <c r="L675" s="20"/>
      <c r="M675" s="21" t="n">
        <f aca="false">H675-L675</f>
        <v>1147968</v>
      </c>
      <c r="N675" s="23" t="n">
        <f aca="false">IFERROR(M675/B675*10000,0)</f>
        <v>2.39242284664922</v>
      </c>
      <c r="O675" s="19" t="n">
        <v>1113529</v>
      </c>
      <c r="P675" s="19" t="n">
        <v>13612</v>
      </c>
      <c r="Q675" s="21" t="n">
        <f aca="false">O675+P675</f>
        <v>1127141</v>
      </c>
      <c r="R675" s="22" t="n">
        <f aca="false">IF(A675&lt;HlpChangeDate,HlpSharePre,HlpSharePost)</f>
        <v>0.03</v>
      </c>
      <c r="S675" s="21" t="n">
        <f aca="false">Q675*R675/(1-R675)</f>
        <v>34860.0309278351</v>
      </c>
      <c r="T675" s="19" t="n">
        <v>34860</v>
      </c>
      <c r="U675" s="21" t="n">
        <f aca="false">S675-T675</f>
        <v>0.0309278350468958</v>
      </c>
      <c r="V675" s="21" t="n">
        <f aca="false">Y675-O675*R675/(1-R675)</f>
        <v>-0.0412371134007117</v>
      </c>
      <c r="W675" s="21" t="n">
        <f aca="false">Z675-P675*R675/(1-R675)</f>
        <v>0.0103092783505758</v>
      </c>
      <c r="X675" s="21" t="n">
        <f aca="false">S675+V675+W675</f>
        <v>34860</v>
      </c>
      <c r="Y675" s="19" t="n">
        <v>34439</v>
      </c>
      <c r="Z675" s="19" t="n">
        <v>421</v>
      </c>
      <c r="AA675" s="19" t="n">
        <v>1127141</v>
      </c>
      <c r="AB675" s="29" t="n">
        <v>14.147</v>
      </c>
      <c r="AC675" s="29" t="n">
        <v>14.878</v>
      </c>
      <c r="AD675" s="24" t="n">
        <f aca="false">IFERROR(AA675/AC675,0)</f>
        <v>75758.9057669042</v>
      </c>
      <c r="AE675" s="25" t="n">
        <f aca="false">K675-Q675-X675</f>
        <v>0</v>
      </c>
      <c r="AF675" s="25" t="n">
        <f aca="false">Q675-AA675</f>
        <v>0</v>
      </c>
      <c r="AG675" s="19" t="n">
        <v>1162000.481677</v>
      </c>
      <c r="AH675" s="26" t="n">
        <f aca="false">IFERROR(AG675/Q675,0)</f>
        <v>1.03092734775596</v>
      </c>
      <c r="AI675" s="27" t="n">
        <v>358358490.566038</v>
      </c>
      <c r="AJ675" s="26" t="n">
        <f aca="false">IF(AI675&gt;0,AprCoef/SQRT(AI675),0)</f>
        <v>0.0250391448393363</v>
      </c>
      <c r="AK675" s="24" t="n">
        <f aca="false">AI675*AJ675/365</f>
        <v>24583.5346566821</v>
      </c>
      <c r="AL675" s="24" t="n">
        <f aca="false">AD675</f>
        <v>75758.9057669042</v>
      </c>
      <c r="AM675" s="24" t="n">
        <f aca="false">AK675-AL675</f>
        <v>-51175.3711102221</v>
      </c>
      <c r="AN675" s="28" t="str">
        <f aca="false">IF(A675&gt;=Hip3LaunchDate,"YES","")</f>
        <v/>
      </c>
      <c r="AO675" s="28" t="str">
        <f aca="false">IF(A675&lt;Hip4LaunchDate,"pre-launch","live (zero-fee)")</f>
        <v>pre-launch</v>
      </c>
      <c r="AP675" s="20"/>
      <c r="AQ675" s="20"/>
      <c r="AR675" s="20"/>
    </row>
    <row r="676" customFormat="false" ht="15" hidden="false" customHeight="false" outlineLevel="0" collapsed="false">
      <c r="A676" s="18" t="n">
        <v>45737</v>
      </c>
      <c r="B676" s="19" t="n">
        <v>3535282613.28</v>
      </c>
      <c r="C676" s="19" t="n">
        <v>0</v>
      </c>
      <c r="D676" s="19" t="n">
        <v>96389184</v>
      </c>
      <c r="E676" s="21" t="n">
        <f aca="false">B676+C676</f>
        <v>3535282613.28</v>
      </c>
      <c r="F676" s="21" t="n">
        <f aca="false">E676+D676</f>
        <v>3631671797.28</v>
      </c>
      <c r="G676" s="22" t="n">
        <f aca="false">IFERROR(C676/E676,0)</f>
        <v>0</v>
      </c>
      <c r="H676" s="19" t="n">
        <v>846172</v>
      </c>
      <c r="I676" s="19" t="n">
        <v>12366</v>
      </c>
      <c r="J676" s="19" t="n">
        <v>25756</v>
      </c>
      <c r="K676" s="21" t="n">
        <f aca="false">H676+I676</f>
        <v>858538</v>
      </c>
      <c r="L676" s="20"/>
      <c r="M676" s="21" t="n">
        <f aca="false">H676-L676</f>
        <v>846172</v>
      </c>
      <c r="N676" s="23" t="n">
        <f aca="false">IFERROR(M676/B676*10000,0)</f>
        <v>2.39350595853758</v>
      </c>
      <c r="O676" s="19" t="n">
        <v>820786</v>
      </c>
      <c r="P676" s="19" t="n">
        <v>11995</v>
      </c>
      <c r="Q676" s="21" t="n">
        <f aca="false">O676+P676</f>
        <v>832781</v>
      </c>
      <c r="R676" s="22" t="n">
        <f aca="false">IF(A676&lt;HlpChangeDate,HlpSharePre,HlpSharePost)</f>
        <v>0.03</v>
      </c>
      <c r="S676" s="21" t="n">
        <f aca="false">Q676*R676/(1-R676)</f>
        <v>25756.1134020619</v>
      </c>
      <c r="T676" s="19" t="n">
        <v>25756</v>
      </c>
      <c r="U676" s="21" t="n">
        <f aca="false">S676-T676</f>
        <v>0.113402061855595</v>
      </c>
      <c r="V676" s="21" t="n">
        <f aca="false">Y676-O676*R676/(1-R676)</f>
        <v>-0.134020618555951</v>
      </c>
      <c r="W676" s="21" t="n">
        <f aca="false">Z676-P676*R676/(1-R676)</f>
        <v>0.020618556701038</v>
      </c>
      <c r="X676" s="21" t="n">
        <f aca="false">S676+V676+W676</f>
        <v>25756</v>
      </c>
      <c r="Y676" s="19" t="n">
        <v>25385</v>
      </c>
      <c r="Z676" s="19" t="n">
        <v>371</v>
      </c>
      <c r="AA676" s="19" t="n">
        <v>832781</v>
      </c>
      <c r="AB676" s="29" t="n">
        <v>15.931</v>
      </c>
      <c r="AC676" s="29" t="n">
        <v>14.976</v>
      </c>
      <c r="AD676" s="24" t="n">
        <f aca="false">IFERROR(AA676/AC676,0)</f>
        <v>55607.7056623932</v>
      </c>
      <c r="AE676" s="25" t="n">
        <f aca="false">K676-Q676-X676</f>
        <v>1</v>
      </c>
      <c r="AF676" s="25" t="n">
        <f aca="false">Q676-AA676</f>
        <v>0</v>
      </c>
      <c r="AG676" s="19" t="n">
        <v>858538.016078025</v>
      </c>
      <c r="AH676" s="26" t="n">
        <f aca="false">IFERROR(AG676/Q676,0)</f>
        <v>1.03092891898113</v>
      </c>
      <c r="AI676" s="27" t="n">
        <v>359075471.698113</v>
      </c>
      <c r="AJ676" s="26" t="n">
        <f aca="false">IF(AI676&gt;0,AprCoef/SQRT(AI676),0)</f>
        <v>0.0250141339899988</v>
      </c>
      <c r="AK676" s="24" t="n">
        <f aca="false">AI676*AJ676/365</f>
        <v>24608.1149632291</v>
      </c>
      <c r="AL676" s="24" t="n">
        <f aca="false">AD676</f>
        <v>55607.7056623932</v>
      </c>
      <c r="AM676" s="24" t="n">
        <f aca="false">AK676-AL676</f>
        <v>-30999.5906991641</v>
      </c>
      <c r="AN676" s="28" t="str">
        <f aca="false">IF(A676&gt;=Hip3LaunchDate,"YES","")</f>
        <v/>
      </c>
      <c r="AO676" s="28" t="str">
        <f aca="false">IF(A676&lt;Hip4LaunchDate,"pre-launch","live (zero-fee)")</f>
        <v>pre-launch</v>
      </c>
      <c r="AP676" s="20"/>
      <c r="AQ676" s="20"/>
      <c r="AR676" s="20"/>
    </row>
    <row r="677" customFormat="false" ht="15" hidden="false" customHeight="false" outlineLevel="0" collapsed="false">
      <c r="A677" s="18" t="n">
        <v>45738</v>
      </c>
      <c r="B677" s="19" t="n">
        <v>2045427812.07</v>
      </c>
      <c r="C677" s="19" t="n">
        <v>0</v>
      </c>
      <c r="D677" s="19" t="n">
        <v>50878685</v>
      </c>
      <c r="E677" s="21" t="n">
        <f aca="false">B677+C677</f>
        <v>2045427812.07</v>
      </c>
      <c r="F677" s="21" t="n">
        <f aca="false">E677+D677</f>
        <v>2096306497.07</v>
      </c>
      <c r="G677" s="22" t="n">
        <f aca="false">IFERROR(C677/E677,0)</f>
        <v>0</v>
      </c>
      <c r="H677" s="19" t="n">
        <v>520879</v>
      </c>
      <c r="I677" s="19" t="n">
        <v>8437</v>
      </c>
      <c r="J677" s="19" t="n">
        <v>15880</v>
      </c>
      <c r="K677" s="21" t="n">
        <f aca="false">H677+I677</f>
        <v>529316</v>
      </c>
      <c r="L677" s="20"/>
      <c r="M677" s="21" t="n">
        <f aca="false">H677-L677</f>
        <v>520879</v>
      </c>
      <c r="N677" s="23" t="n">
        <f aca="false">IFERROR(M677/B677*10000,0)</f>
        <v>2.54655283812174</v>
      </c>
      <c r="O677" s="19" t="n">
        <v>505253</v>
      </c>
      <c r="P677" s="19" t="n">
        <v>8184</v>
      </c>
      <c r="Q677" s="21" t="n">
        <f aca="false">O677+P677</f>
        <v>513437</v>
      </c>
      <c r="R677" s="22" t="n">
        <f aca="false">IF(A677&lt;HlpChangeDate,HlpSharePre,HlpSharePost)</f>
        <v>0.03</v>
      </c>
      <c r="S677" s="21" t="n">
        <f aca="false">Q677*R677/(1-R677)</f>
        <v>15879.4948453608</v>
      </c>
      <c r="T677" s="19" t="n">
        <v>15880</v>
      </c>
      <c r="U677" s="21" t="n">
        <f aca="false">S677-T677</f>
        <v>-0.505154639176908</v>
      </c>
      <c r="V677" s="21" t="n">
        <f aca="false">Y677-O677*R677/(1-R677)</f>
        <v>-0.381443298969316</v>
      </c>
      <c r="W677" s="21" t="n">
        <f aca="false">Z677-P677*R677/(1-R677)</f>
        <v>-0.113402061855652</v>
      </c>
      <c r="X677" s="21" t="n">
        <f aca="false">S677+V677+W677</f>
        <v>15879</v>
      </c>
      <c r="Y677" s="19" t="n">
        <v>15626</v>
      </c>
      <c r="Z677" s="19" t="n">
        <v>253</v>
      </c>
      <c r="AA677" s="19" t="n">
        <v>513437</v>
      </c>
      <c r="AB677" s="29" t="n">
        <v>15.575</v>
      </c>
      <c r="AC677" s="29" t="n">
        <v>15.919</v>
      </c>
      <c r="AD677" s="24" t="n">
        <f aca="false">IFERROR(AA677/AC677,0)</f>
        <v>32253.0937872982</v>
      </c>
      <c r="AE677" s="25" t="n">
        <f aca="false">K677-Q677-X677</f>
        <v>0</v>
      </c>
      <c r="AF677" s="25" t="n">
        <f aca="false">Q677-AA677</f>
        <v>0</v>
      </c>
      <c r="AG677" s="19" t="n">
        <v>529316.899140984</v>
      </c>
      <c r="AH677" s="26" t="n">
        <f aca="false">IFERROR(AG677/Q677,0)</f>
        <v>1.0309286224814</v>
      </c>
      <c r="AI677" s="27" t="n">
        <v>359792452.830189</v>
      </c>
      <c r="AJ677" s="26" t="n">
        <f aca="false">IF(AI677&gt;0,AprCoef/SQRT(AI677),0)</f>
        <v>0.0249891979390035</v>
      </c>
      <c r="AK677" s="24" t="n">
        <f aca="false">AI677*AJ677/365</f>
        <v>24632.6707417347</v>
      </c>
      <c r="AL677" s="24" t="n">
        <f aca="false">AD677</f>
        <v>32253.0937872982</v>
      </c>
      <c r="AM677" s="24" t="n">
        <f aca="false">AK677-AL677</f>
        <v>-7620.42304556353</v>
      </c>
      <c r="AN677" s="28" t="str">
        <f aca="false">IF(A677&gt;=Hip3LaunchDate,"YES","")</f>
        <v/>
      </c>
      <c r="AO677" s="28" t="str">
        <f aca="false">IF(A677&lt;Hip4LaunchDate,"pre-launch","live (zero-fee)")</f>
        <v>pre-launch</v>
      </c>
      <c r="AP677" s="20"/>
      <c r="AQ677" s="20"/>
      <c r="AR677" s="20"/>
    </row>
    <row r="678" customFormat="false" ht="15" hidden="false" customHeight="false" outlineLevel="0" collapsed="false">
      <c r="A678" s="18" t="n">
        <v>45739</v>
      </c>
      <c r="B678" s="19" t="n">
        <v>2462791312.63</v>
      </c>
      <c r="C678" s="19" t="n">
        <v>0</v>
      </c>
      <c r="D678" s="19" t="n">
        <v>48432865</v>
      </c>
      <c r="E678" s="21" t="n">
        <f aca="false">B678+C678</f>
        <v>2462791312.63</v>
      </c>
      <c r="F678" s="21" t="n">
        <f aca="false">E678+D678</f>
        <v>2511224177.63</v>
      </c>
      <c r="G678" s="22" t="n">
        <f aca="false">IFERROR(C678/E678,0)</f>
        <v>0</v>
      </c>
      <c r="H678" s="19" t="n">
        <v>565355</v>
      </c>
      <c r="I678" s="19" t="n">
        <v>6558</v>
      </c>
      <c r="J678" s="19" t="n">
        <v>16775</v>
      </c>
      <c r="K678" s="21" t="n">
        <f aca="false">H678+I678</f>
        <v>571913</v>
      </c>
      <c r="L678" s="20"/>
      <c r="M678" s="21" t="n">
        <f aca="false">H678-L678</f>
        <v>565355</v>
      </c>
      <c r="N678" s="23" t="n">
        <f aca="false">IFERROR(M678/B678*10000,0)</f>
        <v>2.29558630120496</v>
      </c>
      <c r="O678" s="19" t="n">
        <v>548395</v>
      </c>
      <c r="P678" s="19" t="n">
        <v>6361</v>
      </c>
      <c r="Q678" s="21" t="n">
        <f aca="false">O678+P678</f>
        <v>554756</v>
      </c>
      <c r="R678" s="22" t="n">
        <f aca="false">IF(A678&lt;HlpChangeDate,HlpSharePre,HlpSharePost)</f>
        <v>0.03</v>
      </c>
      <c r="S678" s="21" t="n">
        <f aca="false">Q678*R678/(1-R678)</f>
        <v>17157.4020618557</v>
      </c>
      <c r="T678" s="19" t="n">
        <v>16775</v>
      </c>
      <c r="U678" s="21" t="n">
        <f aca="false">S678-T678</f>
        <v>382.402061855672</v>
      </c>
      <c r="V678" s="21" t="n">
        <f aca="false">Y678-O678*R678/(1-R678)</f>
        <v>0.329896907216607</v>
      </c>
      <c r="W678" s="21" t="n">
        <f aca="false">Z678-P678*R678/(1-R678)</f>
        <v>0.268041237113408</v>
      </c>
      <c r="X678" s="21" t="n">
        <f aca="false">S678+V678+W678</f>
        <v>17158</v>
      </c>
      <c r="Y678" s="19" t="n">
        <v>16961</v>
      </c>
      <c r="Z678" s="19" t="n">
        <v>197</v>
      </c>
      <c r="AA678" s="19" t="n">
        <v>554756</v>
      </c>
      <c r="AB678" s="29" t="n">
        <v>16.291</v>
      </c>
      <c r="AC678" s="29" t="n">
        <v>15.91975</v>
      </c>
      <c r="AD678" s="24" t="n">
        <f aca="false">IFERROR(AA678/AC678,0)</f>
        <v>34847.029633003</v>
      </c>
      <c r="AE678" s="25" t="n">
        <f aca="false">K678-Q678-X678</f>
        <v>-1</v>
      </c>
      <c r="AF678" s="25" t="n">
        <f aca="false">Q678-AA678</f>
        <v>0</v>
      </c>
      <c r="AG678" s="19" t="n">
        <v>559165.244244993</v>
      </c>
      <c r="AH678" s="26" t="n">
        <f aca="false">IFERROR(AG678/Q678,0)</f>
        <v>1.00794807851559</v>
      </c>
      <c r="AI678" s="27" t="n">
        <v>360509433.962264</v>
      </c>
      <c r="AJ678" s="26" t="n">
        <f aca="false">IF(AI678&gt;0,AprCoef/SQRT(AI678),0)</f>
        <v>0.0249643363142678</v>
      </c>
      <c r="AK678" s="24" t="n">
        <f aca="false">AI678*AJ678/365</f>
        <v>24657.2020654802</v>
      </c>
      <c r="AL678" s="24" t="n">
        <f aca="false">AD678</f>
        <v>34847.029633003</v>
      </c>
      <c r="AM678" s="24" t="n">
        <f aca="false">AK678-AL678</f>
        <v>-10189.8275675228</v>
      </c>
      <c r="AN678" s="28" t="str">
        <f aca="false">IF(A678&gt;=Hip3LaunchDate,"YES","")</f>
        <v/>
      </c>
      <c r="AO678" s="28" t="str">
        <f aca="false">IF(A678&lt;Hip4LaunchDate,"pre-launch","live (zero-fee)")</f>
        <v>pre-launch</v>
      </c>
      <c r="AP678" s="20"/>
      <c r="AQ678" s="20"/>
      <c r="AR678" s="20"/>
    </row>
    <row r="679" customFormat="false" ht="15" hidden="false" customHeight="false" outlineLevel="0" collapsed="false">
      <c r="A679" s="18" t="n">
        <v>45740</v>
      </c>
      <c r="B679" s="19" t="n">
        <v>5105825634.55</v>
      </c>
      <c r="C679" s="19" t="n">
        <v>0</v>
      </c>
      <c r="D679" s="19" t="n">
        <v>130689060</v>
      </c>
      <c r="E679" s="21" t="n">
        <f aca="false">B679+C679</f>
        <v>5105825634.55</v>
      </c>
      <c r="F679" s="21" t="n">
        <f aca="false">E679+D679</f>
        <v>5236514694.55</v>
      </c>
      <c r="G679" s="22" t="n">
        <f aca="false">IFERROR(C679/E679,0)</f>
        <v>0</v>
      </c>
      <c r="H679" s="19" t="n">
        <v>1219711</v>
      </c>
      <c r="I679" s="19" t="n">
        <v>19185</v>
      </c>
      <c r="J679" s="19" t="n">
        <v>37549</v>
      </c>
      <c r="K679" s="21" t="n">
        <f aca="false">H679+I679</f>
        <v>1238896</v>
      </c>
      <c r="L679" s="20"/>
      <c r="M679" s="21" t="n">
        <f aca="false">H679-L679</f>
        <v>1219711</v>
      </c>
      <c r="N679" s="23" t="n">
        <f aca="false">IFERROR(M679/B679*10000,0)</f>
        <v>2.38886144435972</v>
      </c>
      <c r="O679" s="19" t="n">
        <v>1183120</v>
      </c>
      <c r="P679" s="19" t="n">
        <v>18609</v>
      </c>
      <c r="Q679" s="21" t="n">
        <f aca="false">O679+P679</f>
        <v>1201729</v>
      </c>
      <c r="R679" s="22" t="n">
        <f aca="false">IF(A679&lt;HlpChangeDate,HlpSharePre,HlpSharePost)</f>
        <v>0.03</v>
      </c>
      <c r="S679" s="21" t="n">
        <f aca="false">Q679*R679/(1-R679)</f>
        <v>37166.8762886598</v>
      </c>
      <c r="T679" s="19" t="n">
        <v>37549</v>
      </c>
      <c r="U679" s="21" t="n">
        <f aca="false">S679-T679</f>
        <v>-382.123711340209</v>
      </c>
      <c r="V679" s="21" t="n">
        <f aca="false">Y679-O679*R679/(1-R679)</f>
        <v>-0.340206185566785</v>
      </c>
      <c r="W679" s="21" t="n">
        <f aca="false">Z679-P679*R679/(1-R679)</f>
        <v>0.46391752577324</v>
      </c>
      <c r="X679" s="21" t="n">
        <f aca="false">S679+V679+W679</f>
        <v>37167</v>
      </c>
      <c r="Y679" s="19" t="n">
        <v>36591</v>
      </c>
      <c r="Z679" s="19" t="n">
        <v>576</v>
      </c>
      <c r="AA679" s="19" t="n">
        <v>1201729</v>
      </c>
      <c r="AB679" s="29" t="n">
        <v>16.762</v>
      </c>
      <c r="AC679" s="29" t="n">
        <v>16.5315</v>
      </c>
      <c r="AD679" s="24" t="n">
        <f aca="false">IFERROR(AA679/AC679,0)</f>
        <v>72693.2825212473</v>
      </c>
      <c r="AE679" s="25" t="n">
        <f aca="false">K679-Q679-X679</f>
        <v>0</v>
      </c>
      <c r="AF679" s="25" t="n">
        <f aca="false">Q679-AA679</f>
        <v>0</v>
      </c>
      <c r="AG679" s="19" t="n">
        <v>1251644.41148102</v>
      </c>
      <c r="AH679" s="26" t="n">
        <f aca="false">IFERROR(AG679/Q679,0)</f>
        <v>1.04153632930638</v>
      </c>
      <c r="AI679" s="27" t="n">
        <v>361226415.09434</v>
      </c>
      <c r="AJ679" s="26" t="n">
        <f aca="false">IF(AI679&gt;0,AprCoef/SQRT(AI679),0)</f>
        <v>0.0249395487462954</v>
      </c>
      <c r="AK679" s="24" t="n">
        <f aca="false">AI679*AJ679/365</f>
        <v>24681.709007383</v>
      </c>
      <c r="AL679" s="24" t="n">
        <f aca="false">AD679</f>
        <v>72693.2825212473</v>
      </c>
      <c r="AM679" s="24" t="n">
        <f aca="false">AK679-AL679</f>
        <v>-48011.5735138643</v>
      </c>
      <c r="AN679" s="28" t="str">
        <f aca="false">IF(A679&gt;=Hip3LaunchDate,"YES","")</f>
        <v/>
      </c>
      <c r="AO679" s="28" t="str">
        <f aca="false">IF(A679&lt;Hip4LaunchDate,"pre-launch","live (zero-fee)")</f>
        <v>pre-launch</v>
      </c>
      <c r="AP679" s="20"/>
      <c r="AQ679" s="20"/>
      <c r="AR679" s="20"/>
    </row>
    <row r="680" customFormat="false" ht="15" hidden="false" customHeight="false" outlineLevel="0" collapsed="false">
      <c r="A680" s="18" t="n">
        <v>45741</v>
      </c>
      <c r="B680" s="19" t="n">
        <v>3932030198.71</v>
      </c>
      <c r="C680" s="19" t="n">
        <v>0</v>
      </c>
      <c r="D680" s="19" t="n">
        <v>76294797</v>
      </c>
      <c r="E680" s="21" t="n">
        <f aca="false">B680+C680</f>
        <v>3932030198.71</v>
      </c>
      <c r="F680" s="21" t="n">
        <f aca="false">E680+D680</f>
        <v>4008324995.71</v>
      </c>
      <c r="G680" s="22" t="n">
        <f aca="false">IFERROR(C680/E680,0)</f>
        <v>0</v>
      </c>
      <c r="H680" s="19" t="n">
        <v>971143</v>
      </c>
      <c r="I680" s="19" t="n">
        <v>11525</v>
      </c>
      <c r="J680" s="19" t="n">
        <v>29480</v>
      </c>
      <c r="K680" s="21" t="n">
        <f aca="false">H680+I680</f>
        <v>982668</v>
      </c>
      <c r="L680" s="20"/>
      <c r="M680" s="21" t="n">
        <f aca="false">H680-L680</f>
        <v>971143</v>
      </c>
      <c r="N680" s="23" t="n">
        <f aca="false">IFERROR(M680/B680*10000,0)</f>
        <v>2.46982589380572</v>
      </c>
      <c r="O680" s="19" t="n">
        <v>942009</v>
      </c>
      <c r="P680" s="19" t="n">
        <v>11179</v>
      </c>
      <c r="Q680" s="21" t="n">
        <f aca="false">O680+P680</f>
        <v>953188</v>
      </c>
      <c r="R680" s="22" t="n">
        <f aca="false">IF(A680&lt;HlpChangeDate,HlpSharePre,HlpSharePost)</f>
        <v>0.03</v>
      </c>
      <c r="S680" s="21" t="n">
        <f aca="false">Q680*R680/(1-R680)</f>
        <v>29480.0412371134</v>
      </c>
      <c r="T680" s="19" t="n">
        <v>29480</v>
      </c>
      <c r="U680" s="21" t="n">
        <f aca="false">S680-T680</f>
        <v>0.0412371134007117</v>
      </c>
      <c r="V680" s="21" t="n">
        <f aca="false">Y680-O680*R680/(1-R680)</f>
        <v>-0.298969072166074</v>
      </c>
      <c r="W680" s="21" t="n">
        <f aca="false">Z680-P680*R680/(1-R680)</f>
        <v>0.257731958762861</v>
      </c>
      <c r="X680" s="21" t="n">
        <f aca="false">S680+V680+W680</f>
        <v>29480</v>
      </c>
      <c r="Y680" s="19" t="n">
        <v>29134</v>
      </c>
      <c r="Z680" s="19" t="n">
        <v>346</v>
      </c>
      <c r="AA680" s="19" t="n">
        <v>953188</v>
      </c>
      <c r="AB680" s="29" t="n">
        <v>16.031</v>
      </c>
      <c r="AC680" s="29" t="n">
        <v>16.42525</v>
      </c>
      <c r="AD680" s="24" t="n">
        <f aca="false">IFERROR(AA680/AC680,0)</f>
        <v>58031.8716610097</v>
      </c>
      <c r="AE680" s="25" t="n">
        <f aca="false">K680-Q680-X680</f>
        <v>0</v>
      </c>
      <c r="AF680" s="25" t="n">
        <f aca="false">Q680-AA680</f>
        <v>0</v>
      </c>
      <c r="AG680" s="19" t="n">
        <v>982667.566401988</v>
      </c>
      <c r="AH680" s="26" t="n">
        <f aca="false">IFERROR(AG680/Q680,0)</f>
        <v>1.0309273368968</v>
      </c>
      <c r="AI680" s="27" t="n">
        <v>361943396.226415</v>
      </c>
      <c r="AJ680" s="26" t="n">
        <f aca="false">IF(AI680&gt;0,AprCoef/SQRT(AI680),0)</f>
        <v>0.0249148348681528</v>
      </c>
      <c r="AK680" s="24" t="n">
        <f aca="false">AI680*AJ680/365</f>
        <v>24706.1916399988</v>
      </c>
      <c r="AL680" s="24" t="n">
        <f aca="false">AD680</f>
        <v>58031.8716610097</v>
      </c>
      <c r="AM680" s="24" t="n">
        <f aca="false">AK680-AL680</f>
        <v>-33325.680021011</v>
      </c>
      <c r="AN680" s="28" t="str">
        <f aca="false">IF(A680&gt;=Hip3LaunchDate,"YES","")</f>
        <v/>
      </c>
      <c r="AO680" s="28" t="str">
        <f aca="false">IF(A680&lt;Hip4LaunchDate,"pre-launch","live (zero-fee)")</f>
        <v>pre-launch</v>
      </c>
      <c r="AP680" s="20"/>
      <c r="AQ680" s="20"/>
      <c r="AR680" s="20"/>
    </row>
    <row r="681" customFormat="false" ht="15" hidden="false" customHeight="false" outlineLevel="0" collapsed="false">
      <c r="A681" s="18" t="n">
        <v>45742</v>
      </c>
      <c r="B681" s="19" t="n">
        <v>4546459279.56</v>
      </c>
      <c r="C681" s="19" t="n">
        <v>0</v>
      </c>
      <c r="D681" s="19" t="n">
        <v>388622924</v>
      </c>
      <c r="E681" s="21" t="n">
        <f aca="false">B681+C681</f>
        <v>4546459279.56</v>
      </c>
      <c r="F681" s="21" t="n">
        <f aca="false">E681+D681</f>
        <v>4935082203.56</v>
      </c>
      <c r="G681" s="22" t="n">
        <f aca="false">IFERROR(C681/E681,0)</f>
        <v>0</v>
      </c>
      <c r="H681" s="19" t="n">
        <v>1069362</v>
      </c>
      <c r="I681" s="19" t="n">
        <v>62061</v>
      </c>
      <c r="J681" s="19" t="n">
        <v>33780</v>
      </c>
      <c r="K681" s="21" t="n">
        <f aca="false">H681+I681</f>
        <v>1131423</v>
      </c>
      <c r="L681" s="20"/>
      <c r="M681" s="21" t="n">
        <f aca="false">H681-L681</f>
        <v>1069362</v>
      </c>
      <c r="N681" s="23" t="n">
        <f aca="false">IFERROR(M681/B681*10000,0)</f>
        <v>2.35207649347624</v>
      </c>
      <c r="O681" s="19" t="n">
        <v>1037281</v>
      </c>
      <c r="P681" s="19" t="n">
        <v>60200</v>
      </c>
      <c r="Q681" s="21" t="n">
        <f aca="false">O681+P681</f>
        <v>1097481</v>
      </c>
      <c r="R681" s="22" t="n">
        <f aca="false">IF(A681&lt;HlpChangeDate,HlpSharePre,HlpSharePost)</f>
        <v>0.03</v>
      </c>
      <c r="S681" s="21" t="n">
        <f aca="false">Q681*R681/(1-R681)</f>
        <v>33942.7113402062</v>
      </c>
      <c r="T681" s="19" t="n">
        <v>33780</v>
      </c>
      <c r="U681" s="21" t="n">
        <f aca="false">S681-T681</f>
        <v>162.711340206188</v>
      </c>
      <c r="V681" s="21" t="n">
        <f aca="false">Y681-O681*R681/(1-R681)</f>
        <v>0.144329896906129</v>
      </c>
      <c r="W681" s="21" t="n">
        <f aca="false">Z681-P681*R681/(1-R681)</f>
        <v>0.144329896907266</v>
      </c>
      <c r="X681" s="21" t="n">
        <f aca="false">S681+V681+W681</f>
        <v>33943</v>
      </c>
      <c r="Y681" s="19" t="n">
        <v>32081</v>
      </c>
      <c r="Z681" s="19" t="n">
        <v>1862</v>
      </c>
      <c r="AA681" s="19" t="n">
        <v>1097481</v>
      </c>
      <c r="AB681" s="29" t="n">
        <v>14.061</v>
      </c>
      <c r="AC681" s="29" t="n">
        <v>14.71375</v>
      </c>
      <c r="AD681" s="24" t="n">
        <f aca="false">IFERROR(AA681/AC681,0)</f>
        <v>74588.8029904002</v>
      </c>
      <c r="AE681" s="25" t="n">
        <f aca="false">K681-Q681-X681</f>
        <v>-1</v>
      </c>
      <c r="AF681" s="25" t="n">
        <f aca="false">Q681-AA681</f>
        <v>0</v>
      </c>
      <c r="AG681" s="19" t="n">
        <v>1126009.32615602</v>
      </c>
      <c r="AH681" s="26" t="n">
        <f aca="false">IFERROR(AG681/Q681,0)</f>
        <v>1.02599436906518</v>
      </c>
      <c r="AI681" s="27" t="n">
        <v>362660377.358491</v>
      </c>
      <c r="AJ681" s="26" t="n">
        <f aca="false">IF(AI681&gt;0,AprCoef/SQRT(AI681),0)</f>
        <v>0.0248901943154471</v>
      </c>
      <c r="AK681" s="24" t="n">
        <f aca="false">AI681*AJ681/365</f>
        <v>24730.6500355238</v>
      </c>
      <c r="AL681" s="24" t="n">
        <f aca="false">AD681</f>
        <v>74588.8029904002</v>
      </c>
      <c r="AM681" s="24" t="n">
        <f aca="false">AK681-AL681</f>
        <v>-49858.1529548763</v>
      </c>
      <c r="AN681" s="28" t="str">
        <f aca="false">IF(A681&gt;=Hip3LaunchDate,"YES","")</f>
        <v/>
      </c>
      <c r="AO681" s="28" t="str">
        <f aca="false">IF(A681&lt;Hip4LaunchDate,"pre-launch","live (zero-fee)")</f>
        <v>pre-launch</v>
      </c>
      <c r="AP681" s="20"/>
      <c r="AQ681" s="20"/>
      <c r="AR681" s="20"/>
    </row>
    <row r="682" customFormat="false" ht="15" hidden="false" customHeight="false" outlineLevel="0" collapsed="false">
      <c r="A682" s="18" t="n">
        <v>45743</v>
      </c>
      <c r="B682" s="19" t="n">
        <v>2968017787.67</v>
      </c>
      <c r="C682" s="19" t="n">
        <v>0</v>
      </c>
      <c r="D682" s="19" t="n">
        <v>87102845</v>
      </c>
      <c r="E682" s="21" t="n">
        <f aca="false">B682+C682</f>
        <v>2968017787.67</v>
      </c>
      <c r="F682" s="21" t="n">
        <f aca="false">E682+D682</f>
        <v>3055120632.67</v>
      </c>
      <c r="G682" s="22" t="n">
        <f aca="false">IFERROR(C682/E682,0)</f>
        <v>0</v>
      </c>
      <c r="H682" s="19" t="n">
        <v>814575</v>
      </c>
      <c r="I682" s="19" t="n">
        <v>12229</v>
      </c>
      <c r="J682" s="19" t="n">
        <v>24870</v>
      </c>
      <c r="K682" s="21" t="n">
        <f aca="false">H682+I682</f>
        <v>826804</v>
      </c>
      <c r="L682" s="20"/>
      <c r="M682" s="21" t="n">
        <f aca="false">H682-L682</f>
        <v>814575</v>
      </c>
      <c r="N682" s="23" t="n">
        <f aca="false">IFERROR(M682/B682*10000,0)</f>
        <v>2.74450848436279</v>
      </c>
      <c r="O682" s="19" t="n">
        <v>790138</v>
      </c>
      <c r="P682" s="19" t="n">
        <v>11862</v>
      </c>
      <c r="Q682" s="21" t="n">
        <f aca="false">O682+P682</f>
        <v>802000</v>
      </c>
      <c r="R682" s="22" t="n">
        <f aca="false">IF(A682&lt;HlpChangeDate,HlpSharePre,HlpSharePost)</f>
        <v>0.03</v>
      </c>
      <c r="S682" s="21" t="n">
        <f aca="false">Q682*R682/(1-R682)</f>
        <v>24804.1237113402</v>
      </c>
      <c r="T682" s="19" t="n">
        <v>24870</v>
      </c>
      <c r="U682" s="21" t="n">
        <f aca="false">S682-T682</f>
        <v>-65.8762886597942</v>
      </c>
      <c r="V682" s="21" t="n">
        <f aca="false">Y682-O682*R682/(1-R682)</f>
        <v>-0.257731958761724</v>
      </c>
      <c r="W682" s="21" t="n">
        <f aca="false">Z682-P682*R682/(1-R682)</f>
        <v>0.13402061855669</v>
      </c>
      <c r="X682" s="21" t="n">
        <f aca="false">S682+V682+W682</f>
        <v>24804</v>
      </c>
      <c r="Y682" s="19" t="n">
        <v>24437</v>
      </c>
      <c r="Z682" s="19" t="n">
        <v>367</v>
      </c>
      <c r="AA682" s="19" t="n">
        <v>802000</v>
      </c>
      <c r="AB682" s="29" t="n">
        <v>14.586</v>
      </c>
      <c r="AC682" s="29" t="n">
        <v>14.432</v>
      </c>
      <c r="AD682" s="24" t="n">
        <f aca="false">IFERROR(AA682/AC682,0)</f>
        <v>55570.9534368071</v>
      </c>
      <c r="AE682" s="25" t="n">
        <f aca="false">K682-Q682-X682</f>
        <v>0</v>
      </c>
      <c r="AF682" s="25" t="n">
        <f aca="false">Q682-AA682</f>
        <v>0</v>
      </c>
      <c r="AG682" s="19" t="n">
        <v>828989.260734975</v>
      </c>
      <c r="AH682" s="26" t="n">
        <f aca="false">IFERROR(AG682/Q682,0)</f>
        <v>1.0336524448067</v>
      </c>
      <c r="AI682" s="27" t="n">
        <v>363377358.490566</v>
      </c>
      <c r="AJ682" s="26" t="n">
        <f aca="false">IF(AI682&gt;0,AprCoef/SQRT(AI682),0)</f>
        <v>0.0248656267263028</v>
      </c>
      <c r="AK682" s="24" t="n">
        <f aca="false">AI682*AJ682/365</f>
        <v>24755.0842657981</v>
      </c>
      <c r="AL682" s="24" t="n">
        <f aca="false">AD682</f>
        <v>55570.9534368071</v>
      </c>
      <c r="AM682" s="24" t="n">
        <f aca="false">AK682-AL682</f>
        <v>-30815.869171009</v>
      </c>
      <c r="AN682" s="28" t="str">
        <f aca="false">IF(A682&gt;=Hip3LaunchDate,"YES","")</f>
        <v/>
      </c>
      <c r="AO682" s="28" t="str">
        <f aca="false">IF(A682&lt;Hip4LaunchDate,"pre-launch","live (zero-fee)")</f>
        <v>pre-launch</v>
      </c>
      <c r="AP682" s="20"/>
      <c r="AQ682" s="20"/>
      <c r="AR682" s="20"/>
    </row>
    <row r="683" customFormat="false" ht="15" hidden="false" customHeight="false" outlineLevel="0" collapsed="false">
      <c r="A683" s="18" t="n">
        <v>45744</v>
      </c>
      <c r="B683" s="19" t="n">
        <v>4696027441.77</v>
      </c>
      <c r="C683" s="19" t="n">
        <v>0</v>
      </c>
      <c r="D683" s="19" t="n">
        <v>108552416</v>
      </c>
      <c r="E683" s="21" t="n">
        <f aca="false">B683+C683</f>
        <v>4696027441.77</v>
      </c>
      <c r="F683" s="21" t="n">
        <f aca="false">E683+D683</f>
        <v>4804579857.77</v>
      </c>
      <c r="G683" s="22" t="n">
        <f aca="false">IFERROR(C683/E683,0)</f>
        <v>0</v>
      </c>
      <c r="H683" s="19" t="n">
        <v>1082851</v>
      </c>
      <c r="I683" s="19" t="n">
        <v>18181</v>
      </c>
      <c r="J683" s="19" t="n">
        <v>33128</v>
      </c>
      <c r="K683" s="21" t="n">
        <f aca="false">H683+I683</f>
        <v>1101032</v>
      </c>
      <c r="L683" s="20"/>
      <c r="M683" s="21" t="n">
        <f aca="false">H683-L683</f>
        <v>1082851</v>
      </c>
      <c r="N683" s="23" t="n">
        <f aca="false">IFERROR(M683/B683*10000,0)</f>
        <v>2.30588729181671</v>
      </c>
      <c r="O683" s="19" t="n">
        <v>1050365</v>
      </c>
      <c r="P683" s="19" t="n">
        <v>17635</v>
      </c>
      <c r="Q683" s="21" t="n">
        <f aca="false">O683+P683</f>
        <v>1068000</v>
      </c>
      <c r="R683" s="22" t="n">
        <f aca="false">IF(A683&lt;HlpChangeDate,HlpSharePre,HlpSharePost)</f>
        <v>0.03</v>
      </c>
      <c r="S683" s="21" t="n">
        <f aca="false">Q683*R683/(1-R683)</f>
        <v>33030.9278350515</v>
      </c>
      <c r="T683" s="19" t="n">
        <v>33128</v>
      </c>
      <c r="U683" s="21" t="n">
        <f aca="false">S683-T683</f>
        <v>-97.0721649484549</v>
      </c>
      <c r="V683" s="21" t="n">
        <f aca="false">Y683-O683*R683/(1-R683)</f>
        <v>0.484536082476552</v>
      </c>
      <c r="W683" s="21" t="n">
        <f aca="false">Z683-P683*R683/(1-R683)</f>
        <v>-0.412371134020532</v>
      </c>
      <c r="X683" s="21" t="n">
        <f aca="false">S683+V683+W683</f>
        <v>33031</v>
      </c>
      <c r="Y683" s="19" t="n">
        <v>32486</v>
      </c>
      <c r="Z683" s="19" t="n">
        <v>545</v>
      </c>
      <c r="AA683" s="19" t="n">
        <v>1068000</v>
      </c>
      <c r="AB683" s="29" t="n">
        <v>13.389</v>
      </c>
      <c r="AC683" s="29" t="n">
        <v>13.9715</v>
      </c>
      <c r="AD683" s="24" t="n">
        <f aca="false">IFERROR(AA683/AC683,0)</f>
        <v>76441.3269870808</v>
      </c>
      <c r="AE683" s="25" t="n">
        <f aca="false">K683-Q683-X683</f>
        <v>1</v>
      </c>
      <c r="AF683" s="25" t="n">
        <f aca="false">Q683-AA683</f>
        <v>0</v>
      </c>
      <c r="AG683" s="19" t="n">
        <v>1104260.45797598</v>
      </c>
      <c r="AH683" s="26" t="n">
        <f aca="false">IFERROR(AG683/Q683,0)</f>
        <v>1.03395173967789</v>
      </c>
      <c r="AI683" s="27" t="n">
        <v>364094339.622642</v>
      </c>
      <c r="AJ683" s="26" t="n">
        <f aca="false">IF(AI683&gt;0,AprCoef/SQRT(AI683),0)</f>
        <v>0.0248411317413398</v>
      </c>
      <c r="AK683" s="24" t="n">
        <f aca="false">AI683*AJ683/365</f>
        <v>24779.4944023073</v>
      </c>
      <c r="AL683" s="24" t="n">
        <f aca="false">AD683</f>
        <v>76441.3269870808</v>
      </c>
      <c r="AM683" s="24" t="n">
        <f aca="false">AK683-AL683</f>
        <v>-51661.8325847736</v>
      </c>
      <c r="AN683" s="28" t="str">
        <f aca="false">IF(A683&gt;=Hip3LaunchDate,"YES","")</f>
        <v/>
      </c>
      <c r="AO683" s="28" t="str">
        <f aca="false">IF(A683&lt;Hip4LaunchDate,"pre-launch","live (zero-fee)")</f>
        <v>pre-launch</v>
      </c>
      <c r="AP683" s="20"/>
      <c r="AQ683" s="20"/>
      <c r="AR683" s="20"/>
    </row>
    <row r="684" customFormat="false" ht="15" hidden="false" customHeight="false" outlineLevel="0" collapsed="false">
      <c r="A684" s="18" t="n">
        <v>45745</v>
      </c>
      <c r="B684" s="19" t="n">
        <v>3300437272.58</v>
      </c>
      <c r="C684" s="19" t="n">
        <v>0</v>
      </c>
      <c r="D684" s="19" t="n">
        <v>87727670</v>
      </c>
      <c r="E684" s="21" t="n">
        <f aca="false">B684+C684</f>
        <v>3300437272.58</v>
      </c>
      <c r="F684" s="21" t="n">
        <f aca="false">E684+D684</f>
        <v>3388164942.58</v>
      </c>
      <c r="G684" s="22" t="n">
        <f aca="false">IFERROR(C684/E684,0)</f>
        <v>0</v>
      </c>
      <c r="H684" s="19" t="n">
        <v>781379</v>
      </c>
      <c r="I684" s="19" t="n">
        <v>12604</v>
      </c>
      <c r="J684" s="19" t="n">
        <v>23671</v>
      </c>
      <c r="K684" s="21" t="n">
        <f aca="false">H684+I684</f>
        <v>793983</v>
      </c>
      <c r="L684" s="20"/>
      <c r="M684" s="21" t="n">
        <f aca="false">H684-L684</f>
        <v>781379</v>
      </c>
      <c r="N684" s="23" t="n">
        <f aca="false">IFERROR(M684/B684*10000,0)</f>
        <v>2.36750144137472</v>
      </c>
      <c r="O684" s="19" t="n">
        <v>757937</v>
      </c>
      <c r="P684" s="19" t="n">
        <v>12226</v>
      </c>
      <c r="Q684" s="21" t="n">
        <f aca="false">O684+P684</f>
        <v>770163</v>
      </c>
      <c r="R684" s="22" t="n">
        <f aca="false">IF(A684&lt;HlpChangeDate,HlpSharePre,HlpSharePost)</f>
        <v>0.03</v>
      </c>
      <c r="S684" s="21" t="n">
        <f aca="false">Q684*R684/(1-R684)</f>
        <v>23819.4742268041</v>
      </c>
      <c r="T684" s="19" t="n">
        <v>23671</v>
      </c>
      <c r="U684" s="21" t="n">
        <f aca="false">S684-T684</f>
        <v>148.474226804123</v>
      </c>
      <c r="V684" s="21" t="n">
        <f aca="false">Y684-O684*R684/(1-R684)</f>
        <v>-0.350515463916963</v>
      </c>
      <c r="W684" s="21" t="n">
        <f aca="false">Z684-P684*R684/(1-R684)</f>
        <v>-0.123711340206171</v>
      </c>
      <c r="X684" s="21" t="n">
        <f aca="false">S684+V684+W684</f>
        <v>23819</v>
      </c>
      <c r="Y684" s="19" t="n">
        <v>23441</v>
      </c>
      <c r="Z684" s="19" t="n">
        <v>378</v>
      </c>
      <c r="AA684" s="19" t="n">
        <v>770163</v>
      </c>
      <c r="AB684" s="29" t="n">
        <v>12.799</v>
      </c>
      <c r="AC684" s="29" t="n">
        <v>13.0355</v>
      </c>
      <c r="AD684" s="24" t="n">
        <f aca="false">IFERROR(AA684/AC684,0)</f>
        <v>59081.9684707146</v>
      </c>
      <c r="AE684" s="25" t="n">
        <f aca="false">K684-Q684-X684</f>
        <v>1</v>
      </c>
      <c r="AF684" s="25" t="n">
        <f aca="false">Q684-AA684</f>
        <v>0</v>
      </c>
      <c r="AG684" s="19" t="n">
        <v>789049.242184997</v>
      </c>
      <c r="AH684" s="26" t="n">
        <f aca="false">IFERROR(AG684/Q684,0)</f>
        <v>1.0245223961486</v>
      </c>
      <c r="AI684" s="27" t="n">
        <v>364811320.754717</v>
      </c>
      <c r="AJ684" s="26" t="n">
        <f aca="false">IF(AI684&gt;0,AprCoef/SQRT(AI684),0)</f>
        <v>0.0248167090036515</v>
      </c>
      <c r="AK684" s="24" t="n">
        <f aca="false">AI684*AJ684/365</f>
        <v>24803.8805161851</v>
      </c>
      <c r="AL684" s="24" t="n">
        <f aca="false">AD684</f>
        <v>59081.9684707146</v>
      </c>
      <c r="AM684" s="24" t="n">
        <f aca="false">AK684-AL684</f>
        <v>-34278.0879545295</v>
      </c>
      <c r="AN684" s="28" t="str">
        <f aca="false">IF(A684&gt;=Hip3LaunchDate,"YES","")</f>
        <v/>
      </c>
      <c r="AO684" s="28" t="str">
        <f aca="false">IF(A684&lt;Hip4LaunchDate,"pre-launch","live (zero-fee)")</f>
        <v>pre-launch</v>
      </c>
      <c r="AP684" s="20"/>
      <c r="AQ684" s="20"/>
      <c r="AR684" s="20"/>
    </row>
    <row r="685" customFormat="false" ht="15" hidden="false" customHeight="false" outlineLevel="0" collapsed="false">
      <c r="A685" s="18" t="n">
        <v>45746</v>
      </c>
      <c r="B685" s="19" t="n">
        <v>2774062341.43</v>
      </c>
      <c r="C685" s="19" t="n">
        <v>0</v>
      </c>
      <c r="D685" s="19" t="n">
        <v>50858942</v>
      </c>
      <c r="E685" s="21" t="n">
        <f aca="false">B685+C685</f>
        <v>2774062341.43</v>
      </c>
      <c r="F685" s="21" t="n">
        <f aca="false">E685+D685</f>
        <v>2824921283.43</v>
      </c>
      <c r="G685" s="22" t="n">
        <f aca="false">IFERROR(C685/E685,0)</f>
        <v>0</v>
      </c>
      <c r="H685" s="19" t="n">
        <v>666965</v>
      </c>
      <c r="I685" s="19" t="n">
        <v>7425</v>
      </c>
      <c r="J685" s="19" t="n">
        <v>20380</v>
      </c>
      <c r="K685" s="21" t="n">
        <f aca="false">H685+I685</f>
        <v>674390</v>
      </c>
      <c r="L685" s="20"/>
      <c r="M685" s="21" t="n">
        <f aca="false">H685-L685</f>
        <v>666965</v>
      </c>
      <c r="N685" s="23" t="n">
        <f aca="false">IFERROR(M685/B685*10000,0)</f>
        <v>2.40428987495712</v>
      </c>
      <c r="O685" s="19" t="n">
        <v>646956</v>
      </c>
      <c r="P685" s="19" t="n">
        <v>7203</v>
      </c>
      <c r="Q685" s="21" t="n">
        <f aca="false">O685+P685</f>
        <v>654159</v>
      </c>
      <c r="R685" s="22" t="n">
        <f aca="false">IF(A685&lt;HlpChangeDate,HlpSharePre,HlpSharePost)</f>
        <v>0.03</v>
      </c>
      <c r="S685" s="21" t="n">
        <f aca="false">Q685*R685/(1-R685)</f>
        <v>20231.7216494845</v>
      </c>
      <c r="T685" s="19" t="n">
        <v>20380</v>
      </c>
      <c r="U685" s="21" t="n">
        <f aca="false">S685-T685</f>
        <v>-148.278350515462</v>
      </c>
      <c r="V685" s="21" t="n">
        <f aca="false">Y685-O685*R685/(1-R685)</f>
        <v>0.0515463917508896</v>
      </c>
      <c r="W685" s="21" t="n">
        <f aca="false">Z685-P685*R685/(1-R685)</f>
        <v>0.226804123711332</v>
      </c>
      <c r="X685" s="21" t="n">
        <f aca="false">S685+V685+W685</f>
        <v>20232</v>
      </c>
      <c r="Y685" s="19" t="n">
        <v>20009</v>
      </c>
      <c r="Z685" s="19" t="n">
        <v>223</v>
      </c>
      <c r="AA685" s="19" t="n">
        <v>654159</v>
      </c>
      <c r="AB685" s="29" t="n">
        <v>12.477</v>
      </c>
      <c r="AC685" s="29" t="n">
        <v>12.619</v>
      </c>
      <c r="AD685" s="24" t="n">
        <f aca="false">IFERROR(AA685/AC685,0)</f>
        <v>51839.2107140027</v>
      </c>
      <c r="AE685" s="25" t="n">
        <f aca="false">K685-Q685-X685</f>
        <v>-1</v>
      </c>
      <c r="AF685" s="25" t="n">
        <f aca="false">Q685-AA685</f>
        <v>0</v>
      </c>
      <c r="AG685" s="19" t="n">
        <v>679323.600197017</v>
      </c>
      <c r="AH685" s="26" t="n">
        <f aca="false">IFERROR(AG685/Q685,0)</f>
        <v>1.03846862948766</v>
      </c>
      <c r="AI685" s="27" t="n">
        <v>365528301.886793</v>
      </c>
      <c r="AJ685" s="26" t="n">
        <f aca="false">IF(AI685&gt;0,AprCoef/SQRT(AI685),0)</f>
        <v>0.0247923581587825</v>
      </c>
      <c r="AK685" s="24" t="n">
        <f aca="false">AI685*AJ685/365</f>
        <v>24828.2426782163</v>
      </c>
      <c r="AL685" s="24" t="n">
        <f aca="false">AD685</f>
        <v>51839.2107140027</v>
      </c>
      <c r="AM685" s="24" t="n">
        <f aca="false">AK685-AL685</f>
        <v>-27010.9680357864</v>
      </c>
      <c r="AN685" s="28" t="str">
        <f aca="false">IF(A685&gt;=Hip3LaunchDate,"YES","")</f>
        <v/>
      </c>
      <c r="AO685" s="28" t="str">
        <f aca="false">IF(A685&lt;Hip4LaunchDate,"pre-launch","live (zero-fee)")</f>
        <v>pre-launch</v>
      </c>
      <c r="AP685" s="20"/>
      <c r="AQ685" s="20"/>
      <c r="AR685" s="20"/>
    </row>
    <row r="686" customFormat="false" ht="15" hidden="false" customHeight="false" outlineLevel="0" collapsed="false">
      <c r="A686" s="18" t="n">
        <v>45747</v>
      </c>
      <c r="B686" s="19" t="n">
        <v>5786815779.42</v>
      </c>
      <c r="C686" s="19" t="n">
        <v>0</v>
      </c>
      <c r="D686" s="19" t="n">
        <v>90964477</v>
      </c>
      <c r="E686" s="21" t="n">
        <f aca="false">B686+C686</f>
        <v>5786815779.42</v>
      </c>
      <c r="F686" s="21" t="n">
        <f aca="false">E686+D686</f>
        <v>5877780256.42</v>
      </c>
      <c r="G686" s="22" t="n">
        <f aca="false">IFERROR(C686/E686,0)</f>
        <v>0</v>
      </c>
      <c r="H686" s="19" t="n">
        <v>1290890</v>
      </c>
      <c r="I686" s="19" t="n">
        <v>12648</v>
      </c>
      <c r="J686" s="19" t="n">
        <v>39106</v>
      </c>
      <c r="K686" s="21" t="n">
        <f aca="false">H686+I686</f>
        <v>1303538</v>
      </c>
      <c r="L686" s="20"/>
      <c r="M686" s="21" t="n">
        <f aca="false">H686-L686</f>
        <v>1290890</v>
      </c>
      <c r="N686" s="23" t="n">
        <f aca="false">IFERROR(M686/B686*10000,0)</f>
        <v>2.23074320871051</v>
      </c>
      <c r="O686" s="19" t="n">
        <v>1252164</v>
      </c>
      <c r="P686" s="19" t="n">
        <v>12269</v>
      </c>
      <c r="Q686" s="21" t="n">
        <f aca="false">O686+P686</f>
        <v>1264433</v>
      </c>
      <c r="R686" s="22" t="n">
        <f aca="false">IF(A686&lt;HlpChangeDate,HlpSharePre,HlpSharePost)</f>
        <v>0.03</v>
      </c>
      <c r="S686" s="21" t="n">
        <f aca="false">Q686*R686/(1-R686)</f>
        <v>39106.175257732</v>
      </c>
      <c r="T686" s="19" t="n">
        <v>39106</v>
      </c>
      <c r="U686" s="21" t="n">
        <f aca="false">S686-T686</f>
        <v>0.175257731956663</v>
      </c>
      <c r="V686" s="21" t="n">
        <f aca="false">Y686-O686*R686/(1-R686)</f>
        <v>0.278350515465718</v>
      </c>
      <c r="W686" s="21" t="n">
        <f aca="false">Z686-P686*R686/(1-R686)</f>
        <v>-0.453608247422665</v>
      </c>
      <c r="X686" s="21" t="n">
        <f aca="false">S686+V686+W686</f>
        <v>39106</v>
      </c>
      <c r="Y686" s="19" t="n">
        <v>38727</v>
      </c>
      <c r="Z686" s="19" t="n">
        <v>379</v>
      </c>
      <c r="AA686" s="19" t="n">
        <v>1264433</v>
      </c>
      <c r="AB686" s="29" t="n">
        <v>12.987</v>
      </c>
      <c r="AC686" s="29" t="n">
        <v>12.849</v>
      </c>
      <c r="AD686" s="24" t="n">
        <f aca="false">IFERROR(AA686/AC686,0)</f>
        <v>98407.1133940385</v>
      </c>
      <c r="AE686" s="25" t="n">
        <f aca="false">K686-Q686-X686</f>
        <v>-1</v>
      </c>
      <c r="AF686" s="25" t="n">
        <f aca="false">Q686-AA686</f>
        <v>0</v>
      </c>
      <c r="AG686" s="19" t="n">
        <v>1303538.41759002</v>
      </c>
      <c r="AH686" s="26" t="n">
        <f aca="false">IFERROR(AG686/Q686,0)</f>
        <v>1.03092723583616</v>
      </c>
      <c r="AI686" s="27" t="n">
        <v>366245283.018868</v>
      </c>
      <c r="AJ686" s="26" t="n">
        <f aca="false">IF(AI686&gt;0,AprCoef/SQRT(AI686),0)</f>
        <v>0.0247680788547074</v>
      </c>
      <c r="AK686" s="24" t="n">
        <f aca="false">AI686*AJ686/365</f>
        <v>24852.5809588383</v>
      </c>
      <c r="AL686" s="24" t="n">
        <f aca="false">AD686</f>
        <v>98407.1133940385</v>
      </c>
      <c r="AM686" s="24" t="n">
        <f aca="false">AK686-AL686</f>
        <v>-73554.5324352002</v>
      </c>
      <c r="AN686" s="28" t="str">
        <f aca="false">IF(A686&gt;=Hip3LaunchDate,"YES","")</f>
        <v/>
      </c>
      <c r="AO686" s="28" t="str">
        <f aca="false">IF(A686&lt;Hip4LaunchDate,"pre-launch","live (zero-fee)")</f>
        <v>pre-launch</v>
      </c>
      <c r="AP686" s="20"/>
      <c r="AQ686" s="20"/>
      <c r="AR686" s="20"/>
    </row>
    <row r="687" customFormat="false" ht="15" hidden="false" customHeight="false" outlineLevel="0" collapsed="false">
      <c r="A687" s="18" t="n">
        <v>45748</v>
      </c>
      <c r="B687" s="19" t="n">
        <v>5024540120.03</v>
      </c>
      <c r="C687" s="19" t="n">
        <v>0</v>
      </c>
      <c r="D687" s="19" t="n">
        <v>67302035</v>
      </c>
      <c r="E687" s="21" t="n">
        <f aca="false">B687+C687</f>
        <v>5024540120.03</v>
      </c>
      <c r="F687" s="21" t="n">
        <f aca="false">E687+D687</f>
        <v>5091842155.03</v>
      </c>
      <c r="G687" s="22" t="n">
        <f aca="false">IFERROR(C687/E687,0)</f>
        <v>0</v>
      </c>
      <c r="H687" s="19" t="n">
        <v>1172507</v>
      </c>
      <c r="I687" s="19" t="n">
        <v>9206</v>
      </c>
      <c r="J687" s="19" t="n">
        <v>35451</v>
      </c>
      <c r="K687" s="21" t="n">
        <f aca="false">H687+I687</f>
        <v>1181713</v>
      </c>
      <c r="L687" s="20"/>
      <c r="M687" s="21" t="n">
        <f aca="false">H687-L687</f>
        <v>1172507</v>
      </c>
      <c r="N687" s="23" t="n">
        <f aca="false">IFERROR(M687/B687*10000,0)</f>
        <v>2.33356082743947</v>
      </c>
      <c r="O687" s="19" t="n">
        <v>1137331</v>
      </c>
      <c r="P687" s="19" t="n">
        <v>8930</v>
      </c>
      <c r="Q687" s="21" t="n">
        <f aca="false">O687+P687</f>
        <v>1146261</v>
      </c>
      <c r="R687" s="22" t="n">
        <f aca="false">IF(A687&lt;HlpChangeDate,HlpSharePre,HlpSharePost)</f>
        <v>0.03</v>
      </c>
      <c r="S687" s="21" t="n">
        <f aca="false">Q687*R687/(1-R687)</f>
        <v>35451.3711340206</v>
      </c>
      <c r="T687" s="19" t="n">
        <v>35451</v>
      </c>
      <c r="U687" s="21" t="n">
        <f aca="false">S687-T687</f>
        <v>0.371134020620957</v>
      </c>
      <c r="V687" s="21" t="n">
        <f aca="false">Y687-O687*R687/(1-R687)</f>
        <v>-0.185567010310479</v>
      </c>
      <c r="W687" s="21" t="n">
        <f aca="false">Z687-P687*R687/(1-R687)</f>
        <v>-0.185567010309285</v>
      </c>
      <c r="X687" s="21" t="n">
        <f aca="false">S687+V687+W687</f>
        <v>35451</v>
      </c>
      <c r="Y687" s="19" t="n">
        <v>35175</v>
      </c>
      <c r="Z687" s="19" t="n">
        <v>276</v>
      </c>
      <c r="AA687" s="19" t="n">
        <v>1146261</v>
      </c>
      <c r="AB687" s="29" t="n">
        <v>13.324</v>
      </c>
      <c r="AC687" s="29" t="n">
        <v>13.3125</v>
      </c>
      <c r="AD687" s="24" t="n">
        <f aca="false">IFERROR(AA687/AC687,0)</f>
        <v>86104.1126760563</v>
      </c>
      <c r="AE687" s="25" t="n">
        <f aca="false">K687-Q687-X687</f>
        <v>1</v>
      </c>
      <c r="AF687" s="25" t="n">
        <f aca="false">Q687-AA687</f>
        <v>0</v>
      </c>
      <c r="AG687" s="19" t="n">
        <v>1181712.39591599</v>
      </c>
      <c r="AH687" s="26" t="n">
        <f aca="false">IFERROR(AG687/Q687,0)</f>
        <v>1.03092785667137</v>
      </c>
      <c r="AI687" s="27" t="n">
        <v>366962264.150943</v>
      </c>
      <c r="AJ687" s="26" t="n">
        <f aca="false">IF(AI687&gt;0,AprCoef/SQRT(AI687),0)</f>
        <v>0.0247438707418093</v>
      </c>
      <c r="AK687" s="24" t="n">
        <f aca="false">AI687*AJ687/365</f>
        <v>24876.8954281442</v>
      </c>
      <c r="AL687" s="24" t="n">
        <f aca="false">AD687</f>
        <v>86104.1126760563</v>
      </c>
      <c r="AM687" s="24" t="n">
        <f aca="false">AK687-AL687</f>
        <v>-61227.2172479122</v>
      </c>
      <c r="AN687" s="28" t="str">
        <f aca="false">IF(A687&gt;=Hip3LaunchDate,"YES","")</f>
        <v/>
      </c>
      <c r="AO687" s="28" t="str">
        <f aca="false">IF(A687&lt;Hip4LaunchDate,"pre-launch","live (zero-fee)")</f>
        <v>pre-launch</v>
      </c>
      <c r="AP687" s="20"/>
      <c r="AQ687" s="20"/>
      <c r="AR687" s="20"/>
    </row>
    <row r="688" customFormat="false" ht="15" hidden="false" customHeight="false" outlineLevel="0" collapsed="false">
      <c r="A688" s="18" t="n">
        <v>45749</v>
      </c>
      <c r="B688" s="19" t="n">
        <v>8109376458.28</v>
      </c>
      <c r="C688" s="19" t="n">
        <v>0</v>
      </c>
      <c r="D688" s="19" t="n">
        <v>148833454</v>
      </c>
      <c r="E688" s="21" t="n">
        <f aca="false">B688+C688</f>
        <v>8109376458.28</v>
      </c>
      <c r="F688" s="21" t="n">
        <f aca="false">E688+D688</f>
        <v>8258209912.28</v>
      </c>
      <c r="G688" s="22" t="n">
        <f aca="false">IFERROR(C688/E688,0)</f>
        <v>0</v>
      </c>
      <c r="H688" s="19" t="n">
        <v>1872963</v>
      </c>
      <c r="I688" s="19" t="n">
        <v>22319</v>
      </c>
      <c r="J688" s="19" t="n">
        <v>56858</v>
      </c>
      <c r="K688" s="21" t="n">
        <f aca="false">H688+I688</f>
        <v>1895282</v>
      </c>
      <c r="L688" s="20"/>
      <c r="M688" s="21" t="n">
        <f aca="false">H688-L688</f>
        <v>1872963</v>
      </c>
      <c r="N688" s="23" t="n">
        <f aca="false">IFERROR(M688/B688*10000,0)</f>
        <v>2.30962640547736</v>
      </c>
      <c r="O688" s="19" t="n">
        <v>1816774</v>
      </c>
      <c r="P688" s="19" t="n">
        <v>21650</v>
      </c>
      <c r="Q688" s="21" t="n">
        <f aca="false">O688+P688</f>
        <v>1838424</v>
      </c>
      <c r="R688" s="22" t="n">
        <f aca="false">IF(A688&lt;HlpChangeDate,HlpSharePre,HlpSharePost)</f>
        <v>0.03</v>
      </c>
      <c r="S688" s="21" t="n">
        <f aca="false">Q688*R688/(1-R688)</f>
        <v>56858.4742268041</v>
      </c>
      <c r="T688" s="19" t="n">
        <v>56858</v>
      </c>
      <c r="U688" s="21" t="n">
        <f aca="false">S688-T688</f>
        <v>0.474226804130012</v>
      </c>
      <c r="V688" s="21" t="n">
        <f aca="false">Y688-O688*R688/(1-R688)</f>
        <v>0.113402061855595</v>
      </c>
      <c r="W688" s="21" t="n">
        <f aca="false">Z688-P688*R688/(1-R688)</f>
        <v>0.412371134020646</v>
      </c>
      <c r="X688" s="21" t="n">
        <f aca="false">S688+V688+W688</f>
        <v>56859</v>
      </c>
      <c r="Y688" s="19" t="n">
        <v>56189</v>
      </c>
      <c r="Z688" s="19" t="n">
        <v>670</v>
      </c>
      <c r="AA688" s="19" t="n">
        <v>1838424</v>
      </c>
      <c r="AB688" s="29" t="n">
        <v>11.769</v>
      </c>
      <c r="AC688" s="29" t="n">
        <v>12.80325</v>
      </c>
      <c r="AD688" s="24" t="n">
        <f aca="false">IFERROR(AA688/AC688,0)</f>
        <v>143590.416495812</v>
      </c>
      <c r="AE688" s="25" t="n">
        <f aca="false">K688-Q688-X688</f>
        <v>-1.00000000000728</v>
      </c>
      <c r="AF688" s="25" t="n">
        <f aca="false">Q688-AA688</f>
        <v>0</v>
      </c>
      <c r="AG688" s="19" t="n">
        <v>1895282.27641797</v>
      </c>
      <c r="AH688" s="26" t="n">
        <f aca="false">IFERROR(AG688/Q688,0)</f>
        <v>1.03092772745459</v>
      </c>
      <c r="AI688" s="27" t="n">
        <v>367679245.283019</v>
      </c>
      <c r="AJ688" s="26" t="n">
        <f aca="false">IF(AI688&gt;0,AprCoef/SQRT(AI688),0)</f>
        <v>0.0247197334728585</v>
      </c>
      <c r="AK688" s="24" t="n">
        <f aca="false">AI688*AJ688/365</f>
        <v>24901.1861558849</v>
      </c>
      <c r="AL688" s="24" t="n">
        <f aca="false">AD688</f>
        <v>143590.416495812</v>
      </c>
      <c r="AM688" s="24" t="n">
        <f aca="false">AK688-AL688</f>
        <v>-118689.230339927</v>
      </c>
      <c r="AN688" s="28" t="str">
        <f aca="false">IF(A688&gt;=Hip3LaunchDate,"YES","")</f>
        <v/>
      </c>
      <c r="AO688" s="28" t="str">
        <f aca="false">IF(A688&lt;Hip4LaunchDate,"pre-launch","live (zero-fee)")</f>
        <v>pre-launch</v>
      </c>
      <c r="AP688" s="20"/>
      <c r="AQ688" s="20"/>
      <c r="AR688" s="20"/>
    </row>
    <row r="689" customFormat="false" ht="15" hidden="false" customHeight="false" outlineLevel="0" collapsed="false">
      <c r="A689" s="18" t="n">
        <v>45750</v>
      </c>
      <c r="B689" s="19" t="n">
        <v>5930229209.41</v>
      </c>
      <c r="C689" s="19" t="n">
        <v>0</v>
      </c>
      <c r="D689" s="19" t="n">
        <v>119560562</v>
      </c>
      <c r="E689" s="21" t="n">
        <f aca="false">B689+C689</f>
        <v>5930229209.41</v>
      </c>
      <c r="F689" s="21" t="n">
        <f aca="false">E689+D689</f>
        <v>6049789771.41</v>
      </c>
      <c r="G689" s="22" t="n">
        <f aca="false">IFERROR(C689/E689,0)</f>
        <v>0</v>
      </c>
      <c r="H689" s="19" t="n">
        <v>1365034</v>
      </c>
      <c r="I689" s="19" t="n">
        <v>18496</v>
      </c>
      <c r="J689" s="19" t="n">
        <v>41506</v>
      </c>
      <c r="K689" s="21" t="n">
        <f aca="false">H689+I689</f>
        <v>1383530</v>
      </c>
      <c r="L689" s="20"/>
      <c r="M689" s="21" t="n">
        <f aca="false">H689-L689</f>
        <v>1365034</v>
      </c>
      <c r="N689" s="23" t="n">
        <f aca="false">IFERROR(M689/B689*10000,0)</f>
        <v>2.30182333902707</v>
      </c>
      <c r="O689" s="19" t="n">
        <v>1324083</v>
      </c>
      <c r="P689" s="19" t="n">
        <v>17941</v>
      </c>
      <c r="Q689" s="21" t="n">
        <f aca="false">O689+P689</f>
        <v>1342024</v>
      </c>
      <c r="R689" s="22" t="n">
        <f aca="false">IF(A689&lt;HlpChangeDate,HlpSharePre,HlpSharePost)</f>
        <v>0.03</v>
      </c>
      <c r="S689" s="21" t="n">
        <f aca="false">Q689*R689/(1-R689)</f>
        <v>41505.8969072165</v>
      </c>
      <c r="T689" s="19" t="n">
        <v>41506</v>
      </c>
      <c r="U689" s="21" t="n">
        <f aca="false">S689-T689</f>
        <v>-0.103092783501779</v>
      </c>
      <c r="V689" s="21" t="n">
        <f aca="false">Y689-O689*R689/(1-R689)</f>
        <v>-0.0206185567003558</v>
      </c>
      <c r="W689" s="21" t="n">
        <f aca="false">Z689-P689*R689/(1-R689)</f>
        <v>0.123711340206114</v>
      </c>
      <c r="X689" s="21" t="n">
        <f aca="false">S689+V689+W689</f>
        <v>41506</v>
      </c>
      <c r="Y689" s="19" t="n">
        <v>40951</v>
      </c>
      <c r="Z689" s="19" t="n">
        <v>555</v>
      </c>
      <c r="AA689" s="19" t="n">
        <v>1342024</v>
      </c>
      <c r="AB689" s="29" t="n">
        <v>11.697</v>
      </c>
      <c r="AC689" s="29" t="n">
        <v>11.77075</v>
      </c>
      <c r="AD689" s="24" t="n">
        <f aca="false">IFERROR(AA689/AC689,0)</f>
        <v>114013.465582057</v>
      </c>
      <c r="AE689" s="25" t="n">
        <f aca="false">K689-Q689-X689</f>
        <v>0</v>
      </c>
      <c r="AF689" s="25" t="n">
        <f aca="false">Q689-AA689</f>
        <v>0</v>
      </c>
      <c r="AG689" s="19" t="n">
        <v>1383529.926862</v>
      </c>
      <c r="AH689" s="26" t="n">
        <f aca="false">IFERROR(AG689/Q689,0)</f>
        <v>1.03092785737215</v>
      </c>
      <c r="AI689" s="27" t="n">
        <v>368396226.415094</v>
      </c>
      <c r="AJ689" s="26" t="n">
        <f aca="false">IF(AI689&gt;0,AprCoef/SQRT(AI689),0)</f>
        <v>0.0246956667029916</v>
      </c>
      <c r="AK689" s="24" t="n">
        <f aca="false">AI689*AJ689/365</f>
        <v>24925.4532114713</v>
      </c>
      <c r="AL689" s="24" t="n">
        <f aca="false">AD689</f>
        <v>114013.465582057</v>
      </c>
      <c r="AM689" s="24" t="n">
        <f aca="false">AK689-AL689</f>
        <v>-89088.012370586</v>
      </c>
      <c r="AN689" s="28" t="str">
        <f aca="false">IF(A689&gt;=Hip3LaunchDate,"YES","")</f>
        <v/>
      </c>
      <c r="AO689" s="28" t="str">
        <f aca="false">IF(A689&lt;Hip4LaunchDate,"pre-launch","live (zero-fee)")</f>
        <v>pre-launch</v>
      </c>
      <c r="AP689" s="20"/>
      <c r="AQ689" s="20"/>
      <c r="AR689" s="20"/>
    </row>
    <row r="690" customFormat="false" ht="15" hidden="false" customHeight="false" outlineLevel="0" collapsed="false">
      <c r="A690" s="18" t="n">
        <v>45751</v>
      </c>
      <c r="B690" s="19" t="n">
        <v>7751080977.47</v>
      </c>
      <c r="C690" s="19" t="n">
        <v>0</v>
      </c>
      <c r="D690" s="19" t="n">
        <v>129690210</v>
      </c>
      <c r="E690" s="21" t="n">
        <f aca="false">B690+C690</f>
        <v>7751080977.47</v>
      </c>
      <c r="F690" s="21" t="n">
        <f aca="false">E690+D690</f>
        <v>7880771187.47</v>
      </c>
      <c r="G690" s="22" t="n">
        <f aca="false">IFERROR(C690/E690,0)</f>
        <v>0</v>
      </c>
      <c r="H690" s="19" t="n">
        <v>1793407</v>
      </c>
      <c r="I690" s="19" t="n">
        <v>17493</v>
      </c>
      <c r="J690" s="19" t="n">
        <v>54241</v>
      </c>
      <c r="K690" s="21" t="n">
        <f aca="false">H690+I690</f>
        <v>1810900</v>
      </c>
      <c r="L690" s="20"/>
      <c r="M690" s="21" t="n">
        <f aca="false">H690-L690</f>
        <v>1793407</v>
      </c>
      <c r="N690" s="23" t="n">
        <f aca="false">IFERROR(M690/B690*10000,0)</f>
        <v>2.31375082419198</v>
      </c>
      <c r="O690" s="19" t="n">
        <v>1739605</v>
      </c>
      <c r="P690" s="19" t="n">
        <v>16969</v>
      </c>
      <c r="Q690" s="21" t="n">
        <f aca="false">O690+P690</f>
        <v>1756574</v>
      </c>
      <c r="R690" s="22" t="n">
        <f aca="false">IF(A690&lt;HlpChangeDate,HlpSharePre,HlpSharePost)</f>
        <v>0.03</v>
      </c>
      <c r="S690" s="21" t="n">
        <f aca="false">Q690*R690/(1-R690)</f>
        <v>54327.0309278351</v>
      </c>
      <c r="T690" s="19" t="n">
        <v>54241</v>
      </c>
      <c r="U690" s="21" t="n">
        <f aca="false">S690-T690</f>
        <v>86.0309278350542</v>
      </c>
      <c r="V690" s="21" t="n">
        <f aca="false">Y690-O690*R690/(1-R690)</f>
        <v>-0.21649484536465</v>
      </c>
      <c r="W690" s="21" t="n">
        <f aca="false">Z690-P690*R690/(1-R690)</f>
        <v>0.185567010309228</v>
      </c>
      <c r="X690" s="21" t="n">
        <f aca="false">S690+V690+W690</f>
        <v>54327</v>
      </c>
      <c r="Y690" s="19" t="n">
        <v>53802</v>
      </c>
      <c r="Z690" s="19" t="n">
        <v>525</v>
      </c>
      <c r="AA690" s="19" t="n">
        <v>1756574</v>
      </c>
      <c r="AB690" s="29" t="n">
        <v>11.867</v>
      </c>
      <c r="AC690" s="29" t="n">
        <v>11.73575</v>
      </c>
      <c r="AD690" s="24" t="n">
        <f aca="false">IFERROR(AA690/AC690,0)</f>
        <v>149677.182966576</v>
      </c>
      <c r="AE690" s="25" t="n">
        <f aca="false">K690-Q690-X690</f>
        <v>-1</v>
      </c>
      <c r="AF690" s="25" t="n">
        <f aca="false">Q690-AA690</f>
        <v>0</v>
      </c>
      <c r="AG690" s="19" t="n">
        <v>1808044.26264602</v>
      </c>
      <c r="AH690" s="26" t="n">
        <f aca="false">IFERROR(AG690/Q690,0)</f>
        <v>1.02930150545666</v>
      </c>
      <c r="AI690" s="27" t="n">
        <v>369113207.54717</v>
      </c>
      <c r="AJ690" s="26" t="n">
        <f aca="false">IF(AI690&gt;0,AprCoef/SQRT(AI690),0)</f>
        <v>0.0246716700896913</v>
      </c>
      <c r="AK690" s="24" t="n">
        <f aca="false">AI690*AJ690/365</f>
        <v>24949.6966639768</v>
      </c>
      <c r="AL690" s="24" t="n">
        <f aca="false">AD690</f>
        <v>149677.182966576</v>
      </c>
      <c r="AM690" s="24" t="n">
        <f aca="false">AK690-AL690</f>
        <v>-124727.4863026</v>
      </c>
      <c r="AN690" s="28" t="str">
        <f aca="false">IF(A690&gt;=Hip3LaunchDate,"YES","")</f>
        <v/>
      </c>
      <c r="AO690" s="28" t="str">
        <f aca="false">IF(A690&lt;Hip4LaunchDate,"pre-launch","live (zero-fee)")</f>
        <v>pre-launch</v>
      </c>
      <c r="AP690" s="20"/>
      <c r="AQ690" s="20"/>
      <c r="AR690" s="20"/>
    </row>
    <row r="691" customFormat="false" ht="15" hidden="false" customHeight="false" outlineLevel="0" collapsed="false">
      <c r="A691" s="18" t="n">
        <v>45752</v>
      </c>
      <c r="B691" s="19" t="n">
        <v>2430774311.15</v>
      </c>
      <c r="C691" s="19" t="n">
        <v>0</v>
      </c>
      <c r="D691" s="19" t="n">
        <v>42672433</v>
      </c>
      <c r="E691" s="21" t="n">
        <f aca="false">B691+C691</f>
        <v>2430774311.15</v>
      </c>
      <c r="F691" s="21" t="n">
        <f aca="false">E691+D691</f>
        <v>2473446744.15</v>
      </c>
      <c r="G691" s="22" t="n">
        <f aca="false">IFERROR(C691/E691,0)</f>
        <v>0</v>
      </c>
      <c r="H691" s="19" t="n">
        <v>539008</v>
      </c>
      <c r="I691" s="19" t="n">
        <v>6171</v>
      </c>
      <c r="J691" s="19" t="n">
        <v>16441</v>
      </c>
      <c r="K691" s="21" t="n">
        <f aca="false">H691+I691</f>
        <v>545179</v>
      </c>
      <c r="L691" s="20"/>
      <c r="M691" s="21" t="n">
        <f aca="false">H691-L691</f>
        <v>539008</v>
      </c>
      <c r="N691" s="23" t="n">
        <f aca="false">IFERROR(M691/B691*10000,0)</f>
        <v>2.2174333401812</v>
      </c>
      <c r="O691" s="19" t="n">
        <v>522837</v>
      </c>
      <c r="P691" s="19" t="n">
        <v>5986</v>
      </c>
      <c r="Q691" s="21" t="n">
        <f aca="false">O691+P691</f>
        <v>528823</v>
      </c>
      <c r="R691" s="22" t="n">
        <f aca="false">IF(A691&lt;HlpChangeDate,HlpSharePre,HlpSharePost)</f>
        <v>0.03</v>
      </c>
      <c r="S691" s="21" t="n">
        <f aca="false">Q691*R691/(1-R691)</f>
        <v>16355.3505154639</v>
      </c>
      <c r="T691" s="19" t="n">
        <v>16441</v>
      </c>
      <c r="U691" s="21" t="n">
        <f aca="false">S691-T691</f>
        <v>-85.649484536083</v>
      </c>
      <c r="V691" s="21" t="n">
        <f aca="false">Y691-O691*R691/(1-R691)</f>
        <v>-0.216494845359193</v>
      </c>
      <c r="W691" s="21" t="n">
        <f aca="false">Z691-P691*R691/(1-R691)</f>
        <v>-0.13402061855669</v>
      </c>
      <c r="X691" s="21" t="n">
        <f aca="false">S691+V691+W691</f>
        <v>16355</v>
      </c>
      <c r="Y691" s="19" t="n">
        <v>16170</v>
      </c>
      <c r="Z691" s="19" t="n">
        <v>185</v>
      </c>
      <c r="AA691" s="19" t="n">
        <v>528823</v>
      </c>
      <c r="AB691" s="29" t="n">
        <v>12.029</v>
      </c>
      <c r="AC691" s="29" t="n">
        <v>11.8745</v>
      </c>
      <c r="AD691" s="24" t="n">
        <f aca="false">IFERROR(AA691/AC691,0)</f>
        <v>44534.3382879279</v>
      </c>
      <c r="AE691" s="25" t="n">
        <f aca="false">K691-Q691-X691</f>
        <v>0.999999999998181</v>
      </c>
      <c r="AF691" s="25" t="n">
        <f aca="false">Q691-AA691</f>
        <v>0</v>
      </c>
      <c r="AG691" s="19" t="n">
        <v>548034.360978007</v>
      </c>
      <c r="AH691" s="26" t="n">
        <f aca="false">IFERROR(AG691/Q691,0)</f>
        <v>1.03632852765104</v>
      </c>
      <c r="AI691" s="27" t="n">
        <v>369830188.679245</v>
      </c>
      <c r="AJ691" s="26" t="n">
        <f aca="false">IF(AI691&gt;0,AprCoef/SQRT(AI691),0)</f>
        <v>0.0246477432927652</v>
      </c>
      <c r="AK691" s="24" t="n">
        <f aca="false">AI691*AJ691/365</f>
        <v>24973.9165821396</v>
      </c>
      <c r="AL691" s="24" t="n">
        <f aca="false">AD691</f>
        <v>44534.3382879279</v>
      </c>
      <c r="AM691" s="24" t="n">
        <f aca="false">AK691-AL691</f>
        <v>-19560.4217057884</v>
      </c>
      <c r="AN691" s="28" t="str">
        <f aca="false">IF(A691&gt;=Hip3LaunchDate,"YES","")</f>
        <v/>
      </c>
      <c r="AO691" s="28" t="str">
        <f aca="false">IF(A691&lt;Hip4LaunchDate,"pre-launch","live (zero-fee)")</f>
        <v>pre-launch</v>
      </c>
      <c r="AP691" s="20"/>
      <c r="AQ691" s="20"/>
      <c r="AR691" s="20"/>
    </row>
    <row r="692" customFormat="false" ht="15" hidden="false" customHeight="false" outlineLevel="0" collapsed="false">
      <c r="A692" s="18" t="n">
        <v>45753</v>
      </c>
      <c r="B692" s="19" t="n">
        <v>7538397804.35</v>
      </c>
      <c r="C692" s="19" t="n">
        <v>0</v>
      </c>
      <c r="D692" s="19" t="n">
        <v>148050393</v>
      </c>
      <c r="E692" s="21" t="n">
        <f aca="false">B692+C692</f>
        <v>7538397804.35</v>
      </c>
      <c r="F692" s="21" t="n">
        <f aca="false">E692+D692</f>
        <v>7686448197.35</v>
      </c>
      <c r="G692" s="22" t="n">
        <f aca="false">IFERROR(C692/E692,0)</f>
        <v>0</v>
      </c>
      <c r="H692" s="19" t="n">
        <v>1754691</v>
      </c>
      <c r="I692" s="19" t="n">
        <v>18329</v>
      </c>
      <c r="J692" s="19" t="n">
        <v>52224</v>
      </c>
      <c r="K692" s="21" t="n">
        <f aca="false">H692+I692</f>
        <v>1773020</v>
      </c>
      <c r="L692" s="20"/>
      <c r="M692" s="21" t="n">
        <f aca="false">H692-L692</f>
        <v>1754691</v>
      </c>
      <c r="N692" s="23" t="n">
        <f aca="false">IFERROR(M692/B692*10000,0)</f>
        <v>2.32767100588332</v>
      </c>
      <c r="O692" s="19" t="n">
        <v>1702051</v>
      </c>
      <c r="P692" s="19" t="n">
        <v>17780</v>
      </c>
      <c r="Q692" s="21" t="n">
        <f aca="false">O692+P692</f>
        <v>1719831</v>
      </c>
      <c r="R692" s="22" t="n">
        <f aca="false">IF(A692&lt;HlpChangeDate,HlpSharePre,HlpSharePost)</f>
        <v>0.03</v>
      </c>
      <c r="S692" s="21" t="n">
        <f aca="false">Q692*R692/(1-R692)</f>
        <v>53190.6494845361</v>
      </c>
      <c r="T692" s="19" t="n">
        <v>52224</v>
      </c>
      <c r="U692" s="21" t="n">
        <f aca="false">S692-T692</f>
        <v>966.649484536087</v>
      </c>
      <c r="V692" s="21" t="n">
        <f aca="false">Y692-O692*R692/(1-R692)</f>
        <v>0.247422680411546</v>
      </c>
      <c r="W692" s="21" t="n">
        <f aca="false">Z692-P692*R692/(1-R692)</f>
        <v>0.10309278350519</v>
      </c>
      <c r="X692" s="21" t="n">
        <f aca="false">S692+V692+W692</f>
        <v>53191</v>
      </c>
      <c r="Y692" s="19" t="n">
        <v>52641</v>
      </c>
      <c r="Z692" s="19" t="n">
        <v>550</v>
      </c>
      <c r="AA692" s="19" t="n">
        <v>1719831</v>
      </c>
      <c r="AB692" s="29" t="n">
        <v>10.254</v>
      </c>
      <c r="AC692" s="29" t="n">
        <v>11.094</v>
      </c>
      <c r="AD692" s="24" t="n">
        <f aca="false">IFERROR(AA692/AC692,0)</f>
        <v>155023.526230395</v>
      </c>
      <c r="AE692" s="25" t="n">
        <f aca="false">K692-Q692-X692</f>
        <v>-2</v>
      </c>
      <c r="AF692" s="25" t="n">
        <f aca="false">Q692-AA692</f>
        <v>0</v>
      </c>
      <c r="AG692" s="19" t="n">
        <v>1740788.64941198</v>
      </c>
      <c r="AH692" s="26" t="n">
        <f aca="false">IFERROR(AG692/Q692,0)</f>
        <v>1.01218587722397</v>
      </c>
      <c r="AI692" s="27" t="n">
        <v>370547169.811321</v>
      </c>
      <c r="AJ692" s="26" t="n">
        <f aca="false">IF(AI692&gt;0,AprCoef/SQRT(AI692),0)</f>
        <v>0.0246238859743259</v>
      </c>
      <c r="AK692" s="24" t="n">
        <f aca="false">AI692*AJ692/365</f>
        <v>24998.1130343647</v>
      </c>
      <c r="AL692" s="24" t="n">
        <f aca="false">AD692</f>
        <v>155023.526230395</v>
      </c>
      <c r="AM692" s="24" t="n">
        <f aca="false">AK692-AL692</f>
        <v>-130025.41319603</v>
      </c>
      <c r="AN692" s="28" t="str">
        <f aca="false">IF(A692&gt;=Hip3LaunchDate,"YES","")</f>
        <v/>
      </c>
      <c r="AO692" s="28" t="str">
        <f aca="false">IF(A692&lt;Hip4LaunchDate,"pre-launch","live (zero-fee)")</f>
        <v>pre-launch</v>
      </c>
      <c r="AP692" s="20"/>
      <c r="AQ692" s="20"/>
      <c r="AR692" s="20"/>
    </row>
    <row r="693" customFormat="false" ht="15" hidden="false" customHeight="false" outlineLevel="0" collapsed="false">
      <c r="A693" s="18" t="n">
        <v>45754</v>
      </c>
      <c r="B693" s="19" t="n">
        <v>13309974115.71</v>
      </c>
      <c r="C693" s="19" t="n">
        <v>0</v>
      </c>
      <c r="D693" s="19" t="n">
        <v>254918742</v>
      </c>
      <c r="E693" s="21" t="n">
        <f aca="false">B693+C693</f>
        <v>13309974115.71</v>
      </c>
      <c r="F693" s="21" t="n">
        <f aca="false">E693+D693</f>
        <v>13564892857.71</v>
      </c>
      <c r="G693" s="22" t="n">
        <f aca="false">IFERROR(C693/E693,0)</f>
        <v>0</v>
      </c>
      <c r="H693" s="19" t="n">
        <v>3081123</v>
      </c>
      <c r="I693" s="19" t="n">
        <v>36051</v>
      </c>
      <c r="J693" s="19" t="n">
        <v>94251</v>
      </c>
      <c r="K693" s="21" t="n">
        <f aca="false">H693+I693</f>
        <v>3117174</v>
      </c>
      <c r="L693" s="20"/>
      <c r="M693" s="21" t="n">
        <f aca="false">H693-L693</f>
        <v>3081123</v>
      </c>
      <c r="N693" s="23" t="n">
        <f aca="false">IFERROR(M693/B693*10000,0)</f>
        <v>2.31489781513797</v>
      </c>
      <c r="O693" s="19" t="n">
        <v>2988690</v>
      </c>
      <c r="P693" s="19" t="n">
        <v>34970</v>
      </c>
      <c r="Q693" s="21" t="n">
        <f aca="false">O693+P693</f>
        <v>3023660</v>
      </c>
      <c r="R693" s="22" t="n">
        <f aca="false">IF(A693&lt;HlpChangeDate,HlpSharePre,HlpSharePost)</f>
        <v>0.03</v>
      </c>
      <c r="S693" s="21" t="n">
        <f aca="false">Q693*R693/(1-R693)</f>
        <v>93515.2577319588</v>
      </c>
      <c r="T693" s="19" t="n">
        <v>94251</v>
      </c>
      <c r="U693" s="21" t="n">
        <f aca="false">S693-T693</f>
        <v>-735.742268041227</v>
      </c>
      <c r="V693" s="21" t="n">
        <f aca="false">Y693-O693*R693/(1-R693)</f>
        <v>0.288659793819534</v>
      </c>
      <c r="W693" s="21" t="n">
        <f aca="false">Z693-P693*R693/(1-R693)</f>
        <v>0.453608247422835</v>
      </c>
      <c r="X693" s="21" t="n">
        <f aca="false">S693+V693+W693</f>
        <v>93516</v>
      </c>
      <c r="Y693" s="19" t="n">
        <v>92434</v>
      </c>
      <c r="Z693" s="19" t="n">
        <v>1082</v>
      </c>
      <c r="AA693" s="19" t="n">
        <v>3023660</v>
      </c>
      <c r="AB693" s="29" t="n">
        <v>11.489</v>
      </c>
      <c r="AC693" s="29" t="n">
        <v>10.743425</v>
      </c>
      <c r="AD693" s="24" t="n">
        <f aca="false">IFERROR(AA693/AC693,0)</f>
        <v>281442.835967115</v>
      </c>
      <c r="AE693" s="25" t="n">
        <f aca="false">K693-Q693-X693</f>
        <v>-2.00000000001455</v>
      </c>
      <c r="AF693" s="25" t="n">
        <f aca="false">Q693-AA693</f>
        <v>0</v>
      </c>
      <c r="AG693" s="19" t="n">
        <v>3141695.36513305</v>
      </c>
      <c r="AH693" s="26" t="n">
        <f aca="false">IFERROR(AG693/Q693,0)</f>
        <v>1.03903724794886</v>
      </c>
      <c r="AI693" s="27" t="n">
        <v>371264150.943396</v>
      </c>
      <c r="AJ693" s="26" t="n">
        <f aca="false">IF(AI693&gt;0,AprCoef/SQRT(AI693),0)</f>
        <v>0.0246000977987711</v>
      </c>
      <c r="AK693" s="24" t="n">
        <f aca="false">AI693*AJ693/365</f>
        <v>25022.2860887267</v>
      </c>
      <c r="AL693" s="24" t="n">
        <f aca="false">AD693</f>
        <v>281442.835967115</v>
      </c>
      <c r="AM693" s="24" t="n">
        <f aca="false">AK693-AL693</f>
        <v>-256420.549878388</v>
      </c>
      <c r="AN693" s="28" t="str">
        <f aca="false">IF(A693&gt;=Hip3LaunchDate,"YES","")</f>
        <v/>
      </c>
      <c r="AO693" s="28" t="str">
        <f aca="false">IF(A693&lt;Hip4LaunchDate,"pre-launch","live (zero-fee)")</f>
        <v>pre-launch</v>
      </c>
      <c r="AP693" s="20"/>
      <c r="AQ693" s="20"/>
      <c r="AR693" s="20"/>
    </row>
    <row r="694" customFormat="false" ht="15" hidden="false" customHeight="false" outlineLevel="0" collapsed="false">
      <c r="A694" s="18" t="n">
        <v>45755</v>
      </c>
      <c r="B694" s="19" t="n">
        <v>7663480477.19</v>
      </c>
      <c r="C694" s="19" t="n">
        <v>0</v>
      </c>
      <c r="D694" s="19" t="n">
        <v>163870707</v>
      </c>
      <c r="E694" s="21" t="n">
        <f aca="false">B694+C694</f>
        <v>7663480477.19</v>
      </c>
      <c r="F694" s="21" t="n">
        <f aca="false">E694+D694</f>
        <v>7827351184.19</v>
      </c>
      <c r="G694" s="22" t="n">
        <f aca="false">IFERROR(C694/E694,0)</f>
        <v>0</v>
      </c>
      <c r="H694" s="19" t="n">
        <v>1725681</v>
      </c>
      <c r="I694" s="19" t="n">
        <v>20897</v>
      </c>
      <c r="J694" s="19" t="n">
        <v>52629</v>
      </c>
      <c r="K694" s="21" t="n">
        <f aca="false">H694+I694</f>
        <v>1746578</v>
      </c>
      <c r="L694" s="20"/>
      <c r="M694" s="21" t="n">
        <f aca="false">H694-L694</f>
        <v>1725681</v>
      </c>
      <c r="N694" s="23" t="n">
        <f aca="false">IFERROR(M694/B694*10000,0)</f>
        <v>2.25182409629203</v>
      </c>
      <c r="O694" s="19" t="n">
        <v>1673910</v>
      </c>
      <c r="P694" s="19" t="n">
        <v>20270</v>
      </c>
      <c r="Q694" s="21" t="n">
        <f aca="false">O694+P694</f>
        <v>1694180</v>
      </c>
      <c r="R694" s="22" t="n">
        <f aca="false">IF(A694&lt;HlpChangeDate,HlpSharePre,HlpSharePost)</f>
        <v>0.03</v>
      </c>
      <c r="S694" s="21" t="n">
        <f aca="false">Q694*R694/(1-R694)</f>
        <v>52397.3195876289</v>
      </c>
      <c r="T694" s="19" t="n">
        <v>52629</v>
      </c>
      <c r="U694" s="21" t="n">
        <f aca="false">S694-T694</f>
        <v>-231.680412371134</v>
      </c>
      <c r="V694" s="21" t="n">
        <f aca="false">Y694-O694*R694/(1-R694)</f>
        <v>-0.412371134014393</v>
      </c>
      <c r="W694" s="21" t="n">
        <f aca="false">Z694-P694*R694/(1-R694)</f>
        <v>0.0927835051545571</v>
      </c>
      <c r="X694" s="21" t="n">
        <f aca="false">S694+V694+W694</f>
        <v>52397</v>
      </c>
      <c r="Y694" s="19" t="n">
        <v>51770</v>
      </c>
      <c r="Z694" s="19" t="n">
        <v>627</v>
      </c>
      <c r="AA694" s="19" t="n">
        <v>1694180</v>
      </c>
      <c r="AB694" s="29" t="n">
        <v>11.216</v>
      </c>
      <c r="AC694" s="29" t="n">
        <v>11.50575</v>
      </c>
      <c r="AD694" s="24" t="n">
        <f aca="false">IFERROR(AA694/AC694,0)</f>
        <v>147246.376811594</v>
      </c>
      <c r="AE694" s="25" t="n">
        <f aca="false">K694-Q694-X694</f>
        <v>0.999999999992724</v>
      </c>
      <c r="AF694" s="25" t="n">
        <f aca="false">Q694-AA694</f>
        <v>0</v>
      </c>
      <c r="AG694" s="19" t="n">
        <v>1754289.21140701</v>
      </c>
      <c r="AH694" s="26" t="n">
        <f aca="false">IFERROR(AG694/Q694,0)</f>
        <v>1.0354798258786</v>
      </c>
      <c r="AI694" s="27" t="n">
        <v>371981132.075472</v>
      </c>
      <c r="AJ694" s="26" t="n">
        <f aca="false">IF(AI694&gt;0,AprCoef/SQRT(AI694),0)</f>
        <v>0.0245763784327635</v>
      </c>
      <c r="AK694" s="24" t="n">
        <f aca="false">AI694*AJ694/365</f>
        <v>25046.4358129714</v>
      </c>
      <c r="AL694" s="24" t="n">
        <f aca="false">AD694</f>
        <v>147246.376811594</v>
      </c>
      <c r="AM694" s="24" t="n">
        <f aca="false">AK694-AL694</f>
        <v>-122199.940998623</v>
      </c>
      <c r="AN694" s="28" t="str">
        <f aca="false">IF(A694&gt;=Hip3LaunchDate,"YES","")</f>
        <v/>
      </c>
      <c r="AO694" s="28" t="str">
        <f aca="false">IF(A694&lt;Hip4LaunchDate,"pre-launch","live (zero-fee)")</f>
        <v>pre-launch</v>
      </c>
      <c r="AP694" s="20"/>
      <c r="AQ694" s="20"/>
      <c r="AR694" s="20"/>
    </row>
    <row r="695" customFormat="false" ht="15" hidden="false" customHeight="false" outlineLevel="0" collapsed="false">
      <c r="A695" s="18" t="n">
        <v>45756</v>
      </c>
      <c r="B695" s="19" t="n">
        <v>12444620477.98</v>
      </c>
      <c r="C695" s="19" t="n">
        <v>0</v>
      </c>
      <c r="D695" s="19" t="n">
        <v>256513559</v>
      </c>
      <c r="E695" s="21" t="n">
        <f aca="false">B695+C695</f>
        <v>12444620477.98</v>
      </c>
      <c r="F695" s="21" t="n">
        <f aca="false">E695+D695</f>
        <v>12701134036.98</v>
      </c>
      <c r="G695" s="22" t="n">
        <f aca="false">IFERROR(C695/E695,0)</f>
        <v>0</v>
      </c>
      <c r="H695" s="19" t="n">
        <v>2807531</v>
      </c>
      <c r="I695" s="19" t="n">
        <v>36874</v>
      </c>
      <c r="J695" s="19" t="n">
        <v>84970</v>
      </c>
      <c r="K695" s="21" t="n">
        <f aca="false">H695+I695</f>
        <v>2844405</v>
      </c>
      <c r="L695" s="20"/>
      <c r="M695" s="21" t="n">
        <f aca="false">H695-L695</f>
        <v>2807531</v>
      </c>
      <c r="N695" s="23" t="n">
        <f aca="false">IFERROR(M695/B695*10000,0)</f>
        <v>2.25601978378349</v>
      </c>
      <c r="O695" s="19" t="n">
        <v>2723305</v>
      </c>
      <c r="P695" s="19" t="n">
        <v>35768</v>
      </c>
      <c r="Q695" s="21" t="n">
        <f aca="false">O695+P695</f>
        <v>2759073</v>
      </c>
      <c r="R695" s="22" t="n">
        <f aca="false">IF(A695&lt;HlpChangeDate,HlpSharePre,HlpSharePost)</f>
        <v>0.03</v>
      </c>
      <c r="S695" s="21" t="n">
        <f aca="false">Q695*R695/(1-R695)</f>
        <v>85332.1546391753</v>
      </c>
      <c r="T695" s="19" t="n">
        <v>84970</v>
      </c>
      <c r="U695" s="21" t="n">
        <f aca="false">S695-T695</f>
        <v>362.154639175264</v>
      </c>
      <c r="V695" s="21" t="n">
        <f aca="false">Y695-O695*R695/(1-R695)</f>
        <v>0.0721649484621594</v>
      </c>
      <c r="W695" s="21" t="n">
        <f aca="false">Z695-P695*R695/(1-R695)</f>
        <v>-0.226804123711418</v>
      </c>
      <c r="X695" s="21" t="n">
        <f aca="false">S695+V695+W695</f>
        <v>85332</v>
      </c>
      <c r="Y695" s="19" t="n">
        <v>84226</v>
      </c>
      <c r="Z695" s="19" t="n">
        <v>1106</v>
      </c>
      <c r="AA695" s="19" t="n">
        <v>2759073</v>
      </c>
      <c r="AB695" s="29" t="n">
        <v>13.577</v>
      </c>
      <c r="AC695" s="29" t="n">
        <v>12.58375</v>
      </c>
      <c r="AD695" s="24" t="n">
        <f aca="false">IFERROR(AA695/AC695,0)</f>
        <v>219256.819310619</v>
      </c>
      <c r="AE695" s="25" t="n">
        <f aca="false">K695-Q695-X695</f>
        <v>0</v>
      </c>
      <c r="AF695" s="25" t="n">
        <f aca="false">Q695-AA695</f>
        <v>0</v>
      </c>
      <c r="AG695" s="19" t="n">
        <v>2832320.79842097</v>
      </c>
      <c r="AH695" s="26" t="n">
        <f aca="false">IFERROR(AG695/Q695,0)</f>
        <v>1.0265479740554</v>
      </c>
      <c r="AI695" s="27" t="n">
        <v>372698113.207547</v>
      </c>
      <c r="AJ695" s="26" t="n">
        <f aca="false">IF(AI695&gt;0,AprCoef/SQRT(AI695),0)</f>
        <v>0.0245527275452114</v>
      </c>
      <c r="AK695" s="24" t="n">
        <f aca="false">AI695*AJ695/365</f>
        <v>25070.5622745185</v>
      </c>
      <c r="AL695" s="24" t="n">
        <f aca="false">AD695</f>
        <v>219256.819310619</v>
      </c>
      <c r="AM695" s="24" t="n">
        <f aca="false">AK695-AL695</f>
        <v>-194186.2570361</v>
      </c>
      <c r="AN695" s="28" t="str">
        <f aca="false">IF(A695&gt;=Hip3LaunchDate,"YES","")</f>
        <v/>
      </c>
      <c r="AO695" s="28" t="str">
        <f aca="false">IF(A695&lt;Hip4LaunchDate,"pre-launch","live (zero-fee)")</f>
        <v>pre-launch</v>
      </c>
      <c r="AP695" s="20"/>
      <c r="AQ695" s="20"/>
      <c r="AR695" s="20"/>
    </row>
    <row r="696" customFormat="false" ht="15" hidden="false" customHeight="false" outlineLevel="0" collapsed="false">
      <c r="A696" s="18" t="n">
        <v>45757</v>
      </c>
      <c r="B696" s="19" t="n">
        <v>7229336568.38</v>
      </c>
      <c r="C696" s="19" t="n">
        <v>0</v>
      </c>
      <c r="D696" s="19" t="n">
        <v>165359677</v>
      </c>
      <c r="E696" s="21" t="n">
        <f aca="false">B696+C696</f>
        <v>7229336568.38</v>
      </c>
      <c r="F696" s="21" t="n">
        <f aca="false">E696+D696</f>
        <v>7394696245.38</v>
      </c>
      <c r="G696" s="22" t="n">
        <f aca="false">IFERROR(C696/E696,0)</f>
        <v>0</v>
      </c>
      <c r="H696" s="19" t="n">
        <v>1649920</v>
      </c>
      <c r="I696" s="19" t="n">
        <v>22705</v>
      </c>
      <c r="J696" s="19" t="n">
        <v>50541</v>
      </c>
      <c r="K696" s="21" t="n">
        <f aca="false">H696+I696</f>
        <v>1672625</v>
      </c>
      <c r="L696" s="20"/>
      <c r="M696" s="21" t="n">
        <f aca="false">H696-L696</f>
        <v>1649920</v>
      </c>
      <c r="N696" s="23" t="n">
        <f aca="false">IFERROR(M696/B696*10000,0)</f>
        <v>2.28225644828392</v>
      </c>
      <c r="O696" s="19" t="n">
        <v>1600423</v>
      </c>
      <c r="P696" s="19" t="n">
        <v>22023</v>
      </c>
      <c r="Q696" s="21" t="n">
        <f aca="false">O696+P696</f>
        <v>1622446</v>
      </c>
      <c r="R696" s="22" t="n">
        <f aca="false">IF(A696&lt;HlpChangeDate,HlpSharePre,HlpSharePost)</f>
        <v>0.03</v>
      </c>
      <c r="S696" s="21" t="n">
        <f aca="false">Q696*R696/(1-R696)</f>
        <v>50178.7422680412</v>
      </c>
      <c r="T696" s="19" t="n">
        <v>50541</v>
      </c>
      <c r="U696" s="21" t="n">
        <f aca="false">S696-T696</f>
        <v>-362.257731958765</v>
      </c>
      <c r="V696" s="21" t="n">
        <f aca="false">Y696-O696*R696/(1-R696)</f>
        <v>0.381443298974773</v>
      </c>
      <c r="W696" s="21" t="n">
        <f aca="false">Z696-P696*R696/(1-R696)</f>
        <v>-0.123711340206114</v>
      </c>
      <c r="X696" s="21" t="n">
        <f aca="false">S696+V696+W696</f>
        <v>50179</v>
      </c>
      <c r="Y696" s="19" t="n">
        <v>49498</v>
      </c>
      <c r="Z696" s="19" t="n">
        <v>681</v>
      </c>
      <c r="AA696" s="19" t="n">
        <v>1622446</v>
      </c>
      <c r="AB696" s="29" t="n">
        <v>14.172</v>
      </c>
      <c r="AC696" s="29" t="n">
        <v>13.83425</v>
      </c>
      <c r="AD696" s="24" t="n">
        <f aca="false">IFERROR(AA696/AC696,0)</f>
        <v>117277.481612664</v>
      </c>
      <c r="AE696" s="25" t="n">
        <f aca="false">K696-Q696-X696</f>
        <v>0</v>
      </c>
      <c r="AF696" s="25" t="n">
        <f aca="false">Q696-AA696</f>
        <v>0</v>
      </c>
      <c r="AG696" s="19" t="n">
        <v>1684709.613406</v>
      </c>
      <c r="AH696" s="26" t="n">
        <f aca="false">IFERROR(AG696/Q696,0)</f>
        <v>1.03837638565845</v>
      </c>
      <c r="AI696" s="27" t="n">
        <v>373415094.339623</v>
      </c>
      <c r="AJ696" s="26" t="n">
        <f aca="false">IF(AI696&gt;0,AprCoef/SQRT(AI696),0)</f>
        <v>0.024529144807249</v>
      </c>
      <c r="AK696" s="24" t="n">
        <f aca="false">AI696*AJ696/365</f>
        <v>25094.6655404634</v>
      </c>
      <c r="AL696" s="24" t="n">
        <f aca="false">AD696</f>
        <v>117277.481612664</v>
      </c>
      <c r="AM696" s="24" t="n">
        <f aca="false">AK696-AL696</f>
        <v>-92182.8160722008</v>
      </c>
      <c r="AN696" s="28" t="str">
        <f aca="false">IF(A696&gt;=Hip3LaunchDate,"YES","")</f>
        <v/>
      </c>
      <c r="AO696" s="28" t="str">
        <f aca="false">IF(A696&lt;Hip4LaunchDate,"pre-launch","live (zero-fee)")</f>
        <v>pre-launch</v>
      </c>
      <c r="AP696" s="20"/>
      <c r="AQ696" s="20"/>
      <c r="AR696" s="20"/>
    </row>
    <row r="697" customFormat="false" ht="15" hidden="false" customHeight="false" outlineLevel="0" collapsed="false">
      <c r="A697" s="18" t="n">
        <v>45758</v>
      </c>
      <c r="B697" s="19" t="n">
        <v>5544362890.15</v>
      </c>
      <c r="C697" s="19" t="n">
        <v>0</v>
      </c>
      <c r="D697" s="19" t="n">
        <v>187070232</v>
      </c>
      <c r="E697" s="21" t="n">
        <f aca="false">B697+C697</f>
        <v>5544362890.15</v>
      </c>
      <c r="F697" s="21" t="n">
        <f aca="false">E697+D697</f>
        <v>5731433122.15</v>
      </c>
      <c r="G697" s="22" t="n">
        <f aca="false">IFERROR(C697/E697,0)</f>
        <v>0</v>
      </c>
      <c r="H697" s="19" t="n">
        <v>1303083</v>
      </c>
      <c r="I697" s="19" t="n">
        <v>24450</v>
      </c>
      <c r="J697" s="19" t="n">
        <v>39826</v>
      </c>
      <c r="K697" s="21" t="n">
        <f aca="false">H697+I697</f>
        <v>1327533</v>
      </c>
      <c r="L697" s="20"/>
      <c r="M697" s="21" t="n">
        <f aca="false">H697-L697</f>
        <v>1303083</v>
      </c>
      <c r="N697" s="23" t="n">
        <f aca="false">IFERROR(M697/B697*10000,0)</f>
        <v>2.35028447058368</v>
      </c>
      <c r="O697" s="19" t="n">
        <v>1263991</v>
      </c>
      <c r="P697" s="19" t="n">
        <v>23717</v>
      </c>
      <c r="Q697" s="21" t="n">
        <f aca="false">O697+P697</f>
        <v>1287708</v>
      </c>
      <c r="R697" s="22" t="n">
        <f aca="false">IF(A697&lt;HlpChangeDate,HlpSharePre,HlpSharePost)</f>
        <v>0.03</v>
      </c>
      <c r="S697" s="21" t="n">
        <f aca="false">Q697*R697/(1-R697)</f>
        <v>39826.0206185567</v>
      </c>
      <c r="T697" s="19" t="n">
        <v>39826</v>
      </c>
      <c r="U697" s="21" t="n">
        <f aca="false">S697-T697</f>
        <v>0.0206185567003558</v>
      </c>
      <c r="V697" s="21" t="n">
        <f aca="false">Y697-O697*R697/(1-R697)</f>
        <v>-0.505154639169632</v>
      </c>
      <c r="W697" s="21" t="n">
        <f aca="false">Z697-P697*R697/(1-R697)</f>
        <v>0.484536082474165</v>
      </c>
      <c r="X697" s="21" t="n">
        <f aca="false">S697+V697+W697</f>
        <v>39826</v>
      </c>
      <c r="Y697" s="19" t="n">
        <v>39092</v>
      </c>
      <c r="Z697" s="19" t="n">
        <v>734</v>
      </c>
      <c r="AA697" s="19" t="n">
        <v>1287708</v>
      </c>
      <c r="AB697" s="29" t="n">
        <v>15.694</v>
      </c>
      <c r="AC697" s="29" t="n">
        <v>14.908</v>
      </c>
      <c r="AD697" s="24" t="n">
        <f aca="false">IFERROR(AA697/AC697,0)</f>
        <v>86376.9788033271</v>
      </c>
      <c r="AE697" s="25" t="n">
        <f aca="false">K697-Q697-X697</f>
        <v>-1.00000000000728</v>
      </c>
      <c r="AF697" s="25" t="n">
        <f aca="false">Q697-AA697</f>
        <v>0</v>
      </c>
      <c r="AG697" s="19" t="n">
        <v>1327533.61335701</v>
      </c>
      <c r="AH697" s="26" t="n">
        <f aca="false">IFERROR(AG697/Q697,0)</f>
        <v>1.03092751878299</v>
      </c>
      <c r="AI697" s="27" t="n">
        <v>374132075.471698</v>
      </c>
      <c r="AJ697" s="26" t="n">
        <f aca="false">IF(AI697&gt;0,AprCoef/SQRT(AI697),0)</f>
        <v>0.0245056298922175</v>
      </c>
      <c r="AK697" s="24" t="n">
        <f aca="false">AI697*AJ697/365</f>
        <v>25118.7456775798</v>
      </c>
      <c r="AL697" s="24" t="n">
        <f aca="false">AD697</f>
        <v>86376.9788033271</v>
      </c>
      <c r="AM697" s="24" t="n">
        <f aca="false">AK697-AL697</f>
        <v>-61258.2331257473</v>
      </c>
      <c r="AN697" s="28" t="str">
        <f aca="false">IF(A697&gt;=Hip3LaunchDate,"YES","")</f>
        <v/>
      </c>
      <c r="AO697" s="28" t="str">
        <f aca="false">IF(A697&lt;Hip4LaunchDate,"pre-launch","live (zero-fee)")</f>
        <v>pre-launch</v>
      </c>
      <c r="AP697" s="20"/>
      <c r="AQ697" s="20"/>
      <c r="AR697" s="20"/>
    </row>
    <row r="698" customFormat="false" ht="15" hidden="false" customHeight="false" outlineLevel="0" collapsed="false">
      <c r="A698" s="18" t="n">
        <v>45759</v>
      </c>
      <c r="B698" s="19" t="n">
        <v>4949382648.13</v>
      </c>
      <c r="C698" s="19" t="n">
        <v>0</v>
      </c>
      <c r="D698" s="19" t="n">
        <v>121367900</v>
      </c>
      <c r="E698" s="21" t="n">
        <f aca="false">B698+C698</f>
        <v>4949382648.13</v>
      </c>
      <c r="F698" s="21" t="n">
        <f aca="false">E698+D698</f>
        <v>5070750548.13</v>
      </c>
      <c r="G698" s="22" t="n">
        <f aca="false">IFERROR(C698/E698,0)</f>
        <v>0</v>
      </c>
      <c r="H698" s="19" t="n">
        <v>1132359</v>
      </c>
      <c r="I698" s="19" t="n">
        <v>15701</v>
      </c>
      <c r="J698" s="19" t="n">
        <v>34244</v>
      </c>
      <c r="K698" s="21" t="n">
        <f aca="false">H698+I698</f>
        <v>1148060</v>
      </c>
      <c r="L698" s="20"/>
      <c r="M698" s="21" t="n">
        <f aca="false">H698-L698</f>
        <v>1132359</v>
      </c>
      <c r="N698" s="23" t="n">
        <f aca="false">IFERROR(M698/B698*10000,0)</f>
        <v>2.28787927809104</v>
      </c>
      <c r="O698" s="19" t="n">
        <v>1098388</v>
      </c>
      <c r="P698" s="19" t="n">
        <v>15230</v>
      </c>
      <c r="Q698" s="21" t="n">
        <f aca="false">O698+P698</f>
        <v>1113618</v>
      </c>
      <c r="R698" s="22" t="n">
        <f aca="false">IF(A698&lt;HlpChangeDate,HlpSharePre,HlpSharePost)</f>
        <v>0.03</v>
      </c>
      <c r="S698" s="21" t="n">
        <f aca="false">Q698*R698/(1-R698)</f>
        <v>34441.793814433</v>
      </c>
      <c r="T698" s="19" t="n">
        <v>34244</v>
      </c>
      <c r="U698" s="21" t="n">
        <f aca="false">S698-T698</f>
        <v>197.793814432989</v>
      </c>
      <c r="V698" s="21" t="n">
        <f aca="false">Y698-O698*R698/(1-R698)</f>
        <v>0.237113402065006</v>
      </c>
      <c r="W698" s="21" t="n">
        <f aca="false">Z698-P698*R698/(1-R698)</f>
        <v>-0.0309278350515569</v>
      </c>
      <c r="X698" s="21" t="n">
        <f aca="false">S698+V698+W698</f>
        <v>34442</v>
      </c>
      <c r="Y698" s="19" t="n">
        <v>33971</v>
      </c>
      <c r="Z698" s="19" t="n">
        <v>471</v>
      </c>
      <c r="AA698" s="19" t="n">
        <v>1113618</v>
      </c>
      <c r="AB698" s="29" t="n">
        <v>16.332</v>
      </c>
      <c r="AC698" s="29" t="n">
        <v>15.9875</v>
      </c>
      <c r="AD698" s="24" t="n">
        <f aca="false">IFERROR(AA698/AC698,0)</f>
        <v>69655.543393276</v>
      </c>
      <c r="AE698" s="25" t="n">
        <f aca="false">K698-Q698-X698</f>
        <v>0</v>
      </c>
      <c r="AF698" s="25" t="n">
        <f aca="false">Q698-AA698</f>
        <v>0</v>
      </c>
      <c r="AG698" s="19" t="n">
        <v>1141450.76524401</v>
      </c>
      <c r="AH698" s="26" t="n">
        <f aca="false">IFERROR(AG698/Q698,0)</f>
        <v>1.02499309928899</v>
      </c>
      <c r="AI698" s="27" t="n">
        <v>374849056.603774</v>
      </c>
      <c r="AJ698" s="26" t="n">
        <f aca="false">IF(AI698&gt;0,AprCoef/SQRT(AI698),0)</f>
        <v>0.024482182475646</v>
      </c>
      <c r="AK698" s="24" t="n">
        <f aca="false">AI698*AJ698/365</f>
        <v>25142.8027523214</v>
      </c>
      <c r="AL698" s="24" t="n">
        <f aca="false">AD698</f>
        <v>69655.543393276</v>
      </c>
      <c r="AM698" s="24" t="n">
        <f aca="false">AK698-AL698</f>
        <v>-44512.7406409546</v>
      </c>
      <c r="AN698" s="28" t="str">
        <f aca="false">IF(A698&gt;=Hip3LaunchDate,"YES","")</f>
        <v/>
      </c>
      <c r="AO698" s="28" t="str">
        <f aca="false">IF(A698&lt;Hip4LaunchDate,"pre-launch","live (zero-fee)")</f>
        <v>pre-launch</v>
      </c>
      <c r="AP698" s="20"/>
      <c r="AQ698" s="20"/>
      <c r="AR698" s="20"/>
    </row>
    <row r="699" customFormat="false" ht="15" hidden="false" customHeight="false" outlineLevel="0" collapsed="false">
      <c r="A699" s="18" t="n">
        <v>45760</v>
      </c>
      <c r="B699" s="19" t="n">
        <v>6199138478.01</v>
      </c>
      <c r="C699" s="19" t="n">
        <v>0</v>
      </c>
      <c r="D699" s="19" t="n">
        <v>134246965</v>
      </c>
      <c r="E699" s="21" t="n">
        <f aca="false">B699+C699</f>
        <v>6199138478.01</v>
      </c>
      <c r="F699" s="21" t="n">
        <f aca="false">E699+D699</f>
        <v>6333385443.01</v>
      </c>
      <c r="G699" s="22" t="n">
        <f aca="false">IFERROR(C699/E699,0)</f>
        <v>0</v>
      </c>
      <c r="H699" s="19" t="n">
        <v>1346423</v>
      </c>
      <c r="I699" s="19" t="n">
        <v>18682</v>
      </c>
      <c r="J699" s="19" t="n">
        <v>41151</v>
      </c>
      <c r="K699" s="21" t="n">
        <f aca="false">H699+I699</f>
        <v>1365105</v>
      </c>
      <c r="L699" s="20"/>
      <c r="M699" s="21" t="n">
        <f aca="false">H699-L699</f>
        <v>1346423</v>
      </c>
      <c r="N699" s="23" t="n">
        <f aca="false">IFERROR(M699/B699*10000,0)</f>
        <v>2.17195180390972</v>
      </c>
      <c r="O699" s="19" t="n">
        <v>1306031</v>
      </c>
      <c r="P699" s="19" t="n">
        <v>18121</v>
      </c>
      <c r="Q699" s="21" t="n">
        <f aca="false">O699+P699</f>
        <v>1324152</v>
      </c>
      <c r="R699" s="22" t="n">
        <f aca="false">IF(A699&lt;HlpChangeDate,HlpSharePre,HlpSharePost)</f>
        <v>0.03</v>
      </c>
      <c r="S699" s="21" t="n">
        <f aca="false">Q699*R699/(1-R699)</f>
        <v>40953.1546391753</v>
      </c>
      <c r="T699" s="19" t="n">
        <v>41151</v>
      </c>
      <c r="U699" s="21" t="n">
        <f aca="false">S699-T699</f>
        <v>-197.845360824744</v>
      </c>
      <c r="V699" s="21" t="n">
        <f aca="false">Y699-O699*R699/(1-R699)</f>
        <v>0.288659793812258</v>
      </c>
      <c r="W699" s="21" t="n">
        <f aca="false">Z699-P699*R699/(1-R699)</f>
        <v>-0.443298969072202</v>
      </c>
      <c r="X699" s="21" t="n">
        <f aca="false">S699+V699+W699</f>
        <v>40953</v>
      </c>
      <c r="Y699" s="19" t="n">
        <v>40393</v>
      </c>
      <c r="Z699" s="19" t="n">
        <v>560</v>
      </c>
      <c r="AA699" s="19" t="n">
        <v>1324152</v>
      </c>
      <c r="AB699" s="29" t="n">
        <v>15.407</v>
      </c>
      <c r="AC699" s="29" t="n">
        <v>15.8895</v>
      </c>
      <c r="AD699" s="24" t="n">
        <f aca="false">IFERROR(AA699/AC699,0)</f>
        <v>83335.0325686774</v>
      </c>
      <c r="AE699" s="25" t="n">
        <f aca="false">K699-Q699-X699</f>
        <v>0</v>
      </c>
      <c r="AF699" s="25" t="n">
        <f aca="false">Q699-AA699</f>
        <v>0</v>
      </c>
      <c r="AG699" s="19" t="n">
        <v>1371714.487755</v>
      </c>
      <c r="AH699" s="26" t="n">
        <f aca="false">IFERROR(AG699/Q699,0)</f>
        <v>1.03591920546508</v>
      </c>
      <c r="AI699" s="27" t="n">
        <v>375566037.735849</v>
      </c>
      <c r="AJ699" s="26" t="n">
        <f aca="false">IF(AI699&gt;0,AprCoef/SQRT(AI699),0)</f>
        <v>0.0244588022352325</v>
      </c>
      <c r="AK699" s="24" t="n">
        <f aca="false">AI699*AJ699/365</f>
        <v>25166.8368308247</v>
      </c>
      <c r="AL699" s="24" t="n">
        <f aca="false">AD699</f>
        <v>83335.0325686774</v>
      </c>
      <c r="AM699" s="24" t="n">
        <f aca="false">AK699-AL699</f>
        <v>-58168.1957378528</v>
      </c>
      <c r="AN699" s="28" t="str">
        <f aca="false">IF(A699&gt;=Hip3LaunchDate,"YES","")</f>
        <v/>
      </c>
      <c r="AO699" s="28" t="str">
        <f aca="false">IF(A699&lt;Hip4LaunchDate,"pre-launch","live (zero-fee)")</f>
        <v>pre-launch</v>
      </c>
      <c r="AP699" s="20"/>
      <c r="AQ699" s="20"/>
      <c r="AR699" s="20"/>
    </row>
    <row r="700" customFormat="false" ht="15" hidden="false" customHeight="false" outlineLevel="0" collapsed="false">
      <c r="A700" s="18" t="n">
        <v>45761</v>
      </c>
      <c r="B700" s="19" t="n">
        <v>6189611973.53</v>
      </c>
      <c r="C700" s="19" t="n">
        <v>0</v>
      </c>
      <c r="D700" s="19" t="n">
        <v>126974634</v>
      </c>
      <c r="E700" s="21" t="n">
        <f aca="false">B700+C700</f>
        <v>6189611973.53</v>
      </c>
      <c r="F700" s="21" t="n">
        <f aca="false">E700+D700</f>
        <v>6316586607.53</v>
      </c>
      <c r="G700" s="22" t="n">
        <f aca="false">IFERROR(C700/E700,0)</f>
        <v>0</v>
      </c>
      <c r="H700" s="19" t="n">
        <v>1345964</v>
      </c>
      <c r="I700" s="19" t="n">
        <v>17486</v>
      </c>
      <c r="J700" s="19" t="n">
        <v>40691</v>
      </c>
      <c r="K700" s="21" t="n">
        <f aca="false">H700+I700</f>
        <v>1363450</v>
      </c>
      <c r="L700" s="20"/>
      <c r="M700" s="21" t="n">
        <f aca="false">H700-L700</f>
        <v>1345964</v>
      </c>
      <c r="N700" s="23" t="n">
        <f aca="false">IFERROR(M700/B700*10000,0)</f>
        <v>2.17455311537467</v>
      </c>
      <c r="O700" s="19" t="n">
        <v>1305585</v>
      </c>
      <c r="P700" s="19" t="n">
        <v>16961</v>
      </c>
      <c r="Q700" s="21" t="n">
        <f aca="false">O700+P700</f>
        <v>1322546</v>
      </c>
      <c r="R700" s="22" t="n">
        <f aca="false">IF(A700&lt;HlpChangeDate,HlpSharePre,HlpSharePost)</f>
        <v>0.03</v>
      </c>
      <c r="S700" s="21" t="n">
        <f aca="false">Q700*R700/(1-R700)</f>
        <v>40903.4845360825</v>
      </c>
      <c r="T700" s="19" t="n">
        <v>40691</v>
      </c>
      <c r="U700" s="21" t="n">
        <f aca="false">S700-T700</f>
        <v>212.484536082469</v>
      </c>
      <c r="V700" s="21" t="n">
        <f aca="false">Y700-O700*R700/(1-R700)</f>
        <v>0.0824742268086993</v>
      </c>
      <c r="W700" s="21" t="n">
        <f aca="false">Z700-P700*R700/(1-R700)</f>
        <v>0.432989690721684</v>
      </c>
      <c r="X700" s="21" t="n">
        <f aca="false">S700+V700+W700</f>
        <v>40904</v>
      </c>
      <c r="Y700" s="19" t="n">
        <v>40379</v>
      </c>
      <c r="Z700" s="19" t="n">
        <v>525</v>
      </c>
      <c r="AA700" s="19" t="n">
        <v>1322546</v>
      </c>
      <c r="AB700" s="29" t="n">
        <v>15.719</v>
      </c>
      <c r="AC700" s="29" t="n">
        <v>15.68625</v>
      </c>
      <c r="AD700" s="24" t="n">
        <f aca="false">IFERROR(AA700/AC700,0)</f>
        <v>84312.4392381863</v>
      </c>
      <c r="AE700" s="25" t="n">
        <f aca="false">K700-Q700-X700</f>
        <v>0</v>
      </c>
      <c r="AF700" s="25" t="n">
        <f aca="false">Q700-AA700</f>
        <v>0</v>
      </c>
      <c r="AG700" s="19" t="n">
        <v>1356370.642694</v>
      </c>
      <c r="AH700" s="26" t="n">
        <f aca="false">IFERROR(AG700/Q700,0)</f>
        <v>1.02557539979252</v>
      </c>
      <c r="AI700" s="27" t="n">
        <v>376283018.867925</v>
      </c>
      <c r="AJ700" s="26" t="n">
        <f aca="false">IF(AI700&gt;0,AprCoef/SQRT(AI700),0)</f>
        <v>0.0244354888508258</v>
      </c>
      <c r="AK700" s="24" t="n">
        <f aca="false">AI700*AJ700/365</f>
        <v>25190.8479789102</v>
      </c>
      <c r="AL700" s="24" t="n">
        <f aca="false">AD700</f>
        <v>84312.4392381863</v>
      </c>
      <c r="AM700" s="24" t="n">
        <f aca="false">AK700-AL700</f>
        <v>-59121.5912592761</v>
      </c>
      <c r="AN700" s="28" t="str">
        <f aca="false">IF(A700&gt;=Hip3LaunchDate,"YES","")</f>
        <v/>
      </c>
      <c r="AO700" s="28" t="str">
        <f aca="false">IF(A700&lt;Hip4LaunchDate,"pre-launch","live (zero-fee)")</f>
        <v>pre-launch</v>
      </c>
      <c r="AP700" s="20"/>
      <c r="AQ700" s="20"/>
      <c r="AR700" s="20"/>
    </row>
    <row r="701" customFormat="false" ht="15" hidden="false" customHeight="false" outlineLevel="0" collapsed="false">
      <c r="A701" s="18" t="n">
        <v>45762</v>
      </c>
      <c r="B701" s="19" t="n">
        <v>5704397495.46</v>
      </c>
      <c r="C701" s="19" t="n">
        <v>0</v>
      </c>
      <c r="D701" s="19" t="n">
        <v>120978471</v>
      </c>
      <c r="E701" s="21" t="n">
        <f aca="false">B701+C701</f>
        <v>5704397495.46</v>
      </c>
      <c r="F701" s="21" t="n">
        <f aca="false">E701+D701</f>
        <v>5825375966.46</v>
      </c>
      <c r="G701" s="22" t="n">
        <f aca="false">IFERROR(C701/E701,0)</f>
        <v>0</v>
      </c>
      <c r="H701" s="19" t="n">
        <v>1220166</v>
      </c>
      <c r="I701" s="19" t="n">
        <v>16028</v>
      </c>
      <c r="J701" s="19" t="n">
        <v>37298</v>
      </c>
      <c r="K701" s="21" t="n">
        <f aca="false">H701+I701</f>
        <v>1236194</v>
      </c>
      <c r="L701" s="20"/>
      <c r="M701" s="21" t="n">
        <f aca="false">H701-L701</f>
        <v>1220166</v>
      </c>
      <c r="N701" s="23" t="n">
        <f aca="false">IFERROR(M701/B701*10000,0)</f>
        <v>2.13899189348411</v>
      </c>
      <c r="O701" s="19" t="n">
        <v>1183561</v>
      </c>
      <c r="P701" s="19" t="n">
        <v>15547</v>
      </c>
      <c r="Q701" s="21" t="n">
        <f aca="false">O701+P701</f>
        <v>1199108</v>
      </c>
      <c r="R701" s="22" t="n">
        <f aca="false">IF(A701&lt;HlpChangeDate,HlpSharePre,HlpSharePost)</f>
        <v>0.03</v>
      </c>
      <c r="S701" s="21" t="n">
        <f aca="false">Q701*R701/(1-R701)</f>
        <v>37085.8144329897</v>
      </c>
      <c r="T701" s="19" t="n">
        <v>37298</v>
      </c>
      <c r="U701" s="21" t="n">
        <f aca="false">S701-T701</f>
        <v>-212.18556701031</v>
      </c>
      <c r="V701" s="21" t="n">
        <f aca="false">Y701-O701*R701/(1-R701)</f>
        <v>0.0206185567003558</v>
      </c>
      <c r="W701" s="21" t="n">
        <f aca="false">Z701-P701*R701/(1-R701)</f>
        <v>0.164948453608247</v>
      </c>
      <c r="X701" s="21" t="n">
        <f aca="false">S701+V701+W701</f>
        <v>37086</v>
      </c>
      <c r="Y701" s="19" t="n">
        <v>36605</v>
      </c>
      <c r="Z701" s="19" t="n">
        <v>481</v>
      </c>
      <c r="AA701" s="19" t="n">
        <v>1199108</v>
      </c>
      <c r="AB701" s="29" t="n">
        <v>15.043</v>
      </c>
      <c r="AC701" s="29" t="n">
        <v>15.59475</v>
      </c>
      <c r="AD701" s="24" t="n">
        <f aca="false">IFERROR(AA701/AC701,0)</f>
        <v>76891.7744753843</v>
      </c>
      <c r="AE701" s="25" t="n">
        <f aca="false">K701-Q701-X701</f>
        <v>0</v>
      </c>
      <c r="AF701" s="25" t="n">
        <f aca="false">Q701-AA701</f>
        <v>0</v>
      </c>
      <c r="AG701" s="19" t="n">
        <v>1243272.69848096</v>
      </c>
      <c r="AH701" s="26" t="n">
        <f aca="false">IFERROR(AG701/Q701,0)</f>
        <v>1.03683129332884</v>
      </c>
      <c r="AI701" s="27" t="n">
        <v>377000000</v>
      </c>
      <c r="AJ701" s="26" t="n">
        <f aca="false">IF(AI701&gt;0,AprCoef/SQRT(AI701),0)</f>
        <v>0.0244122420044063</v>
      </c>
      <c r="AK701" s="24" t="n">
        <f aca="false">AI701*AJ701/365</f>
        <v>25214.8362620854</v>
      </c>
      <c r="AL701" s="24" t="n">
        <f aca="false">AD701</f>
        <v>76891.7744753843</v>
      </c>
      <c r="AM701" s="24" t="n">
        <f aca="false">AK701-AL701</f>
        <v>-51676.938213299</v>
      </c>
      <c r="AN701" s="28" t="str">
        <f aca="false">IF(A701&gt;=Hip3LaunchDate,"YES","")</f>
        <v/>
      </c>
      <c r="AO701" s="28" t="str">
        <f aca="false">IF(A701&lt;Hip4LaunchDate,"pre-launch","live (zero-fee)")</f>
        <v>pre-launch</v>
      </c>
      <c r="AP701" s="20"/>
      <c r="AQ701" s="20"/>
      <c r="AR701" s="20"/>
    </row>
    <row r="702" customFormat="false" ht="15" hidden="false" customHeight="false" outlineLevel="0" collapsed="false">
      <c r="A702" s="18" t="n">
        <v>45763</v>
      </c>
      <c r="B702" s="19" t="n">
        <v>6826966423.24</v>
      </c>
      <c r="C702" s="19" t="n">
        <v>0</v>
      </c>
      <c r="D702" s="19" t="n">
        <v>155624952</v>
      </c>
      <c r="E702" s="21" t="n">
        <f aca="false">B702+C702</f>
        <v>6826966423.24</v>
      </c>
      <c r="F702" s="21" t="n">
        <f aca="false">E702+D702</f>
        <v>6982591375.24</v>
      </c>
      <c r="G702" s="22" t="n">
        <f aca="false">IFERROR(C702/E702,0)</f>
        <v>0</v>
      </c>
      <c r="H702" s="19" t="n">
        <v>1484523</v>
      </c>
      <c r="I702" s="19" t="n">
        <v>21088</v>
      </c>
      <c r="J702" s="19" t="n">
        <v>44757</v>
      </c>
      <c r="K702" s="21" t="n">
        <f aca="false">H702+I702</f>
        <v>1505611</v>
      </c>
      <c r="L702" s="20"/>
      <c r="M702" s="21" t="n">
        <f aca="false">H702-L702</f>
        <v>1484523</v>
      </c>
      <c r="N702" s="23" t="n">
        <f aca="false">IFERROR(M702/B702*10000,0)</f>
        <v>2.17449875679257</v>
      </c>
      <c r="O702" s="19" t="n">
        <v>1439988</v>
      </c>
      <c r="P702" s="19" t="n">
        <v>20456</v>
      </c>
      <c r="Q702" s="21" t="n">
        <f aca="false">O702+P702</f>
        <v>1460444</v>
      </c>
      <c r="R702" s="22" t="n">
        <f aca="false">IF(A702&lt;HlpChangeDate,HlpSharePre,HlpSharePost)</f>
        <v>0.03</v>
      </c>
      <c r="S702" s="21" t="n">
        <f aca="false">Q702*R702/(1-R702)</f>
        <v>45168.3711340206</v>
      </c>
      <c r="T702" s="19" t="n">
        <v>44757</v>
      </c>
      <c r="U702" s="21" t="n">
        <f aca="false">S702-T702</f>
        <v>411.371134020621</v>
      </c>
      <c r="V702" s="21" t="n">
        <f aca="false">Y702-O702*R702/(1-R702)</f>
        <v>0.288659793812258</v>
      </c>
      <c r="W702" s="21" t="n">
        <f aca="false">Z702-P702*R702/(1-R702)</f>
        <v>0.340206185567013</v>
      </c>
      <c r="X702" s="21" t="n">
        <f aca="false">S702+V702+W702</f>
        <v>45169</v>
      </c>
      <c r="Y702" s="19" t="n">
        <v>44536</v>
      </c>
      <c r="Z702" s="19" t="n">
        <v>633</v>
      </c>
      <c r="AA702" s="19" t="n">
        <v>1460444</v>
      </c>
      <c r="AB702" s="29" t="n">
        <v>15.759</v>
      </c>
      <c r="AC702" s="29" t="n">
        <v>15.43</v>
      </c>
      <c r="AD702" s="24" t="n">
        <f aca="false">IFERROR(AA702/AC702,0)</f>
        <v>94649.643551523</v>
      </c>
      <c r="AE702" s="25" t="n">
        <f aca="false">K702-Q702-X702</f>
        <v>-2</v>
      </c>
      <c r="AF702" s="25" t="n">
        <f aca="false">Q702-AA702</f>
        <v>0</v>
      </c>
      <c r="AG702" s="19" t="n">
        <v>1491909.01874602</v>
      </c>
      <c r="AH702" s="26" t="n">
        <f aca="false">IFERROR(AG702/Q702,0)</f>
        <v>1.02154483071314</v>
      </c>
      <c r="AI702" s="27" t="n">
        <v>377136612.021858</v>
      </c>
      <c r="AJ702" s="26" t="n">
        <f aca="false">IF(AI702&gt;0,AprCoef/SQRT(AI702),0)</f>
        <v>0.0244078201215918</v>
      </c>
      <c r="AK702" s="24" t="n">
        <f aca="false">AI702*AJ702/365</f>
        <v>25219.4043493042</v>
      </c>
      <c r="AL702" s="24" t="n">
        <f aca="false">AD702</f>
        <v>94649.643551523</v>
      </c>
      <c r="AM702" s="24" t="n">
        <f aca="false">AK702-AL702</f>
        <v>-69430.2392022188</v>
      </c>
      <c r="AN702" s="28" t="str">
        <f aca="false">IF(A702&gt;=Hip3LaunchDate,"YES","")</f>
        <v/>
      </c>
      <c r="AO702" s="28" t="str">
        <f aca="false">IF(A702&lt;Hip4LaunchDate,"pre-launch","live (zero-fee)")</f>
        <v>pre-launch</v>
      </c>
      <c r="AP702" s="20"/>
      <c r="AQ702" s="20"/>
      <c r="AR702" s="20"/>
    </row>
    <row r="703" customFormat="false" ht="15" hidden="false" customHeight="false" outlineLevel="0" collapsed="false">
      <c r="A703" s="18" t="n">
        <v>45764</v>
      </c>
      <c r="B703" s="19" t="n">
        <v>4931816793.51</v>
      </c>
      <c r="C703" s="19" t="n">
        <v>0</v>
      </c>
      <c r="D703" s="19" t="n">
        <v>171271416</v>
      </c>
      <c r="E703" s="21" t="n">
        <f aca="false">B703+C703</f>
        <v>4931816793.51</v>
      </c>
      <c r="F703" s="21" t="n">
        <f aca="false">E703+D703</f>
        <v>5103088209.51</v>
      </c>
      <c r="G703" s="22" t="n">
        <f aca="false">IFERROR(C703/E703,0)</f>
        <v>0</v>
      </c>
      <c r="H703" s="19" t="n">
        <v>1049568</v>
      </c>
      <c r="I703" s="19" t="n">
        <v>20603</v>
      </c>
      <c r="J703" s="19" t="n">
        <v>32413</v>
      </c>
      <c r="K703" s="21" t="n">
        <f aca="false">H703+I703</f>
        <v>1070171</v>
      </c>
      <c r="L703" s="20"/>
      <c r="M703" s="21" t="n">
        <f aca="false">H703-L703</f>
        <v>1049568</v>
      </c>
      <c r="N703" s="23" t="n">
        <f aca="false">IFERROR(M703/B703*10000,0)</f>
        <v>2.12815691244081</v>
      </c>
      <c r="O703" s="19" t="n">
        <v>1018081</v>
      </c>
      <c r="P703" s="19" t="n">
        <v>19985</v>
      </c>
      <c r="Q703" s="21" t="n">
        <f aca="false">O703+P703</f>
        <v>1038066</v>
      </c>
      <c r="R703" s="22" t="n">
        <f aca="false">IF(A703&lt;HlpChangeDate,HlpSharePre,HlpSharePost)</f>
        <v>0.03</v>
      </c>
      <c r="S703" s="21" t="n">
        <f aca="false">Q703*R703/(1-R703)</f>
        <v>32105.1340206186</v>
      </c>
      <c r="T703" s="19" t="n">
        <v>32413</v>
      </c>
      <c r="U703" s="21" t="n">
        <f aca="false">S703-T703</f>
        <v>-307.865979381444</v>
      </c>
      <c r="V703" s="21" t="n">
        <f aca="false">Y703-O703*R703/(1-R703)</f>
        <v>-0.0412371134043497</v>
      </c>
      <c r="W703" s="21" t="n">
        <f aca="false">Z703-P703*R703/(1-R703)</f>
        <v>-0.0927835051545571</v>
      </c>
      <c r="X703" s="21" t="n">
        <f aca="false">S703+V703+W703</f>
        <v>32105</v>
      </c>
      <c r="Y703" s="19" t="n">
        <v>31487</v>
      </c>
      <c r="Z703" s="19" t="n">
        <v>618</v>
      </c>
      <c r="AA703" s="19" t="n">
        <v>1038066</v>
      </c>
      <c r="AB703" s="29" t="n">
        <v>17.145</v>
      </c>
      <c r="AC703" s="29" t="n">
        <v>16.39925</v>
      </c>
      <c r="AD703" s="24" t="n">
        <f aca="false">IFERROR(AA703/AC703,0)</f>
        <v>63299.6021159504</v>
      </c>
      <c r="AE703" s="25" t="n">
        <f aca="false">K703-Q703-X703</f>
        <v>0</v>
      </c>
      <c r="AF703" s="25" t="n">
        <f aca="false">Q703-AA703</f>
        <v>0</v>
      </c>
      <c r="AG703" s="19" t="n">
        <v>1080430.70624101</v>
      </c>
      <c r="AH703" s="26" t="n">
        <f aca="false">IFERROR(AG703/Q703,0)</f>
        <v>1.04081118757479</v>
      </c>
      <c r="AI703" s="27" t="n">
        <v>377273224.043716</v>
      </c>
      <c r="AJ703" s="26" t="n">
        <f aca="false">IF(AI703&gt;0,AprCoef/SQRT(AI703),0)</f>
        <v>0.0244034006407648</v>
      </c>
      <c r="AK703" s="24" t="n">
        <f aca="false">AI703*AJ703/365</f>
        <v>25223.9716092378</v>
      </c>
      <c r="AL703" s="24" t="n">
        <f aca="false">AD703</f>
        <v>63299.6021159504</v>
      </c>
      <c r="AM703" s="24" t="n">
        <f aca="false">AK703-AL703</f>
        <v>-38075.6305067126</v>
      </c>
      <c r="AN703" s="28" t="str">
        <f aca="false">IF(A703&gt;=Hip3LaunchDate,"YES","")</f>
        <v/>
      </c>
      <c r="AO703" s="28" t="str">
        <f aca="false">IF(A703&lt;Hip4LaunchDate,"pre-launch","live (zero-fee)")</f>
        <v>pre-launch</v>
      </c>
      <c r="AP703" s="20"/>
      <c r="AQ703" s="20"/>
      <c r="AR703" s="20"/>
    </row>
    <row r="704" customFormat="false" ht="15" hidden="false" customHeight="false" outlineLevel="0" collapsed="false">
      <c r="A704" s="18" t="n">
        <v>45765</v>
      </c>
      <c r="B704" s="19" t="n">
        <v>2170024470.5</v>
      </c>
      <c r="C704" s="19" t="n">
        <v>0</v>
      </c>
      <c r="D704" s="19" t="n">
        <v>94799665</v>
      </c>
      <c r="E704" s="21" t="n">
        <f aca="false">B704+C704</f>
        <v>2170024470.5</v>
      </c>
      <c r="F704" s="21" t="n">
        <f aca="false">E704+D704</f>
        <v>2264824135.5</v>
      </c>
      <c r="G704" s="22" t="n">
        <f aca="false">IFERROR(C704/E704,0)</f>
        <v>0</v>
      </c>
      <c r="H704" s="19" t="n">
        <v>499725</v>
      </c>
      <c r="I704" s="19" t="n">
        <v>12428</v>
      </c>
      <c r="J704" s="19" t="n">
        <v>15468</v>
      </c>
      <c r="K704" s="21" t="n">
        <f aca="false">H704+I704</f>
        <v>512153</v>
      </c>
      <c r="L704" s="20"/>
      <c r="M704" s="21" t="n">
        <f aca="false">H704-L704</f>
        <v>499725</v>
      </c>
      <c r="N704" s="23" t="n">
        <f aca="false">IFERROR(M704/B704*10000,0)</f>
        <v>2.30285421567093</v>
      </c>
      <c r="O704" s="19" t="n">
        <v>484733</v>
      </c>
      <c r="P704" s="19" t="n">
        <v>12055</v>
      </c>
      <c r="Q704" s="21" t="n">
        <f aca="false">O704+P704</f>
        <v>496788</v>
      </c>
      <c r="R704" s="22" t="n">
        <f aca="false">IF(A704&lt;HlpChangeDate,HlpSharePre,HlpSharePost)</f>
        <v>0.03</v>
      </c>
      <c r="S704" s="21" t="n">
        <f aca="false">Q704*R704/(1-R704)</f>
        <v>15364.5773195876</v>
      </c>
      <c r="T704" s="19" t="n">
        <v>15468</v>
      </c>
      <c r="U704" s="21" t="n">
        <f aca="false">S704-T704</f>
        <v>-103.422680412372</v>
      </c>
      <c r="V704" s="21" t="n">
        <f aca="false">Y704-O704*R704/(1-R704)</f>
        <v>0.257731958763543</v>
      </c>
      <c r="W704" s="21" t="n">
        <f aca="false">Z704-P704*R704/(1-R704)</f>
        <v>0.164948453608247</v>
      </c>
      <c r="X704" s="21" t="n">
        <f aca="false">S704+V704+W704</f>
        <v>15365</v>
      </c>
      <c r="Y704" s="19" t="n">
        <v>14992</v>
      </c>
      <c r="Z704" s="19" t="n">
        <v>373</v>
      </c>
      <c r="AA704" s="19" t="n">
        <v>496788</v>
      </c>
      <c r="AB704" s="29" t="n">
        <v>17.064</v>
      </c>
      <c r="AC704" s="29" t="n">
        <v>16.99425</v>
      </c>
      <c r="AD704" s="24" t="n">
        <f aca="false">IFERROR(AA704/AC704,0)</f>
        <v>29232.7110640364</v>
      </c>
      <c r="AE704" s="25" t="n">
        <f aca="false">K704-Q704-X704</f>
        <v>0</v>
      </c>
      <c r="AF704" s="25" t="n">
        <f aca="false">Q704-AA704</f>
        <v>0</v>
      </c>
      <c r="AG704" s="19" t="n">
        <v>515595.18807298</v>
      </c>
      <c r="AH704" s="26" t="n">
        <f aca="false">IFERROR(AG704/Q704,0)</f>
        <v>1.03785757319617</v>
      </c>
      <c r="AI704" s="27" t="n">
        <v>377409836.065574</v>
      </c>
      <c r="AJ704" s="26" t="n">
        <f aca="false">IF(AI704&gt;0,AprCoef/SQRT(AI704),0)</f>
        <v>0.0243989835597515</v>
      </c>
      <c r="AK704" s="24" t="n">
        <f aca="false">AI704*AJ704/365</f>
        <v>25228.5380423354</v>
      </c>
      <c r="AL704" s="24" t="n">
        <f aca="false">AD704</f>
        <v>29232.7110640364</v>
      </c>
      <c r="AM704" s="24" t="n">
        <f aca="false">AK704-AL704</f>
        <v>-4004.17302170093</v>
      </c>
      <c r="AN704" s="28" t="str">
        <f aca="false">IF(A704&gt;=Hip3LaunchDate,"YES","")</f>
        <v/>
      </c>
      <c r="AO704" s="28" t="str">
        <f aca="false">IF(A704&lt;Hip4LaunchDate,"pre-launch","live (zero-fee)")</f>
        <v>pre-launch</v>
      </c>
      <c r="AP704" s="20"/>
      <c r="AQ704" s="20"/>
      <c r="AR704" s="20"/>
    </row>
    <row r="705" customFormat="false" ht="15" hidden="false" customHeight="false" outlineLevel="0" collapsed="false">
      <c r="A705" s="18" t="n">
        <v>45766</v>
      </c>
      <c r="B705" s="19" t="n">
        <v>2477853939.37</v>
      </c>
      <c r="C705" s="19" t="n">
        <v>0</v>
      </c>
      <c r="D705" s="19" t="n">
        <v>93687537</v>
      </c>
      <c r="E705" s="21" t="n">
        <f aca="false">B705+C705</f>
        <v>2477853939.37</v>
      </c>
      <c r="F705" s="21" t="n">
        <f aca="false">E705+D705</f>
        <v>2571541476.37</v>
      </c>
      <c r="G705" s="22" t="n">
        <f aca="false">IFERROR(C705/E705,0)</f>
        <v>0</v>
      </c>
      <c r="H705" s="19" t="n">
        <v>566871</v>
      </c>
      <c r="I705" s="19" t="n">
        <v>12659</v>
      </c>
      <c r="J705" s="19" t="n">
        <v>17386</v>
      </c>
      <c r="K705" s="21" t="n">
        <f aca="false">H705+I705</f>
        <v>579530</v>
      </c>
      <c r="L705" s="20"/>
      <c r="M705" s="21" t="n">
        <f aca="false">H705-L705</f>
        <v>566871</v>
      </c>
      <c r="N705" s="23" t="n">
        <f aca="false">IFERROR(M705/B705*10000,0)</f>
        <v>2.28774985883199</v>
      </c>
      <c r="O705" s="19" t="n">
        <v>549865</v>
      </c>
      <c r="P705" s="19" t="n">
        <v>12279</v>
      </c>
      <c r="Q705" s="21" t="n">
        <f aca="false">O705+P705</f>
        <v>562144</v>
      </c>
      <c r="R705" s="22" t="n">
        <f aca="false">IF(A705&lt;HlpChangeDate,HlpSharePre,HlpSharePost)</f>
        <v>0.03</v>
      </c>
      <c r="S705" s="21" t="n">
        <f aca="false">Q705*R705/(1-R705)</f>
        <v>17385.8969072165</v>
      </c>
      <c r="T705" s="19" t="n">
        <v>17386</v>
      </c>
      <c r="U705" s="21" t="n">
        <f aca="false">S705-T705</f>
        <v>-0.103092783505417</v>
      </c>
      <c r="V705" s="21" t="n">
        <f aca="false">Y705-O705*R705/(1-R705)</f>
        <v>-0.134020618559589</v>
      </c>
      <c r="W705" s="21" t="n">
        <f aca="false">Z705-P705*R705/(1-R705)</f>
        <v>0.237113402061823</v>
      </c>
      <c r="X705" s="21" t="n">
        <f aca="false">S705+V705+W705</f>
        <v>17386</v>
      </c>
      <c r="Y705" s="19" t="n">
        <v>17006</v>
      </c>
      <c r="Z705" s="19" t="n">
        <v>380</v>
      </c>
      <c r="AA705" s="19" t="n">
        <v>562144</v>
      </c>
      <c r="AB705" s="29" t="n">
        <v>18.07</v>
      </c>
      <c r="AC705" s="29" t="n">
        <v>17.518</v>
      </c>
      <c r="AD705" s="24" t="n">
        <f aca="false">IFERROR(AA705/AC705,0)</f>
        <v>32089.5079346957</v>
      </c>
      <c r="AE705" s="25" t="n">
        <f aca="false">K705-Q705-X705</f>
        <v>0</v>
      </c>
      <c r="AF705" s="25" t="n">
        <f aca="false">Q705-AA705</f>
        <v>0</v>
      </c>
      <c r="AG705" s="19" t="n">
        <v>579530.252851009</v>
      </c>
      <c r="AH705" s="26" t="n">
        <f aca="false">IFERROR(AG705/Q705,0)</f>
        <v>1.03092846824125</v>
      </c>
      <c r="AI705" s="27" t="n">
        <v>377546448.087432</v>
      </c>
      <c r="AJ705" s="26" t="n">
        <f aca="false">IF(AI705&gt;0,AprCoef/SQRT(AI705),0)</f>
        <v>0.0243945688763808</v>
      </c>
      <c r="AK705" s="24" t="n">
        <f aca="false">AI705*AJ705/365</f>
        <v>25233.103649046</v>
      </c>
      <c r="AL705" s="24" t="n">
        <f aca="false">AD705</f>
        <v>32089.5079346957</v>
      </c>
      <c r="AM705" s="24" t="n">
        <f aca="false">AK705-AL705</f>
        <v>-6856.40428564978</v>
      </c>
      <c r="AN705" s="28" t="str">
        <f aca="false">IF(A705&gt;=Hip3LaunchDate,"YES","")</f>
        <v/>
      </c>
      <c r="AO705" s="28" t="str">
        <f aca="false">IF(A705&lt;Hip4LaunchDate,"pre-launch","live (zero-fee)")</f>
        <v>pre-launch</v>
      </c>
      <c r="AP705" s="20"/>
      <c r="AQ705" s="20"/>
      <c r="AR705" s="20"/>
    </row>
    <row r="706" customFormat="false" ht="15" hidden="false" customHeight="false" outlineLevel="0" collapsed="false">
      <c r="A706" s="18" t="n">
        <v>45767</v>
      </c>
      <c r="B706" s="19" t="n">
        <v>2831191375.86</v>
      </c>
      <c r="C706" s="19" t="n">
        <v>0</v>
      </c>
      <c r="D706" s="19" t="n">
        <v>92510970</v>
      </c>
      <c r="E706" s="21" t="n">
        <f aca="false">B706+C706</f>
        <v>2831191375.86</v>
      </c>
      <c r="F706" s="21" t="n">
        <f aca="false">E706+D706</f>
        <v>2923702345.86</v>
      </c>
      <c r="G706" s="22" t="n">
        <f aca="false">IFERROR(C706/E706,0)</f>
        <v>0</v>
      </c>
      <c r="H706" s="19" t="n">
        <v>651793</v>
      </c>
      <c r="I706" s="19" t="n">
        <v>10920</v>
      </c>
      <c r="J706" s="19" t="n">
        <v>19736</v>
      </c>
      <c r="K706" s="21" t="n">
        <f aca="false">H706+I706</f>
        <v>662713</v>
      </c>
      <c r="L706" s="20"/>
      <c r="M706" s="21" t="n">
        <f aca="false">H706-L706</f>
        <v>651793</v>
      </c>
      <c r="N706" s="23" t="n">
        <f aca="false">IFERROR(M706/B706*10000,0)</f>
        <v>2.30218630064176</v>
      </c>
      <c r="O706" s="19" t="n">
        <v>632239</v>
      </c>
      <c r="P706" s="19" t="n">
        <v>10592</v>
      </c>
      <c r="Q706" s="21" t="n">
        <f aca="false">O706+P706</f>
        <v>642831</v>
      </c>
      <c r="R706" s="22" t="n">
        <f aca="false">IF(A706&lt;HlpChangeDate,HlpSharePre,HlpSharePost)</f>
        <v>0.03</v>
      </c>
      <c r="S706" s="21" t="n">
        <f aca="false">Q706*R706/(1-R706)</f>
        <v>19881.3711340206</v>
      </c>
      <c r="T706" s="19" t="n">
        <v>19736</v>
      </c>
      <c r="U706" s="21" t="n">
        <f aca="false">S706-T706</f>
        <v>145.371134020621</v>
      </c>
      <c r="V706" s="21" t="n">
        <f aca="false">Y706-O706*R706/(1-R706)</f>
        <v>0.216494845361012</v>
      </c>
      <c r="W706" s="21" t="n">
        <f aca="false">Z706-P706*R706/(1-R706)</f>
        <v>0.412371134020646</v>
      </c>
      <c r="X706" s="21" t="n">
        <f aca="false">S706+V706+W706</f>
        <v>19882</v>
      </c>
      <c r="Y706" s="19" t="n">
        <v>19554</v>
      </c>
      <c r="Z706" s="19" t="n">
        <v>328</v>
      </c>
      <c r="AA706" s="19" t="n">
        <v>642831</v>
      </c>
      <c r="AB706" s="29" t="n">
        <v>17.575</v>
      </c>
      <c r="AC706" s="29" t="n">
        <v>17.53725</v>
      </c>
      <c r="AD706" s="24" t="n">
        <f aca="false">IFERROR(AA706/AC706,0)</f>
        <v>36655.1768378737</v>
      </c>
      <c r="AE706" s="25" t="n">
        <f aca="false">K706-Q706-X706</f>
        <v>0</v>
      </c>
      <c r="AF706" s="25" t="n">
        <f aca="false">Q706-AA706</f>
        <v>0</v>
      </c>
      <c r="AG706" s="19" t="n">
        <v>657878.842774987</v>
      </c>
      <c r="AH706" s="26" t="n">
        <f aca="false">IFERROR(AG706/Q706,0)</f>
        <v>1.02340870738186</v>
      </c>
      <c r="AI706" s="27" t="n">
        <v>377683060.10929</v>
      </c>
      <c r="AJ706" s="26" t="n">
        <f aca="false">IF(AI706&gt;0,AprCoef/SQRT(AI706),0)</f>
        <v>0.0243901565884844</v>
      </c>
      <c r="AK706" s="24" t="n">
        <f aca="false">AI706*AJ706/365</f>
        <v>25237.6684298179</v>
      </c>
      <c r="AL706" s="24" t="n">
        <f aca="false">AD706</f>
        <v>36655.1768378737</v>
      </c>
      <c r="AM706" s="24" t="n">
        <f aca="false">AK706-AL706</f>
        <v>-11417.5084080558</v>
      </c>
      <c r="AN706" s="28" t="str">
        <f aca="false">IF(A706&gt;=Hip3LaunchDate,"YES","")</f>
        <v/>
      </c>
      <c r="AO706" s="28" t="str">
        <f aca="false">IF(A706&lt;Hip4LaunchDate,"pre-launch","live (zero-fee)")</f>
        <v>pre-launch</v>
      </c>
      <c r="AP706" s="20"/>
      <c r="AQ706" s="20"/>
      <c r="AR706" s="20"/>
    </row>
    <row r="707" customFormat="false" ht="15" hidden="false" customHeight="false" outlineLevel="0" collapsed="false">
      <c r="A707" s="18" t="n">
        <v>45768</v>
      </c>
      <c r="B707" s="19" t="n">
        <v>6514487934.8</v>
      </c>
      <c r="C707" s="19" t="n">
        <v>0</v>
      </c>
      <c r="D707" s="19" t="n">
        <v>153905343</v>
      </c>
      <c r="E707" s="21" t="n">
        <f aca="false">B707+C707</f>
        <v>6514487934.8</v>
      </c>
      <c r="F707" s="21" t="n">
        <f aca="false">E707+D707</f>
        <v>6668393277.8</v>
      </c>
      <c r="G707" s="22" t="n">
        <f aca="false">IFERROR(C707/E707,0)</f>
        <v>0</v>
      </c>
      <c r="H707" s="19" t="n">
        <v>1447172</v>
      </c>
      <c r="I707" s="19" t="n">
        <v>20816</v>
      </c>
      <c r="J707" s="19" t="n">
        <v>44185</v>
      </c>
      <c r="K707" s="21" t="n">
        <f aca="false">H707+I707</f>
        <v>1467988</v>
      </c>
      <c r="L707" s="20"/>
      <c r="M707" s="21" t="n">
        <f aca="false">H707-L707</f>
        <v>1447172</v>
      </c>
      <c r="N707" s="23" t="n">
        <f aca="false">IFERROR(M707/B707*10000,0)</f>
        <v>2.22146700474997</v>
      </c>
      <c r="O707" s="19" t="n">
        <v>1403757</v>
      </c>
      <c r="P707" s="19" t="n">
        <v>20191</v>
      </c>
      <c r="Q707" s="21" t="n">
        <f aca="false">O707+P707</f>
        <v>1423948</v>
      </c>
      <c r="R707" s="22" t="n">
        <f aca="false">IF(A707&lt;HlpChangeDate,HlpSharePre,HlpSharePost)</f>
        <v>0.03</v>
      </c>
      <c r="S707" s="21" t="n">
        <f aca="false">Q707*R707/(1-R707)</f>
        <v>44039.6288659794</v>
      </c>
      <c r="T707" s="19" t="n">
        <v>44185</v>
      </c>
      <c r="U707" s="21" t="n">
        <f aca="false">S707-T707</f>
        <v>-145.371134020621</v>
      </c>
      <c r="V707" s="21" t="n">
        <f aca="false">Y707-O707*R707/(1-R707)</f>
        <v>-0.164948453610123</v>
      </c>
      <c r="W707" s="21" t="n">
        <f aca="false">Z707-P707*R707/(1-R707)</f>
        <v>-0.46391752577324</v>
      </c>
      <c r="X707" s="21" t="n">
        <f aca="false">S707+V707+W707</f>
        <v>44039</v>
      </c>
      <c r="Y707" s="19" t="n">
        <v>43415</v>
      </c>
      <c r="Z707" s="19" t="n">
        <v>624</v>
      </c>
      <c r="AA707" s="19" t="n">
        <v>1423948</v>
      </c>
      <c r="AB707" s="29" t="n">
        <v>18.194</v>
      </c>
      <c r="AC707" s="29" t="n">
        <v>17.85175</v>
      </c>
      <c r="AD707" s="24" t="n">
        <f aca="false">IFERROR(AA707/AC707,0)</f>
        <v>79765.1770834792</v>
      </c>
      <c r="AE707" s="25" t="n">
        <f aca="false">K707-Q707-X707</f>
        <v>1.00000000000728</v>
      </c>
      <c r="AF707" s="25" t="n">
        <f aca="false">Q707-AA707</f>
        <v>0</v>
      </c>
      <c r="AG707" s="19" t="n">
        <v>1472821.42665803</v>
      </c>
      <c r="AH707" s="26" t="n">
        <f aca="false">IFERROR(AG707/Q707,0)</f>
        <v>1.03432247993468</v>
      </c>
      <c r="AI707" s="27" t="n">
        <v>377819672.131148</v>
      </c>
      <c r="AJ707" s="26" t="n">
        <f aca="false">IF(AI707&gt;0,AprCoef/SQRT(AI707),0)</f>
        <v>0.0243857466938967</v>
      </c>
      <c r="AK707" s="24" t="n">
        <f aca="false">AI707*AJ707/365</f>
        <v>25242.2323850993</v>
      </c>
      <c r="AL707" s="24" t="n">
        <f aca="false">AD707</f>
        <v>79765.1770834792</v>
      </c>
      <c r="AM707" s="24" t="n">
        <f aca="false">AK707-AL707</f>
        <v>-54522.9446983799</v>
      </c>
      <c r="AN707" s="28" t="str">
        <f aca="false">IF(A707&gt;=Hip3LaunchDate,"YES","")</f>
        <v/>
      </c>
      <c r="AO707" s="28" t="str">
        <f aca="false">IF(A707&lt;Hip4LaunchDate,"pre-launch","live (zero-fee)")</f>
        <v>pre-launch</v>
      </c>
      <c r="AP707" s="20"/>
      <c r="AQ707" s="20"/>
      <c r="AR707" s="20"/>
    </row>
    <row r="708" customFormat="false" ht="15" hidden="false" customHeight="false" outlineLevel="0" collapsed="false">
      <c r="A708" s="18" t="n">
        <v>45769</v>
      </c>
      <c r="B708" s="19" t="n">
        <v>9749391466.02</v>
      </c>
      <c r="C708" s="19" t="n">
        <v>0</v>
      </c>
      <c r="D708" s="19" t="n">
        <v>167698100</v>
      </c>
      <c r="E708" s="21" t="n">
        <f aca="false">B708+C708</f>
        <v>9749391466.02</v>
      </c>
      <c r="F708" s="21" t="n">
        <f aca="false">E708+D708</f>
        <v>9917089566.02</v>
      </c>
      <c r="G708" s="22" t="n">
        <f aca="false">IFERROR(C708/E708,0)</f>
        <v>0</v>
      </c>
      <c r="H708" s="19" t="n">
        <v>2191340</v>
      </c>
      <c r="I708" s="19" t="n">
        <v>20644</v>
      </c>
      <c r="J708" s="19" t="n">
        <v>65897</v>
      </c>
      <c r="K708" s="21" t="n">
        <f aca="false">H708+I708</f>
        <v>2211984</v>
      </c>
      <c r="L708" s="20"/>
      <c r="M708" s="21" t="n">
        <f aca="false">H708-L708</f>
        <v>2191340</v>
      </c>
      <c r="N708" s="23" t="n">
        <f aca="false">IFERROR(M708/B708*10000,0)</f>
        <v>2.24766849052844</v>
      </c>
      <c r="O708" s="19" t="n">
        <v>2125599</v>
      </c>
      <c r="P708" s="19" t="n">
        <v>20024</v>
      </c>
      <c r="Q708" s="21" t="n">
        <f aca="false">O708+P708</f>
        <v>2145623</v>
      </c>
      <c r="R708" s="22" t="n">
        <f aca="false">IF(A708&lt;HlpChangeDate,HlpSharePre,HlpSharePost)</f>
        <v>0.03</v>
      </c>
      <c r="S708" s="21" t="n">
        <f aca="false">Q708*R708/(1-R708)</f>
        <v>66359.4742268041</v>
      </c>
      <c r="T708" s="19" t="n">
        <v>65897</v>
      </c>
      <c r="U708" s="21" t="n">
        <f aca="false">S708-T708</f>
        <v>462.474226804115</v>
      </c>
      <c r="V708" s="21" t="n">
        <f aca="false">Y708-O708*R708/(1-R708)</f>
        <v>-0.175257731956663</v>
      </c>
      <c r="W708" s="21" t="n">
        <f aca="false">Z708-P708*R708/(1-R708)</f>
        <v>-0.29896907216505</v>
      </c>
      <c r="X708" s="21" t="n">
        <f aca="false">S708+V708+W708</f>
        <v>66359</v>
      </c>
      <c r="Y708" s="19" t="n">
        <v>65740</v>
      </c>
      <c r="Z708" s="19" t="n">
        <v>619</v>
      </c>
      <c r="AA708" s="19" t="n">
        <v>2145623</v>
      </c>
      <c r="AB708" s="29" t="n">
        <v>19.169</v>
      </c>
      <c r="AC708" s="29" t="n">
        <v>18.60225</v>
      </c>
      <c r="AD708" s="24" t="n">
        <f aca="false">IFERROR(AA708/AC708,0)</f>
        <v>115342.122592697</v>
      </c>
      <c r="AE708" s="25" t="n">
        <f aca="false">K708-Q708-X708</f>
        <v>2</v>
      </c>
      <c r="AF708" s="25" t="n">
        <f aca="false">Q708-AA708</f>
        <v>0</v>
      </c>
      <c r="AG708" s="19" t="n">
        <v>2196561.45526701</v>
      </c>
      <c r="AH708" s="26" t="n">
        <f aca="false">IFERROR(AG708/Q708,0)</f>
        <v>1.02374063629399</v>
      </c>
      <c r="AI708" s="27" t="n">
        <v>377956284.153006</v>
      </c>
      <c r="AJ708" s="26" t="n">
        <f aca="false">IF(AI708&gt;0,AprCoef/SQRT(AI708),0)</f>
        <v>0.0243813391904548</v>
      </c>
      <c r="AK708" s="24" t="n">
        <f aca="false">AI708*AJ708/365</f>
        <v>25246.7955153379</v>
      </c>
      <c r="AL708" s="24" t="n">
        <f aca="false">AD708</f>
        <v>115342.122592697</v>
      </c>
      <c r="AM708" s="24" t="n">
        <f aca="false">AK708-AL708</f>
        <v>-90095.3270773592</v>
      </c>
      <c r="AN708" s="28" t="str">
        <f aca="false">IF(A708&gt;=Hip3LaunchDate,"YES","")</f>
        <v/>
      </c>
      <c r="AO708" s="28" t="str">
        <f aca="false">IF(A708&lt;Hip4LaunchDate,"pre-launch","live (zero-fee)")</f>
        <v>pre-launch</v>
      </c>
      <c r="AP708" s="20"/>
      <c r="AQ708" s="20"/>
      <c r="AR708" s="20"/>
    </row>
    <row r="709" customFormat="false" ht="15" hidden="false" customHeight="false" outlineLevel="0" collapsed="false">
      <c r="A709" s="18" t="n">
        <v>45770</v>
      </c>
      <c r="B709" s="19" t="n">
        <v>8586739199.56</v>
      </c>
      <c r="C709" s="19" t="n">
        <v>0</v>
      </c>
      <c r="D709" s="19" t="n">
        <v>169388947</v>
      </c>
      <c r="E709" s="21" t="n">
        <f aca="false">B709+C709</f>
        <v>8586739199.56</v>
      </c>
      <c r="F709" s="21" t="n">
        <f aca="false">E709+D709</f>
        <v>8756128146.56</v>
      </c>
      <c r="G709" s="22" t="n">
        <f aca="false">IFERROR(C709/E709,0)</f>
        <v>0</v>
      </c>
      <c r="H709" s="19" t="n">
        <v>1944575</v>
      </c>
      <c r="I709" s="19" t="n">
        <v>24465</v>
      </c>
      <c r="J709" s="19" t="n">
        <v>59534</v>
      </c>
      <c r="K709" s="21" t="n">
        <f aca="false">H709+I709</f>
        <v>1969040</v>
      </c>
      <c r="L709" s="20"/>
      <c r="M709" s="21" t="n">
        <f aca="false">H709-L709</f>
        <v>1944575</v>
      </c>
      <c r="N709" s="23" t="n">
        <f aca="false">IFERROR(M709/B709*10000,0)</f>
        <v>2.26462566849549</v>
      </c>
      <c r="O709" s="19" t="n">
        <v>1886238</v>
      </c>
      <c r="P709" s="19" t="n">
        <v>23731</v>
      </c>
      <c r="Q709" s="21" t="n">
        <f aca="false">O709+P709</f>
        <v>1909969</v>
      </c>
      <c r="R709" s="22" t="n">
        <f aca="false">IF(A709&lt;HlpChangeDate,HlpSharePre,HlpSharePost)</f>
        <v>0.03</v>
      </c>
      <c r="S709" s="21" t="n">
        <f aca="false">Q709*R709/(1-R709)</f>
        <v>59071.206185567</v>
      </c>
      <c r="T709" s="19" t="n">
        <v>59534</v>
      </c>
      <c r="U709" s="21" t="n">
        <f aca="false">S709-T709</f>
        <v>-462.793814432989</v>
      </c>
      <c r="V709" s="21" t="n">
        <f aca="false">Y709-O709*R709/(1-R709)</f>
        <v>-0.257731958765362</v>
      </c>
      <c r="W709" s="21" t="n">
        <f aca="false">Z709-P709*R709/(1-R709)</f>
        <v>0.0515463917525949</v>
      </c>
      <c r="X709" s="21" t="n">
        <f aca="false">S709+V709+W709</f>
        <v>59071</v>
      </c>
      <c r="Y709" s="19" t="n">
        <v>58337</v>
      </c>
      <c r="Z709" s="19" t="n">
        <v>734</v>
      </c>
      <c r="AA709" s="19" t="n">
        <v>1909969</v>
      </c>
      <c r="AB709" s="29" t="n">
        <v>18.457</v>
      </c>
      <c r="AC709" s="29" t="n">
        <v>18.72775</v>
      </c>
      <c r="AD709" s="24" t="n">
        <f aca="false">IFERROR(AA709/AC709,0)</f>
        <v>101986.036763626</v>
      </c>
      <c r="AE709" s="25" t="n">
        <f aca="false">K709-Q709-X709</f>
        <v>0</v>
      </c>
      <c r="AF709" s="25" t="n">
        <f aca="false">Q709-AA709</f>
        <v>0</v>
      </c>
      <c r="AG709" s="19" t="n">
        <v>1984462.207021</v>
      </c>
      <c r="AH709" s="26" t="n">
        <f aca="false">IFERROR(AG709/Q709,0)</f>
        <v>1.0390023120904</v>
      </c>
      <c r="AI709" s="27" t="n">
        <v>378092896.174863</v>
      </c>
      <c r="AJ709" s="26" t="n">
        <f aca="false">IF(AI709&gt;0,AprCoef/SQRT(AI709),0)</f>
        <v>0.0243769340759987</v>
      </c>
      <c r="AK709" s="24" t="n">
        <f aca="false">AI709*AJ709/365</f>
        <v>25251.357820981</v>
      </c>
      <c r="AL709" s="24" t="n">
        <f aca="false">AD709</f>
        <v>101986.036763626</v>
      </c>
      <c r="AM709" s="24" t="n">
        <f aca="false">AK709-AL709</f>
        <v>-76734.6789426452</v>
      </c>
      <c r="AN709" s="28" t="str">
        <f aca="false">IF(A709&gt;=Hip3LaunchDate,"YES","")</f>
        <v/>
      </c>
      <c r="AO709" s="28" t="str">
        <f aca="false">IF(A709&lt;Hip4LaunchDate,"pre-launch","live (zero-fee)")</f>
        <v>pre-launch</v>
      </c>
      <c r="AP709" s="20"/>
      <c r="AQ709" s="20"/>
      <c r="AR709" s="20"/>
    </row>
    <row r="710" customFormat="false" ht="15" hidden="false" customHeight="false" outlineLevel="0" collapsed="false">
      <c r="A710" s="18" t="n">
        <v>45771</v>
      </c>
      <c r="B710" s="19" t="n">
        <v>5758061914.11</v>
      </c>
      <c r="C710" s="19" t="n">
        <v>0</v>
      </c>
      <c r="D710" s="19" t="n">
        <v>117675576</v>
      </c>
      <c r="E710" s="21" t="n">
        <f aca="false">B710+C710</f>
        <v>5758061914.11</v>
      </c>
      <c r="F710" s="21" t="n">
        <f aca="false">E710+D710</f>
        <v>5875737490.11</v>
      </c>
      <c r="G710" s="22" t="n">
        <f aca="false">IFERROR(C710/E710,0)</f>
        <v>0</v>
      </c>
      <c r="H710" s="19" t="n">
        <v>1313444</v>
      </c>
      <c r="I710" s="19" t="n">
        <v>15562</v>
      </c>
      <c r="J710" s="19" t="n">
        <v>39870</v>
      </c>
      <c r="K710" s="21" t="n">
        <f aca="false">H710+I710</f>
        <v>1329006</v>
      </c>
      <c r="L710" s="20"/>
      <c r="M710" s="21" t="n">
        <f aca="false">H710-L710</f>
        <v>1313444</v>
      </c>
      <c r="N710" s="23" t="n">
        <f aca="false">IFERROR(M710/B710*10000,0)</f>
        <v>2.28105223526936</v>
      </c>
      <c r="O710" s="19" t="n">
        <v>1274041</v>
      </c>
      <c r="P710" s="19" t="n">
        <v>15095</v>
      </c>
      <c r="Q710" s="21" t="n">
        <f aca="false">O710+P710</f>
        <v>1289136</v>
      </c>
      <c r="R710" s="22" t="n">
        <f aca="false">IF(A710&lt;HlpChangeDate,HlpSharePre,HlpSharePost)</f>
        <v>0.03</v>
      </c>
      <c r="S710" s="21" t="n">
        <f aca="false">Q710*R710/(1-R710)</f>
        <v>39870.1855670103</v>
      </c>
      <c r="T710" s="19" t="n">
        <v>39870</v>
      </c>
      <c r="U710" s="21" t="n">
        <f aca="false">S710-T710</f>
        <v>0.185567010310479</v>
      </c>
      <c r="V710" s="21" t="n">
        <f aca="false">Y710-O710*R710/(1-R710)</f>
        <v>-0.329896907212969</v>
      </c>
      <c r="W710" s="21" t="n">
        <f aca="false">Z710-P710*R710/(1-R710)</f>
        <v>0.144329896907266</v>
      </c>
      <c r="X710" s="21" t="n">
        <f aca="false">S710+V710+W710</f>
        <v>39870</v>
      </c>
      <c r="Y710" s="19" t="n">
        <v>39403</v>
      </c>
      <c r="Z710" s="19" t="n">
        <v>467</v>
      </c>
      <c r="AA710" s="19" t="n">
        <v>1289136</v>
      </c>
      <c r="AB710" s="29" t="n">
        <v>18.761</v>
      </c>
      <c r="AC710" s="29" t="n">
        <v>18.488</v>
      </c>
      <c r="AD710" s="24" t="n">
        <f aca="false">IFERROR(AA710/AC710,0)</f>
        <v>69728.2561661618</v>
      </c>
      <c r="AE710" s="25" t="n">
        <f aca="false">K710-Q710-X710</f>
        <v>0</v>
      </c>
      <c r="AF710" s="25" t="n">
        <f aca="false">Q710-AA710</f>
        <v>0</v>
      </c>
      <c r="AG710" s="19" t="n">
        <v>1329006.44990295</v>
      </c>
      <c r="AH710" s="26" t="n">
        <f aca="false">IFERROR(AG710/Q710,0)</f>
        <v>1.03092804010046</v>
      </c>
      <c r="AI710" s="27" t="n">
        <v>378229508.196721</v>
      </c>
      <c r="AJ710" s="26" t="n">
        <f aca="false">IF(AI710&gt;0,AprCoef/SQRT(AI710),0)</f>
        <v>0.0243725313483709</v>
      </c>
      <c r="AK710" s="24" t="n">
        <f aca="false">AI710*AJ710/365</f>
        <v>25255.9193024754</v>
      </c>
      <c r="AL710" s="24" t="n">
        <f aca="false">AD710</f>
        <v>69728.2561661618</v>
      </c>
      <c r="AM710" s="24" t="n">
        <f aca="false">AK710-AL710</f>
        <v>-44472.3368636865</v>
      </c>
      <c r="AN710" s="28" t="str">
        <f aca="false">IF(A710&gt;=Hip3LaunchDate,"YES","")</f>
        <v/>
      </c>
      <c r="AO710" s="28" t="str">
        <f aca="false">IF(A710&lt;Hip4LaunchDate,"pre-launch","live (zero-fee)")</f>
        <v>pre-launch</v>
      </c>
      <c r="AP710" s="20"/>
      <c r="AQ710" s="20"/>
      <c r="AR710" s="20"/>
    </row>
    <row r="711" customFormat="false" ht="15" hidden="false" customHeight="false" outlineLevel="0" collapsed="false">
      <c r="A711" s="18" t="n">
        <v>45772</v>
      </c>
      <c r="B711" s="19" t="n">
        <v>7060976063.8</v>
      </c>
      <c r="C711" s="19" t="n">
        <v>0</v>
      </c>
      <c r="D711" s="19" t="n">
        <v>114067436</v>
      </c>
      <c r="E711" s="21" t="n">
        <f aca="false">B711+C711</f>
        <v>7060976063.8</v>
      </c>
      <c r="F711" s="21" t="n">
        <f aca="false">E711+D711</f>
        <v>7175043499.8</v>
      </c>
      <c r="G711" s="22" t="n">
        <f aca="false">IFERROR(C711/E711,0)</f>
        <v>0</v>
      </c>
      <c r="H711" s="19" t="n">
        <v>1604602</v>
      </c>
      <c r="I711" s="19" t="n">
        <v>16124</v>
      </c>
      <c r="J711" s="19" t="n">
        <v>48622</v>
      </c>
      <c r="K711" s="21" t="n">
        <f aca="false">H711+I711</f>
        <v>1620726</v>
      </c>
      <c r="L711" s="20"/>
      <c r="M711" s="21" t="n">
        <f aca="false">H711-L711</f>
        <v>1604602</v>
      </c>
      <c r="N711" s="23" t="n">
        <f aca="false">IFERROR(M711/B711*10000,0)</f>
        <v>2.27249318720456</v>
      </c>
      <c r="O711" s="19" t="n">
        <v>1556464</v>
      </c>
      <c r="P711" s="19" t="n">
        <v>15640</v>
      </c>
      <c r="Q711" s="21" t="n">
        <f aca="false">O711+P711</f>
        <v>1572104</v>
      </c>
      <c r="R711" s="22" t="n">
        <f aca="false">IF(A711&lt;HlpChangeDate,HlpSharePre,HlpSharePost)</f>
        <v>0.03</v>
      </c>
      <c r="S711" s="21" t="n">
        <f aca="false">Q711*R711/(1-R711)</f>
        <v>48621.7731958763</v>
      </c>
      <c r="T711" s="19" t="n">
        <v>48622</v>
      </c>
      <c r="U711" s="21" t="n">
        <f aca="false">S711-T711</f>
        <v>-0.22680412371119</v>
      </c>
      <c r="V711" s="21" t="n">
        <f aca="false">Y711-O711*R711/(1-R711)</f>
        <v>-0.0618556701010675</v>
      </c>
      <c r="W711" s="21" t="n">
        <f aca="false">Z711-P711*R711/(1-R711)</f>
        <v>0.288659793814418</v>
      </c>
      <c r="X711" s="21" t="n">
        <f aca="false">S711+V711+W711</f>
        <v>48622</v>
      </c>
      <c r="Y711" s="19" t="n">
        <v>48138</v>
      </c>
      <c r="Z711" s="19" t="n">
        <v>484</v>
      </c>
      <c r="AA711" s="19" t="n">
        <v>1572104</v>
      </c>
      <c r="AB711" s="29" t="n">
        <v>18.392</v>
      </c>
      <c r="AC711" s="29" t="n">
        <v>18.6255</v>
      </c>
      <c r="AD711" s="24" t="n">
        <f aca="false">IFERROR(AA711/AC711,0)</f>
        <v>84406.0025234222</v>
      </c>
      <c r="AE711" s="25" t="n">
        <f aca="false">K711-Q711-X711</f>
        <v>0</v>
      </c>
      <c r="AF711" s="25" t="n">
        <f aca="false">Q711-AA711</f>
        <v>0</v>
      </c>
      <c r="AG711" s="19" t="n">
        <v>1620725.64153004</v>
      </c>
      <c r="AH711" s="26" t="n">
        <f aca="false">IFERROR(AG711/Q711,0)</f>
        <v>1.03092775130019</v>
      </c>
      <c r="AI711" s="27" t="n">
        <v>378366120.218579</v>
      </c>
      <c r="AJ711" s="26" t="n">
        <f aca="false">IF(AI711&gt;0,AprCoef/SQRT(AI711),0)</f>
        <v>0.0243681310054169</v>
      </c>
      <c r="AK711" s="24" t="n">
        <f aca="false">AI711*AJ711/365</f>
        <v>25260.4799602675</v>
      </c>
      <c r="AL711" s="24" t="n">
        <f aca="false">AD711</f>
        <v>84406.0025234222</v>
      </c>
      <c r="AM711" s="24" t="n">
        <f aca="false">AK711-AL711</f>
        <v>-59145.5225631547</v>
      </c>
      <c r="AN711" s="28" t="str">
        <f aca="false">IF(A711&gt;=Hip3LaunchDate,"YES","")</f>
        <v/>
      </c>
      <c r="AO711" s="28" t="str">
        <f aca="false">IF(A711&lt;Hip4LaunchDate,"pre-launch","live (zero-fee)")</f>
        <v>pre-launch</v>
      </c>
      <c r="AP711" s="20"/>
      <c r="AQ711" s="20"/>
      <c r="AR711" s="20"/>
    </row>
    <row r="712" customFormat="false" ht="15" hidden="false" customHeight="false" outlineLevel="0" collapsed="false">
      <c r="A712" s="18" t="n">
        <v>45773</v>
      </c>
      <c r="B712" s="19" t="n">
        <v>3839502376.34</v>
      </c>
      <c r="C712" s="19" t="n">
        <v>0</v>
      </c>
      <c r="D712" s="19" t="n">
        <v>89325385</v>
      </c>
      <c r="E712" s="21" t="n">
        <f aca="false">B712+C712</f>
        <v>3839502376.34</v>
      </c>
      <c r="F712" s="21" t="n">
        <f aca="false">E712+D712</f>
        <v>3928827761.34</v>
      </c>
      <c r="G712" s="22" t="n">
        <f aca="false">IFERROR(C712/E712,0)</f>
        <v>0</v>
      </c>
      <c r="H712" s="19" t="n">
        <v>836905</v>
      </c>
      <c r="I712" s="19" t="n">
        <v>11829</v>
      </c>
      <c r="J712" s="19" t="n">
        <v>25331</v>
      </c>
      <c r="K712" s="21" t="n">
        <f aca="false">H712+I712</f>
        <v>848734</v>
      </c>
      <c r="L712" s="20"/>
      <c r="M712" s="21" t="n">
        <f aca="false">H712-L712</f>
        <v>836905</v>
      </c>
      <c r="N712" s="23" t="n">
        <f aca="false">IFERROR(M712/B712*10000,0)</f>
        <v>2.17972257331373</v>
      </c>
      <c r="O712" s="19" t="n">
        <v>811798</v>
      </c>
      <c r="P712" s="19" t="n">
        <v>11474</v>
      </c>
      <c r="Q712" s="21" t="n">
        <f aca="false">O712+P712</f>
        <v>823272</v>
      </c>
      <c r="R712" s="22" t="n">
        <f aca="false">IF(A712&lt;HlpChangeDate,HlpSharePre,HlpSharePost)</f>
        <v>0.03</v>
      </c>
      <c r="S712" s="21" t="n">
        <f aca="false">Q712*R712/(1-R712)</f>
        <v>25462.0206185567</v>
      </c>
      <c r="T712" s="19" t="n">
        <v>25331</v>
      </c>
      <c r="U712" s="21" t="n">
        <f aca="false">S712-T712</f>
        <v>131.0206185567</v>
      </c>
      <c r="V712" s="21" t="n">
        <f aca="false">Y712-O712*R712/(1-R712)</f>
        <v>-0.154639175256307</v>
      </c>
      <c r="W712" s="21" t="n">
        <f aca="false">Z712-P712*R712/(1-R712)</f>
        <v>0.134020618556747</v>
      </c>
      <c r="X712" s="21" t="n">
        <f aca="false">S712+V712+W712</f>
        <v>25462</v>
      </c>
      <c r="Y712" s="19" t="n">
        <v>25107</v>
      </c>
      <c r="Z712" s="19" t="n">
        <v>355</v>
      </c>
      <c r="AA712" s="19" t="n">
        <v>823272</v>
      </c>
      <c r="AB712" s="29" t="n">
        <v>17.908</v>
      </c>
      <c r="AC712" s="29" t="n">
        <v>18.05825</v>
      </c>
      <c r="AD712" s="24" t="n">
        <f aca="false">IFERROR(AA712/AC712,0)</f>
        <v>45589.7996760483</v>
      </c>
      <c r="AE712" s="25" t="n">
        <f aca="false">K712-Q712-X712</f>
        <v>0</v>
      </c>
      <c r="AF712" s="25" t="n">
        <f aca="false">Q712-AA712</f>
        <v>0</v>
      </c>
      <c r="AG712" s="19" t="n">
        <v>844372.66198498</v>
      </c>
      <c r="AH712" s="26" t="n">
        <f aca="false">IFERROR(AG712/Q712,0)</f>
        <v>1.02563024369222</v>
      </c>
      <c r="AI712" s="27" t="n">
        <v>378502732.240437</v>
      </c>
      <c r="AJ712" s="26" t="n">
        <f aca="false">IF(AI712&gt;0,AprCoef/SQRT(AI712),0)</f>
        <v>0.0243637330449846</v>
      </c>
      <c r="AK712" s="24" t="n">
        <f aca="false">AI712*AJ712/365</f>
        <v>25265.0397948036</v>
      </c>
      <c r="AL712" s="24" t="n">
        <f aca="false">AD712</f>
        <v>45589.7996760483</v>
      </c>
      <c r="AM712" s="24" t="n">
        <f aca="false">AK712-AL712</f>
        <v>-20324.7598812448</v>
      </c>
      <c r="AN712" s="28" t="str">
        <f aca="false">IF(A712&gt;=Hip3LaunchDate,"YES","")</f>
        <v/>
      </c>
      <c r="AO712" s="28" t="str">
        <f aca="false">IF(A712&lt;Hip4LaunchDate,"pre-launch","live (zero-fee)")</f>
        <v>pre-launch</v>
      </c>
      <c r="AP712" s="20"/>
      <c r="AQ712" s="20"/>
      <c r="AR712" s="20"/>
    </row>
    <row r="713" customFormat="false" ht="15" hidden="false" customHeight="false" outlineLevel="0" collapsed="false">
      <c r="A713" s="18" t="n">
        <v>45774</v>
      </c>
      <c r="B713" s="19" t="n">
        <v>3382764141.41</v>
      </c>
      <c r="C713" s="19" t="n">
        <v>0</v>
      </c>
      <c r="D713" s="19" t="n">
        <v>65942651</v>
      </c>
      <c r="E713" s="21" t="n">
        <f aca="false">B713+C713</f>
        <v>3382764141.41</v>
      </c>
      <c r="F713" s="21" t="n">
        <f aca="false">E713+D713</f>
        <v>3448706792.41</v>
      </c>
      <c r="G713" s="22" t="n">
        <f aca="false">IFERROR(C713/E713,0)</f>
        <v>0</v>
      </c>
      <c r="H713" s="19" t="n">
        <v>773066</v>
      </c>
      <c r="I713" s="19" t="n">
        <v>10180</v>
      </c>
      <c r="J713" s="19" t="n">
        <v>23467</v>
      </c>
      <c r="K713" s="21" t="n">
        <f aca="false">H713+I713</f>
        <v>783246</v>
      </c>
      <c r="L713" s="20"/>
      <c r="M713" s="21" t="n">
        <f aca="false">H713-L713</f>
        <v>773066</v>
      </c>
      <c r="N713" s="23" t="n">
        <f aca="false">IFERROR(M713/B713*10000,0)</f>
        <v>2.28530860468969</v>
      </c>
      <c r="O713" s="19" t="n">
        <v>749874</v>
      </c>
      <c r="P713" s="19" t="n">
        <v>9875</v>
      </c>
      <c r="Q713" s="21" t="n">
        <f aca="false">O713+P713</f>
        <v>759749</v>
      </c>
      <c r="R713" s="22" t="n">
        <f aca="false">IF(A713&lt;HlpChangeDate,HlpSharePre,HlpSharePost)</f>
        <v>0.03</v>
      </c>
      <c r="S713" s="21" t="n">
        <f aca="false">Q713*R713/(1-R713)</f>
        <v>23497.3917525773</v>
      </c>
      <c r="T713" s="19" t="n">
        <v>23467</v>
      </c>
      <c r="U713" s="21" t="n">
        <f aca="false">S713-T713</f>
        <v>30.3917525773177</v>
      </c>
      <c r="V713" s="21" t="n">
        <f aca="false">Y713-O713*R713/(1-R713)</f>
        <v>0.0206185567039938</v>
      </c>
      <c r="W713" s="21" t="n">
        <f aca="false">Z713-P713*R713/(1-R713)</f>
        <v>-0.412371134020646</v>
      </c>
      <c r="X713" s="21" t="n">
        <f aca="false">S713+V713+W713</f>
        <v>23497</v>
      </c>
      <c r="Y713" s="19" t="n">
        <v>23192</v>
      </c>
      <c r="Z713" s="19" t="n">
        <v>305</v>
      </c>
      <c r="AA713" s="19" t="n">
        <v>759749</v>
      </c>
      <c r="AB713" s="29" t="n">
        <v>17.393</v>
      </c>
      <c r="AC713" s="29" t="n">
        <v>17.72525</v>
      </c>
      <c r="AD713" s="24" t="n">
        <f aca="false">IFERROR(AA713/AC713,0)</f>
        <v>42862.5266216273</v>
      </c>
      <c r="AE713" s="25" t="n">
        <f aca="false">K713-Q713-X713</f>
        <v>0</v>
      </c>
      <c r="AF713" s="25" t="n">
        <f aca="false">Q713-AA713</f>
        <v>0</v>
      </c>
      <c r="AG713" s="19" t="n">
        <v>782235.083415031</v>
      </c>
      <c r="AH713" s="26" t="n">
        <f aca="false">IFERROR(AG713/Q713,0)</f>
        <v>1.02959672657026</v>
      </c>
      <c r="AI713" s="27" t="n">
        <v>378639344.262295</v>
      </c>
      <c r="AJ713" s="26" t="n">
        <f aca="false">IF(AI713&gt;0,AprCoef/SQRT(AI713),0)</f>
        <v>0.0243593374649249</v>
      </c>
      <c r="AK713" s="24" t="n">
        <f aca="false">AI713*AJ713/365</f>
        <v>25269.5988065291</v>
      </c>
      <c r="AL713" s="24" t="n">
        <f aca="false">AD713</f>
        <v>42862.5266216273</v>
      </c>
      <c r="AM713" s="24" t="n">
        <f aca="false">AK713-AL713</f>
        <v>-17592.9278150982</v>
      </c>
      <c r="AN713" s="28" t="str">
        <f aca="false">IF(A713&gt;=Hip3LaunchDate,"YES","")</f>
        <v/>
      </c>
      <c r="AO713" s="28" t="str">
        <f aca="false">IF(A713&lt;Hip4LaunchDate,"pre-launch","live (zero-fee)")</f>
        <v>pre-launch</v>
      </c>
      <c r="AP713" s="20"/>
      <c r="AQ713" s="20"/>
      <c r="AR713" s="20"/>
    </row>
    <row r="714" customFormat="false" ht="15" hidden="false" customHeight="false" outlineLevel="0" collapsed="false">
      <c r="A714" s="18" t="n">
        <v>45775</v>
      </c>
      <c r="B714" s="19" t="n">
        <v>6671543330.52</v>
      </c>
      <c r="C714" s="19" t="n">
        <v>0</v>
      </c>
      <c r="D714" s="19" t="n">
        <v>156064089</v>
      </c>
      <c r="E714" s="21" t="n">
        <f aca="false">B714+C714</f>
        <v>6671543330.52</v>
      </c>
      <c r="F714" s="21" t="n">
        <f aca="false">E714+D714</f>
        <v>6827607419.52</v>
      </c>
      <c r="G714" s="22" t="n">
        <f aca="false">IFERROR(C714/E714,0)</f>
        <v>0</v>
      </c>
      <c r="H714" s="19" t="n">
        <v>1495368</v>
      </c>
      <c r="I714" s="19" t="n">
        <v>19745</v>
      </c>
      <c r="J714" s="19" t="n">
        <v>45615</v>
      </c>
      <c r="K714" s="21" t="n">
        <f aca="false">H714+I714</f>
        <v>1515113</v>
      </c>
      <c r="L714" s="20"/>
      <c r="M714" s="21" t="n">
        <f aca="false">H714-L714</f>
        <v>1495368</v>
      </c>
      <c r="N714" s="23" t="n">
        <f aca="false">IFERROR(M714/B714*10000,0)</f>
        <v>2.24141240776959</v>
      </c>
      <c r="O714" s="19" t="n">
        <v>1450507</v>
      </c>
      <c r="P714" s="19" t="n">
        <v>19152</v>
      </c>
      <c r="Q714" s="21" t="n">
        <f aca="false">O714+P714</f>
        <v>1469659</v>
      </c>
      <c r="R714" s="22" t="n">
        <f aca="false">IF(A714&lt;HlpChangeDate,HlpSharePre,HlpSharePost)</f>
        <v>0.03</v>
      </c>
      <c r="S714" s="21" t="n">
        <f aca="false">Q714*R714/(1-R714)</f>
        <v>45453.3711340206</v>
      </c>
      <c r="T714" s="19" t="n">
        <v>45615</v>
      </c>
      <c r="U714" s="21" t="n">
        <f aca="false">S714-T714</f>
        <v>-161.628865979386</v>
      </c>
      <c r="V714" s="21" t="n">
        <f aca="false">Y714-O714*R714/(1-R714)</f>
        <v>-0.0412371134007117</v>
      </c>
      <c r="W714" s="21" t="n">
        <f aca="false">Z714-P714*R714/(1-R714)</f>
        <v>-0.329896907216494</v>
      </c>
      <c r="X714" s="21" t="n">
        <f aca="false">S714+V714+W714</f>
        <v>45453</v>
      </c>
      <c r="Y714" s="19" t="n">
        <v>44861</v>
      </c>
      <c r="Z714" s="19" t="n">
        <v>592</v>
      </c>
      <c r="AA714" s="19" t="n">
        <v>1469659</v>
      </c>
      <c r="AB714" s="29" t="n">
        <v>18.677</v>
      </c>
      <c r="AC714" s="29" t="n">
        <v>17.93425</v>
      </c>
      <c r="AD714" s="24" t="n">
        <f aca="false">IFERROR(AA714/AC714,0)</f>
        <v>81947.0566095599</v>
      </c>
      <c r="AE714" s="25" t="n">
        <f aca="false">K714-Q714-X714</f>
        <v>1</v>
      </c>
      <c r="AF714" s="25" t="n">
        <f aca="false">Q714-AA714</f>
        <v>0</v>
      </c>
      <c r="AG714" s="19" t="n">
        <v>1520484.66168898</v>
      </c>
      <c r="AH714" s="26" t="n">
        <f aca="false">IFERROR(AG714/Q714,0)</f>
        <v>1.03458330244566</v>
      </c>
      <c r="AI714" s="27" t="n">
        <v>378775956.284153</v>
      </c>
      <c r="AJ714" s="26" t="n">
        <f aca="false">IF(AI714&gt;0,AprCoef/SQRT(AI714),0)</f>
        <v>0.0243549442630913</v>
      </c>
      <c r="AK714" s="24" t="n">
        <f aca="false">AI714*AJ714/365</f>
        <v>25274.1569958895</v>
      </c>
      <c r="AL714" s="24" t="n">
        <f aca="false">AD714</f>
        <v>81947.0566095599</v>
      </c>
      <c r="AM714" s="24" t="n">
        <f aca="false">AK714-AL714</f>
        <v>-56672.8996136705</v>
      </c>
      <c r="AN714" s="28" t="str">
        <f aca="false">IF(A714&gt;=Hip3LaunchDate,"YES","")</f>
        <v/>
      </c>
      <c r="AO714" s="28" t="str">
        <f aca="false">IF(A714&lt;Hip4LaunchDate,"pre-launch","live (zero-fee)")</f>
        <v>pre-launch</v>
      </c>
      <c r="AP714" s="20"/>
      <c r="AQ714" s="20"/>
      <c r="AR714" s="20"/>
    </row>
    <row r="715" customFormat="false" ht="15" hidden="false" customHeight="false" outlineLevel="0" collapsed="false">
      <c r="A715" s="18" t="n">
        <v>45776</v>
      </c>
      <c r="B715" s="19" t="n">
        <v>4981695000.9</v>
      </c>
      <c r="C715" s="19" t="n">
        <v>0</v>
      </c>
      <c r="D715" s="19" t="n">
        <v>133602416</v>
      </c>
      <c r="E715" s="21" t="n">
        <f aca="false">B715+C715</f>
        <v>4981695000.9</v>
      </c>
      <c r="F715" s="21" t="n">
        <f aca="false">E715+D715</f>
        <v>5115297416.9</v>
      </c>
      <c r="G715" s="22" t="n">
        <f aca="false">IFERROR(C715/E715,0)</f>
        <v>0</v>
      </c>
      <c r="H715" s="19" t="n">
        <v>1115354</v>
      </c>
      <c r="I715" s="19" t="n">
        <v>17990</v>
      </c>
      <c r="J715" s="19" t="n">
        <v>33807</v>
      </c>
      <c r="K715" s="21" t="n">
        <f aca="false">H715+I715</f>
        <v>1133344</v>
      </c>
      <c r="L715" s="20"/>
      <c r="M715" s="21" t="n">
        <f aca="false">H715-L715</f>
        <v>1115354</v>
      </c>
      <c r="N715" s="23" t="n">
        <f aca="false">IFERROR(M715/B715*10000,0)</f>
        <v>2.2389046294454</v>
      </c>
      <c r="O715" s="19" t="n">
        <v>1081893</v>
      </c>
      <c r="P715" s="19" t="n">
        <v>17450</v>
      </c>
      <c r="Q715" s="21" t="n">
        <f aca="false">O715+P715</f>
        <v>1099343</v>
      </c>
      <c r="R715" s="22" t="n">
        <f aca="false">IF(A715&lt;HlpChangeDate,HlpSharePre,HlpSharePost)</f>
        <v>0.03</v>
      </c>
      <c r="S715" s="21" t="n">
        <f aca="false">Q715*R715/(1-R715)</f>
        <v>34000.2989690722</v>
      </c>
      <c r="T715" s="19" t="n">
        <v>33807</v>
      </c>
      <c r="U715" s="21" t="n">
        <f aca="false">S715-T715</f>
        <v>193.298969072166</v>
      </c>
      <c r="V715" s="21" t="n">
        <f aca="false">Y715-O715*R715/(1-R715)</f>
        <v>0.391752577321313</v>
      </c>
      <c r="W715" s="21" t="n">
        <f aca="false">Z715-P715*R715/(1-R715)</f>
        <v>0.309278350515456</v>
      </c>
      <c r="X715" s="21" t="n">
        <f aca="false">S715+V715+W715</f>
        <v>34001</v>
      </c>
      <c r="Y715" s="19" t="n">
        <v>33461</v>
      </c>
      <c r="Z715" s="19" t="n">
        <v>540</v>
      </c>
      <c r="AA715" s="19" t="n">
        <v>1099343</v>
      </c>
      <c r="AB715" s="29" t="n">
        <v>18.608</v>
      </c>
      <c r="AC715" s="29" t="n">
        <v>18.64475</v>
      </c>
      <c r="AD715" s="24" t="n">
        <f aca="false">IFERROR(AA715/AC715,0)</f>
        <v>58962.6034138296</v>
      </c>
      <c r="AE715" s="25" t="n">
        <f aca="false">K715-Q715-X715</f>
        <v>0</v>
      </c>
      <c r="AF715" s="25" t="n">
        <f aca="false">Q715-AA715</f>
        <v>0</v>
      </c>
      <c r="AG715" s="19" t="n">
        <v>1126903.88860697</v>
      </c>
      <c r="AH715" s="26" t="n">
        <f aca="false">IFERROR(AG715/Q715,0)</f>
        <v>1.0250703271017</v>
      </c>
      <c r="AI715" s="27" t="n">
        <v>378912568.306011</v>
      </c>
      <c r="AJ715" s="26" t="n">
        <f aca="false">IF(AI715&gt;0,AprCoef/SQRT(AI715),0)</f>
        <v>0.02435055343734</v>
      </c>
      <c r="AK715" s="24" t="n">
        <f aca="false">AI715*AJ715/365</f>
        <v>25278.7143633294</v>
      </c>
      <c r="AL715" s="24" t="n">
        <f aca="false">AD715</f>
        <v>58962.6034138296</v>
      </c>
      <c r="AM715" s="24" t="n">
        <f aca="false">AK715-AL715</f>
        <v>-33683.8890505002</v>
      </c>
      <c r="AN715" s="28" t="str">
        <f aca="false">IF(A715&gt;=Hip3LaunchDate,"YES","")</f>
        <v/>
      </c>
      <c r="AO715" s="28" t="str">
        <f aca="false">IF(A715&lt;Hip4LaunchDate,"pre-launch","live (zero-fee)")</f>
        <v>pre-launch</v>
      </c>
      <c r="AP715" s="20"/>
      <c r="AQ715" s="20"/>
      <c r="AR715" s="20"/>
    </row>
    <row r="716" customFormat="false" ht="15" hidden="false" customHeight="false" outlineLevel="0" collapsed="false">
      <c r="A716" s="18" t="n">
        <v>45777</v>
      </c>
      <c r="B716" s="19" t="n">
        <v>5886017387.24</v>
      </c>
      <c r="C716" s="19" t="n">
        <v>0</v>
      </c>
      <c r="D716" s="19" t="n">
        <v>171764916</v>
      </c>
      <c r="E716" s="21" t="n">
        <f aca="false">B716+C716</f>
        <v>5886017387.24</v>
      </c>
      <c r="F716" s="21" t="n">
        <f aca="false">E716+D716</f>
        <v>6057782303.24</v>
      </c>
      <c r="G716" s="22" t="n">
        <f aca="false">IFERROR(C716/E716,0)</f>
        <v>0</v>
      </c>
      <c r="H716" s="19" t="n">
        <v>1309702</v>
      </c>
      <c r="I716" s="19" t="n">
        <v>18830</v>
      </c>
      <c r="J716" s="19" t="n">
        <v>40049</v>
      </c>
      <c r="K716" s="21" t="n">
        <f aca="false">H716+I716</f>
        <v>1328532</v>
      </c>
      <c r="L716" s="20"/>
      <c r="M716" s="21" t="n">
        <f aca="false">H716-L716</f>
        <v>1309702</v>
      </c>
      <c r="N716" s="23" t="n">
        <f aca="false">IFERROR(M716/B716*10000,0)</f>
        <v>2.22510725646043</v>
      </c>
      <c r="O716" s="19" t="n">
        <v>1270411</v>
      </c>
      <c r="P716" s="19" t="n">
        <v>18265</v>
      </c>
      <c r="Q716" s="21" t="n">
        <f aca="false">O716+P716</f>
        <v>1288676</v>
      </c>
      <c r="R716" s="22" t="n">
        <f aca="false">IF(A716&lt;HlpChangeDate,HlpSharePre,HlpSharePost)</f>
        <v>0.03</v>
      </c>
      <c r="S716" s="21" t="n">
        <f aca="false">Q716*R716/(1-R716)</f>
        <v>39855.9587628866</v>
      </c>
      <c r="T716" s="19" t="n">
        <v>40049</v>
      </c>
      <c r="U716" s="21" t="n">
        <f aca="false">S716-T716</f>
        <v>-193.041237113401</v>
      </c>
      <c r="V716" s="21" t="n">
        <f aca="false">Y716-O716*R716/(1-R716)</f>
        <v>-0.0618556701083435</v>
      </c>
      <c r="W716" s="21" t="n">
        <f aca="false">Z716-P716*R716/(1-R716)</f>
        <v>0.10309278350519</v>
      </c>
      <c r="X716" s="21" t="n">
        <f aca="false">S716+V716+W716</f>
        <v>39856</v>
      </c>
      <c r="Y716" s="19" t="n">
        <v>39291</v>
      </c>
      <c r="Z716" s="19" t="n">
        <v>565</v>
      </c>
      <c r="AA716" s="19" t="n">
        <v>1288676</v>
      </c>
      <c r="AB716" s="29" t="n">
        <v>19.996</v>
      </c>
      <c r="AC716" s="29" t="n">
        <v>19.09025</v>
      </c>
      <c r="AD716" s="24" t="n">
        <f aca="false">IFERROR(AA716/AC716,0)</f>
        <v>67504.4066997551</v>
      </c>
      <c r="AE716" s="25" t="n">
        <f aca="false">K716-Q716-X716</f>
        <v>0</v>
      </c>
      <c r="AF716" s="25" t="n">
        <f aca="false">Q716-AA716</f>
        <v>0</v>
      </c>
      <c r="AG716" s="19" t="n">
        <v>1334971.55134904</v>
      </c>
      <c r="AH716" s="26" t="n">
        <f aca="false">IFERROR(AG716/Q716,0)</f>
        <v>1.03592489605537</v>
      </c>
      <c r="AI716" s="27" t="n">
        <v>379049180.327869</v>
      </c>
      <c r="AJ716" s="26" t="n">
        <f aca="false">IF(AI716&gt;0,AprCoef/SQRT(AI716),0)</f>
        <v>0.0243461649855298</v>
      </c>
      <c r="AK716" s="24" t="n">
        <f aca="false">AI716*AJ716/365</f>
        <v>25283.2709092935</v>
      </c>
      <c r="AL716" s="24" t="n">
        <f aca="false">AD716</f>
        <v>67504.4066997551</v>
      </c>
      <c r="AM716" s="24" t="n">
        <f aca="false">AK716-AL716</f>
        <v>-42221.1357904616</v>
      </c>
      <c r="AN716" s="28" t="str">
        <f aca="false">IF(A716&gt;=Hip3LaunchDate,"YES","")</f>
        <v/>
      </c>
      <c r="AO716" s="28" t="str">
        <f aca="false">IF(A716&lt;Hip4LaunchDate,"pre-launch","live (zero-fee)")</f>
        <v>pre-launch</v>
      </c>
      <c r="AP716" s="20"/>
      <c r="AQ716" s="20"/>
      <c r="AR716" s="20"/>
    </row>
    <row r="717" customFormat="false" ht="15" hidden="false" customHeight="false" outlineLevel="0" collapsed="false">
      <c r="A717" s="18" t="n">
        <v>45778</v>
      </c>
      <c r="B717" s="19" t="n">
        <v>5844761153.41</v>
      </c>
      <c r="C717" s="19" t="n">
        <v>0</v>
      </c>
      <c r="D717" s="19" t="n">
        <v>176430408</v>
      </c>
      <c r="E717" s="21" t="n">
        <f aca="false">B717+C717</f>
        <v>5844761153.41</v>
      </c>
      <c r="F717" s="21" t="n">
        <f aca="false">E717+D717</f>
        <v>6021191561.41</v>
      </c>
      <c r="G717" s="22" t="n">
        <f aca="false">IFERROR(C717/E717,0)</f>
        <v>0</v>
      </c>
      <c r="H717" s="19" t="n">
        <v>1352114</v>
      </c>
      <c r="I717" s="19" t="n">
        <v>27300</v>
      </c>
      <c r="J717" s="19" t="n">
        <v>41191</v>
      </c>
      <c r="K717" s="21" t="n">
        <f aca="false">H717+I717</f>
        <v>1379414</v>
      </c>
      <c r="L717" s="20"/>
      <c r="M717" s="21" t="n">
        <f aca="false">H717-L717</f>
        <v>1352114</v>
      </c>
      <c r="N717" s="23" t="n">
        <f aca="false">IFERROR(M717/B717*10000,0)</f>
        <v>2.31337768047397</v>
      </c>
      <c r="O717" s="19" t="n">
        <v>1311550</v>
      </c>
      <c r="P717" s="19" t="n">
        <v>26481</v>
      </c>
      <c r="Q717" s="21" t="n">
        <f aca="false">O717+P717</f>
        <v>1338031</v>
      </c>
      <c r="R717" s="22" t="n">
        <f aca="false">IF(A717&lt;HlpChangeDate,HlpSharePre,HlpSharePost)</f>
        <v>0.03</v>
      </c>
      <c r="S717" s="21" t="n">
        <f aca="false">Q717*R717/(1-R717)</f>
        <v>41382.4020618557</v>
      </c>
      <c r="T717" s="19" t="n">
        <v>41191</v>
      </c>
      <c r="U717" s="21" t="n">
        <f aca="false">S717-T717</f>
        <v>191.402061855675</v>
      </c>
      <c r="V717" s="21" t="n">
        <f aca="false">Y717-O717*R717/(1-R717)</f>
        <v>-0.402061855667853</v>
      </c>
      <c r="W717" s="21" t="n">
        <f aca="false">Z717-P717*R717/(1-R717)</f>
        <v>0</v>
      </c>
      <c r="X717" s="21" t="n">
        <f aca="false">S717+V717+W717</f>
        <v>41382</v>
      </c>
      <c r="Y717" s="19" t="n">
        <v>40563</v>
      </c>
      <c r="Z717" s="19" t="n">
        <v>819</v>
      </c>
      <c r="AA717" s="19" t="n">
        <v>1338031</v>
      </c>
      <c r="AB717" s="29" t="n">
        <v>19.931</v>
      </c>
      <c r="AC717" s="29" t="n">
        <v>20.08275</v>
      </c>
      <c r="AD717" s="24" t="n">
        <f aca="false">IFERROR(AA717/AC717,0)</f>
        <v>66625.885399161</v>
      </c>
      <c r="AE717" s="25" t="n">
        <f aca="false">K717-Q717-X717</f>
        <v>0.999999999992724</v>
      </c>
      <c r="AF717" s="25" t="n">
        <f aca="false">Q717-AA717</f>
        <v>0</v>
      </c>
      <c r="AG717" s="19" t="n">
        <v>1373022.22686899</v>
      </c>
      <c r="AH717" s="26" t="n">
        <f aca="false">IFERROR(AG717/Q717,0)</f>
        <v>1.02615128264516</v>
      </c>
      <c r="AI717" s="27" t="n">
        <v>379185792.349727</v>
      </c>
      <c r="AJ717" s="26" t="n">
        <f aca="false">IF(AI717&gt;0,AprCoef/SQRT(AI717),0)</f>
        <v>0.0243417789055225</v>
      </c>
      <c r="AK717" s="24" t="n">
        <f aca="false">AI717*AJ717/365</f>
        <v>25287.8266342258</v>
      </c>
      <c r="AL717" s="24" t="n">
        <f aca="false">AD717</f>
        <v>66625.885399161</v>
      </c>
      <c r="AM717" s="24" t="n">
        <f aca="false">AK717-AL717</f>
        <v>-41338.0587649352</v>
      </c>
      <c r="AN717" s="28" t="str">
        <f aca="false">IF(A717&gt;=Hip3LaunchDate,"YES","")</f>
        <v/>
      </c>
      <c r="AO717" s="28" t="str">
        <f aca="false">IF(A717&lt;Hip4LaunchDate,"pre-launch","live (zero-fee)")</f>
        <v>pre-launch</v>
      </c>
      <c r="AP717" s="20"/>
      <c r="AQ717" s="20"/>
      <c r="AR717" s="20"/>
    </row>
    <row r="718" customFormat="false" ht="15" hidden="false" customHeight="false" outlineLevel="0" collapsed="false">
      <c r="A718" s="18" t="n">
        <v>45779</v>
      </c>
      <c r="B718" s="19" t="n">
        <v>4184147211.79</v>
      </c>
      <c r="C718" s="19" t="n">
        <v>0</v>
      </c>
      <c r="D718" s="19" t="n">
        <v>128977405</v>
      </c>
      <c r="E718" s="21" t="n">
        <f aca="false">B718+C718</f>
        <v>4184147211.79</v>
      </c>
      <c r="F718" s="21" t="n">
        <f aca="false">E718+D718</f>
        <v>4313124616.79</v>
      </c>
      <c r="G718" s="22" t="n">
        <f aca="false">IFERROR(C718/E718,0)</f>
        <v>0</v>
      </c>
      <c r="H718" s="19" t="n">
        <v>952374</v>
      </c>
      <c r="I718" s="19" t="n">
        <v>16323</v>
      </c>
      <c r="J718" s="19" t="n">
        <v>29253</v>
      </c>
      <c r="K718" s="21" t="n">
        <f aca="false">H718+I718</f>
        <v>968697</v>
      </c>
      <c r="L718" s="20"/>
      <c r="M718" s="21" t="n">
        <f aca="false">H718-L718</f>
        <v>952374</v>
      </c>
      <c r="N718" s="23" t="n">
        <f aca="false">IFERROR(M718/B718*10000,0)</f>
        <v>2.27614840442617</v>
      </c>
      <c r="O718" s="19" t="n">
        <v>923803</v>
      </c>
      <c r="P718" s="19" t="n">
        <v>15833</v>
      </c>
      <c r="Q718" s="21" t="n">
        <f aca="false">O718+P718</f>
        <v>939636</v>
      </c>
      <c r="R718" s="22" t="n">
        <f aca="false">IF(A718&lt;HlpChangeDate,HlpSharePre,HlpSharePost)</f>
        <v>0.03</v>
      </c>
      <c r="S718" s="21" t="n">
        <f aca="false">Q718*R718/(1-R718)</f>
        <v>29060.9072164948</v>
      </c>
      <c r="T718" s="19" t="n">
        <v>29253</v>
      </c>
      <c r="U718" s="21" t="n">
        <f aca="false">S718-T718</f>
        <v>-192.092783505155</v>
      </c>
      <c r="V718" s="21" t="n">
        <f aca="false">Y718-O718*R718/(1-R718)</f>
        <v>-0.22680412371119</v>
      </c>
      <c r="W718" s="21" t="n">
        <f aca="false">Z718-P718*R718/(1-R718)</f>
        <v>0.319587628865975</v>
      </c>
      <c r="X718" s="21" t="n">
        <f aca="false">S718+V718+W718</f>
        <v>29061</v>
      </c>
      <c r="Y718" s="19" t="n">
        <v>28571</v>
      </c>
      <c r="Z718" s="19" t="n">
        <v>490</v>
      </c>
      <c r="AA718" s="19" t="n">
        <v>939636</v>
      </c>
      <c r="AB718" s="29" t="n">
        <v>20.803</v>
      </c>
      <c r="AC718" s="29" t="n">
        <v>20.51375</v>
      </c>
      <c r="AD718" s="24" t="n">
        <f aca="false">IFERROR(AA718/AC718,0)</f>
        <v>45805.179452806</v>
      </c>
      <c r="AE718" s="25" t="n">
        <f aca="false">K718-Q718-X718</f>
        <v>0</v>
      </c>
      <c r="AF718" s="25" t="n">
        <f aca="false">Q718-AA718</f>
        <v>0</v>
      </c>
      <c r="AG718" s="19" t="n">
        <v>975088.218704999</v>
      </c>
      <c r="AH718" s="26" t="n">
        <f aca="false">IFERROR(AG718/Q718,0)</f>
        <v>1.03772973652031</v>
      </c>
      <c r="AI718" s="27" t="n">
        <v>379322404.371585</v>
      </c>
      <c r="AJ718" s="26" t="n">
        <f aca="false">IF(AI718&gt;0,AprCoef/SQRT(AI718),0)</f>
        <v>0.0243373951951823</v>
      </c>
      <c r="AK718" s="24" t="n">
        <f aca="false">AI718*AJ718/365</f>
        <v>25292.3815385699</v>
      </c>
      <c r="AL718" s="24" t="n">
        <f aca="false">AD718</f>
        <v>45805.179452806</v>
      </c>
      <c r="AM718" s="24" t="n">
        <f aca="false">AK718-AL718</f>
        <v>-20512.7979142362</v>
      </c>
      <c r="AN718" s="28" t="str">
        <f aca="false">IF(A718&gt;=Hip3LaunchDate,"YES","")</f>
        <v/>
      </c>
      <c r="AO718" s="28" t="str">
        <f aca="false">IF(A718&lt;Hip4LaunchDate,"pre-launch","live (zero-fee)")</f>
        <v>pre-launch</v>
      </c>
      <c r="AP718" s="20"/>
      <c r="AQ718" s="20"/>
      <c r="AR718" s="20"/>
    </row>
    <row r="719" customFormat="false" ht="15" hidden="false" customHeight="false" outlineLevel="0" collapsed="false">
      <c r="A719" s="18" t="n">
        <v>45780</v>
      </c>
      <c r="B719" s="19" t="n">
        <v>2551647647.33</v>
      </c>
      <c r="C719" s="19" t="n">
        <v>0</v>
      </c>
      <c r="D719" s="19" t="n">
        <v>102347437</v>
      </c>
      <c r="E719" s="21" t="n">
        <f aca="false">B719+C719</f>
        <v>2551647647.33</v>
      </c>
      <c r="F719" s="21" t="n">
        <f aca="false">E719+D719</f>
        <v>2653995084.33</v>
      </c>
      <c r="G719" s="22" t="n">
        <f aca="false">IFERROR(C719/E719,0)</f>
        <v>0</v>
      </c>
      <c r="H719" s="19" t="n">
        <v>599536</v>
      </c>
      <c r="I719" s="19" t="n">
        <v>11691</v>
      </c>
      <c r="J719" s="19" t="n">
        <v>18229</v>
      </c>
      <c r="K719" s="21" t="n">
        <f aca="false">H719+I719</f>
        <v>611227</v>
      </c>
      <c r="L719" s="20"/>
      <c r="M719" s="21" t="n">
        <f aca="false">H719-L719</f>
        <v>599536</v>
      </c>
      <c r="N719" s="23" t="n">
        <f aca="false">IFERROR(M719/B719*10000,0)</f>
        <v>2.34960340479354</v>
      </c>
      <c r="O719" s="19" t="n">
        <v>581550</v>
      </c>
      <c r="P719" s="19" t="n">
        <v>11340</v>
      </c>
      <c r="Q719" s="21" t="n">
        <f aca="false">O719+P719</f>
        <v>592890</v>
      </c>
      <c r="R719" s="22" t="n">
        <f aca="false">IF(A719&lt;HlpChangeDate,HlpSharePre,HlpSharePost)</f>
        <v>0.03</v>
      </c>
      <c r="S719" s="21" t="n">
        <f aca="false">Q719*R719/(1-R719)</f>
        <v>18336.8041237113</v>
      </c>
      <c r="T719" s="19" t="n">
        <v>18229</v>
      </c>
      <c r="U719" s="21" t="n">
        <f aca="false">S719-T719</f>
        <v>107.804123711343</v>
      </c>
      <c r="V719" s="21" t="n">
        <f aca="false">Y719-O719*R719/(1-R719)</f>
        <v>-0.0824742268050613</v>
      </c>
      <c r="W719" s="21" t="n">
        <f aca="false">Z719-P719*R719/(1-R719)</f>
        <v>0.278350515463899</v>
      </c>
      <c r="X719" s="21" t="n">
        <f aca="false">S719+V719+W719</f>
        <v>18337</v>
      </c>
      <c r="Y719" s="19" t="n">
        <v>17986</v>
      </c>
      <c r="Z719" s="19" t="n">
        <v>351</v>
      </c>
      <c r="AA719" s="19" t="n">
        <v>592890</v>
      </c>
      <c r="AB719" s="29" t="n">
        <v>20.952</v>
      </c>
      <c r="AC719" s="29" t="n">
        <v>20.82275</v>
      </c>
      <c r="AD719" s="24" t="n">
        <f aca="false">IFERROR(AA719/AC719,0)</f>
        <v>28473.1843776639</v>
      </c>
      <c r="AE719" s="25" t="n">
        <f aca="false">K719-Q719-X719</f>
        <v>0</v>
      </c>
      <c r="AF719" s="25" t="n">
        <f aca="false">Q719-AA719</f>
        <v>0</v>
      </c>
      <c r="AG719" s="19" t="n">
        <v>607648.581794024</v>
      </c>
      <c r="AH719" s="26" t="n">
        <f aca="false">IFERROR(AG719/Q719,0)</f>
        <v>1.02489261379687</v>
      </c>
      <c r="AI719" s="27" t="n">
        <v>379459016.393443</v>
      </c>
      <c r="AJ719" s="26" t="n">
        <f aca="false">IF(AI719&gt;0,AprCoef/SQRT(AI719),0)</f>
        <v>0.0243330138523762</v>
      </c>
      <c r="AK719" s="24" t="n">
        <f aca="false">AI719*AJ719/365</f>
        <v>25296.935622769</v>
      </c>
      <c r="AL719" s="24" t="n">
        <f aca="false">AD719</f>
        <v>28473.1843776639</v>
      </c>
      <c r="AM719" s="24" t="n">
        <f aca="false">AK719-AL719</f>
        <v>-3176.24875489486</v>
      </c>
      <c r="AN719" s="28" t="str">
        <f aca="false">IF(A719&gt;=Hip3LaunchDate,"YES","")</f>
        <v/>
      </c>
      <c r="AO719" s="28" t="str">
        <f aca="false">IF(A719&lt;Hip4LaunchDate,"pre-launch","live (zero-fee)")</f>
        <v>pre-launch</v>
      </c>
      <c r="AP719" s="20"/>
      <c r="AQ719" s="20"/>
      <c r="AR719" s="20"/>
    </row>
    <row r="720" customFormat="false" ht="15" hidden="false" customHeight="false" outlineLevel="0" collapsed="false">
      <c r="A720" s="18" t="n">
        <v>45781</v>
      </c>
      <c r="B720" s="19" t="n">
        <v>3530006395.05</v>
      </c>
      <c r="C720" s="19" t="n">
        <v>0</v>
      </c>
      <c r="D720" s="19" t="n">
        <v>87201050</v>
      </c>
      <c r="E720" s="21" t="n">
        <f aca="false">B720+C720</f>
        <v>3530006395.05</v>
      </c>
      <c r="F720" s="21" t="n">
        <f aca="false">E720+D720</f>
        <v>3617207445.05</v>
      </c>
      <c r="G720" s="22" t="n">
        <f aca="false">IFERROR(C720/E720,0)</f>
        <v>0</v>
      </c>
      <c r="H720" s="19" t="n">
        <v>805192</v>
      </c>
      <c r="I720" s="19" t="n">
        <v>12341</v>
      </c>
      <c r="J720" s="19" t="n">
        <v>24633</v>
      </c>
      <c r="K720" s="21" t="n">
        <f aca="false">H720+I720</f>
        <v>817533</v>
      </c>
      <c r="L720" s="20"/>
      <c r="M720" s="21" t="n">
        <f aca="false">H720-L720</f>
        <v>805192</v>
      </c>
      <c r="N720" s="23" t="n">
        <f aca="false">IFERROR(M720/B720*10000,0)</f>
        <v>2.28099303482592</v>
      </c>
      <c r="O720" s="19" t="n">
        <v>781036</v>
      </c>
      <c r="P720" s="19" t="n">
        <v>11971</v>
      </c>
      <c r="Q720" s="21" t="n">
        <f aca="false">O720+P720</f>
        <v>793007</v>
      </c>
      <c r="R720" s="22" t="n">
        <f aca="false">IF(A720&lt;HlpChangeDate,HlpSharePre,HlpSharePost)</f>
        <v>0.03</v>
      </c>
      <c r="S720" s="21" t="n">
        <f aca="false">Q720*R720/(1-R720)</f>
        <v>24525.9896907217</v>
      </c>
      <c r="T720" s="19" t="n">
        <v>24633</v>
      </c>
      <c r="U720" s="21" t="n">
        <f aca="false">S720-T720</f>
        <v>-107.01030927835</v>
      </c>
      <c r="V720" s="21" t="n">
        <f aca="false">Y720-O720*R720/(1-R720)</f>
        <v>0.247422680415184</v>
      </c>
      <c r="W720" s="21" t="n">
        <f aca="false">Z720-P720*R720/(1-R720)</f>
        <v>-0.23711340206188</v>
      </c>
      <c r="X720" s="21" t="n">
        <f aca="false">S720+V720+W720</f>
        <v>24526</v>
      </c>
      <c r="Y720" s="19" t="n">
        <v>24156</v>
      </c>
      <c r="Z720" s="19" t="n">
        <v>370</v>
      </c>
      <c r="AA720" s="19" t="n">
        <v>793007</v>
      </c>
      <c r="AB720" s="29" t="n">
        <v>19.898</v>
      </c>
      <c r="AC720" s="29" t="n">
        <v>20.45825</v>
      </c>
      <c r="AD720" s="24" t="n">
        <f aca="false">IFERROR(AA720/AC720,0)</f>
        <v>38762.210844036</v>
      </c>
      <c r="AE720" s="25" t="n">
        <f aca="false">K720-Q720-X720</f>
        <v>0</v>
      </c>
      <c r="AF720" s="25" t="n">
        <f aca="false">Q720-AA720</f>
        <v>0</v>
      </c>
      <c r="AG720" s="19" t="n">
        <v>821111.059057951</v>
      </c>
      <c r="AH720" s="26" t="n">
        <f aca="false">IFERROR(AG720/Q720,0)</f>
        <v>1.0354398625207</v>
      </c>
      <c r="AI720" s="27" t="n">
        <v>379595628.415301</v>
      </c>
      <c r="AJ720" s="26" t="n">
        <f aca="false">IF(AI720&gt;0,AprCoef/SQRT(AI720),0)</f>
        <v>0.0243286348749739</v>
      </c>
      <c r="AK720" s="24" t="n">
        <f aca="false">AI720*AJ720/365</f>
        <v>25301.4888872661</v>
      </c>
      <c r="AL720" s="24" t="n">
        <f aca="false">AD720</f>
        <v>38762.210844036</v>
      </c>
      <c r="AM720" s="24" t="n">
        <f aca="false">AK720-AL720</f>
        <v>-13460.7219567699</v>
      </c>
      <c r="AN720" s="28" t="str">
        <f aca="false">IF(A720&gt;=Hip3LaunchDate,"YES","")</f>
        <v/>
      </c>
      <c r="AO720" s="28" t="str">
        <f aca="false">IF(A720&lt;Hip4LaunchDate,"pre-launch","live (zero-fee)")</f>
        <v>pre-launch</v>
      </c>
      <c r="AP720" s="20"/>
      <c r="AQ720" s="20"/>
      <c r="AR720" s="20"/>
    </row>
    <row r="721" customFormat="false" ht="15" hidden="false" customHeight="false" outlineLevel="0" collapsed="false">
      <c r="A721" s="18" t="n">
        <v>45782</v>
      </c>
      <c r="B721" s="19" t="n">
        <v>4567961400.62</v>
      </c>
      <c r="C721" s="19" t="n">
        <v>0</v>
      </c>
      <c r="D721" s="19" t="n">
        <v>103321597</v>
      </c>
      <c r="E721" s="21" t="n">
        <f aca="false">B721+C721</f>
        <v>4567961400.62</v>
      </c>
      <c r="F721" s="21" t="n">
        <f aca="false">E721+D721</f>
        <v>4671282997.62</v>
      </c>
      <c r="G721" s="22" t="n">
        <f aca="false">IFERROR(C721/E721,0)</f>
        <v>0</v>
      </c>
      <c r="H721" s="19" t="n">
        <v>1294225</v>
      </c>
      <c r="I721" s="19" t="n">
        <v>27123</v>
      </c>
      <c r="J721" s="19" t="n">
        <v>39369</v>
      </c>
      <c r="K721" s="21" t="n">
        <f aca="false">H721+I721</f>
        <v>1321348</v>
      </c>
      <c r="L721" s="20"/>
      <c r="M721" s="21" t="n">
        <f aca="false">H721-L721</f>
        <v>1294225</v>
      </c>
      <c r="N721" s="23" t="n">
        <f aca="false">IFERROR(M721/B721*10000,0)</f>
        <v>2.83326606005107</v>
      </c>
      <c r="O721" s="19" t="n">
        <v>1255398</v>
      </c>
      <c r="P721" s="19" t="n">
        <v>26309</v>
      </c>
      <c r="Q721" s="21" t="n">
        <f aca="false">O721+P721</f>
        <v>1281707</v>
      </c>
      <c r="R721" s="22" t="n">
        <f aca="false">IF(A721&lt;HlpChangeDate,HlpSharePre,HlpSharePost)</f>
        <v>0.03</v>
      </c>
      <c r="S721" s="21" t="n">
        <f aca="false">Q721*R721/(1-R721)</f>
        <v>39640.4226804124</v>
      </c>
      <c r="T721" s="19" t="n">
        <v>39369</v>
      </c>
      <c r="U721" s="21" t="n">
        <f aca="false">S721-T721</f>
        <v>271.422680412368</v>
      </c>
      <c r="V721" s="21" t="n">
        <f aca="false">Y721-O721*R721/(1-R721)</f>
        <v>0.257731958765362</v>
      </c>
      <c r="W721" s="21" t="n">
        <f aca="false">Z721-P721*R721/(1-R721)</f>
        <v>0.319587628865975</v>
      </c>
      <c r="X721" s="21" t="n">
        <f aca="false">S721+V721+W721</f>
        <v>39641</v>
      </c>
      <c r="Y721" s="19" t="n">
        <v>38827</v>
      </c>
      <c r="Z721" s="19" t="n">
        <v>814</v>
      </c>
      <c r="AA721" s="19" t="n">
        <v>1281707</v>
      </c>
      <c r="AB721" s="29" t="n">
        <v>20.276</v>
      </c>
      <c r="AC721" s="29" t="n">
        <v>20.15175</v>
      </c>
      <c r="AD721" s="24" t="n">
        <f aca="false">IFERROR(AA721/AC721,0)</f>
        <v>63602.764027938</v>
      </c>
      <c r="AE721" s="25" t="n">
        <f aca="false">K721-Q721-X721</f>
        <v>0</v>
      </c>
      <c r="AF721" s="25" t="n">
        <f aca="false">Q721-AA721</f>
        <v>0</v>
      </c>
      <c r="AG721" s="19" t="n">
        <v>1312295.54860103</v>
      </c>
      <c r="AH721" s="26" t="n">
        <f aca="false">IFERROR(AG721/Q721,0)</f>
        <v>1.02386547674393</v>
      </c>
      <c r="AI721" s="27" t="n">
        <v>379732240.437159</v>
      </c>
      <c r="AJ721" s="26" t="n">
        <f aca="false">IF(AI721&gt;0,AprCoef/SQRT(AI721),0)</f>
        <v>0.0243242582608478</v>
      </c>
      <c r="AK721" s="24" t="n">
        <f aca="false">AI721*AJ721/365</f>
        <v>25306.0413325036</v>
      </c>
      <c r="AL721" s="24" t="n">
        <f aca="false">AD721</f>
        <v>63602.764027938</v>
      </c>
      <c r="AM721" s="24" t="n">
        <f aca="false">AK721-AL721</f>
        <v>-38296.7226954344</v>
      </c>
      <c r="AN721" s="28" t="str">
        <f aca="false">IF(A721&gt;=Hip3LaunchDate,"YES","")</f>
        <v/>
      </c>
      <c r="AO721" s="28" t="str">
        <f aca="false">IF(A721&lt;Hip4LaunchDate,"pre-launch","live (zero-fee)")</f>
        <v>pre-launch</v>
      </c>
      <c r="AP721" s="20"/>
      <c r="AQ721" s="20"/>
      <c r="AR721" s="20"/>
    </row>
    <row r="722" customFormat="false" ht="15" hidden="false" customHeight="false" outlineLevel="0" collapsed="false">
      <c r="A722" s="18" t="n">
        <v>45783</v>
      </c>
      <c r="B722" s="19" t="n">
        <v>4993697122.46</v>
      </c>
      <c r="C722" s="19" t="n">
        <v>0</v>
      </c>
      <c r="D722" s="19" t="n">
        <v>148487227</v>
      </c>
      <c r="E722" s="21" t="n">
        <f aca="false">B722+C722</f>
        <v>4993697122.46</v>
      </c>
      <c r="F722" s="21" t="n">
        <f aca="false">E722+D722</f>
        <v>5142184349.46</v>
      </c>
      <c r="G722" s="22" t="n">
        <f aca="false">IFERROR(C722/E722,0)</f>
        <v>0</v>
      </c>
      <c r="H722" s="19" t="n">
        <v>1459620</v>
      </c>
      <c r="I722" s="19" t="n">
        <v>32941</v>
      </c>
      <c r="J722" s="19" t="n">
        <v>45048</v>
      </c>
      <c r="K722" s="21" t="n">
        <f aca="false">H722+I722</f>
        <v>1492561</v>
      </c>
      <c r="L722" s="20"/>
      <c r="M722" s="21" t="n">
        <f aca="false">H722-L722</f>
        <v>1459620</v>
      </c>
      <c r="N722" s="23" t="n">
        <f aca="false">IFERROR(M722/B722*10000,0)</f>
        <v>2.92292456712104</v>
      </c>
      <c r="O722" s="19" t="n">
        <v>1415832</v>
      </c>
      <c r="P722" s="19" t="n">
        <v>31953</v>
      </c>
      <c r="Q722" s="21" t="n">
        <f aca="false">O722+P722</f>
        <v>1447785</v>
      </c>
      <c r="R722" s="22" t="n">
        <f aca="false">IF(A722&lt;HlpChangeDate,HlpSharePre,HlpSharePost)</f>
        <v>0.03</v>
      </c>
      <c r="S722" s="21" t="n">
        <f aca="false">Q722*R722/(1-R722)</f>
        <v>44776.8556701031</v>
      </c>
      <c r="T722" s="19" t="n">
        <v>45048</v>
      </c>
      <c r="U722" s="21" t="n">
        <f aca="false">S722-T722</f>
        <v>-271.14432989691</v>
      </c>
      <c r="V722" s="21" t="n">
        <f aca="false">Y722-O722*R722/(1-R722)</f>
        <v>0.381443298967497</v>
      </c>
      <c r="W722" s="21" t="n">
        <f aca="false">Z722-P722*R722/(1-R722)</f>
        <v>-0.237113402061823</v>
      </c>
      <c r="X722" s="21" t="n">
        <f aca="false">S722+V722+W722</f>
        <v>44777</v>
      </c>
      <c r="Y722" s="19" t="n">
        <v>43789</v>
      </c>
      <c r="Z722" s="19" t="n">
        <v>988</v>
      </c>
      <c r="AA722" s="19" t="n">
        <v>1447785</v>
      </c>
      <c r="AB722" s="29" t="n">
        <v>20.955</v>
      </c>
      <c r="AC722" s="29" t="n">
        <v>20.4305</v>
      </c>
      <c r="AD722" s="24" t="n">
        <f aca="false">IFERROR(AA722/AC722,0)</f>
        <v>70863.9044565723</v>
      </c>
      <c r="AE722" s="25" t="n">
        <f aca="false">K722-Q722-X722</f>
        <v>-0.999999999992724</v>
      </c>
      <c r="AF722" s="25" t="n">
        <f aca="false">Q722-AA722</f>
        <v>0</v>
      </c>
      <c r="AG722" s="19" t="n">
        <v>1501613.855147</v>
      </c>
      <c r="AH722" s="26" t="n">
        <f aca="false">IFERROR(AG722/Q722,0)</f>
        <v>1.03718014425278</v>
      </c>
      <c r="AI722" s="27" t="n">
        <v>379868852.459016</v>
      </c>
      <c r="AJ722" s="26" t="n">
        <f aca="false">IF(AI722&gt;0,AprCoef/SQRT(AI722),0)</f>
        <v>0.024319884007873</v>
      </c>
      <c r="AK722" s="24" t="n">
        <f aca="false">AI722*AJ722/365</f>
        <v>25310.5929589235</v>
      </c>
      <c r="AL722" s="24" t="n">
        <f aca="false">AD722</f>
        <v>70863.9044565723</v>
      </c>
      <c r="AM722" s="24" t="n">
        <f aca="false">AK722-AL722</f>
        <v>-45553.3114976487</v>
      </c>
      <c r="AN722" s="28" t="str">
        <f aca="false">IF(A722&gt;=Hip3LaunchDate,"YES","")</f>
        <v/>
      </c>
      <c r="AO722" s="28" t="str">
        <f aca="false">IF(A722&lt;Hip4LaunchDate,"pre-launch","live (zero-fee)")</f>
        <v>pre-launch</v>
      </c>
      <c r="AP722" s="20"/>
      <c r="AQ722" s="20"/>
      <c r="AR722" s="20"/>
    </row>
    <row r="723" customFormat="false" ht="15" hidden="false" customHeight="false" outlineLevel="0" collapsed="false">
      <c r="A723" s="18" t="n">
        <v>45784</v>
      </c>
      <c r="B723" s="19" t="n">
        <v>5302496590.75</v>
      </c>
      <c r="C723" s="19" t="n">
        <v>0</v>
      </c>
      <c r="D723" s="19" t="n">
        <v>123317603</v>
      </c>
      <c r="E723" s="21" t="n">
        <f aca="false">B723+C723</f>
        <v>5302496590.75</v>
      </c>
      <c r="F723" s="21" t="n">
        <f aca="false">E723+D723</f>
        <v>5425814193.75</v>
      </c>
      <c r="G723" s="22" t="n">
        <f aca="false">IFERROR(C723/E723,0)</f>
        <v>0</v>
      </c>
      <c r="H723" s="19" t="n">
        <v>1570917</v>
      </c>
      <c r="I723" s="19" t="n">
        <v>29262</v>
      </c>
      <c r="J723" s="19" t="n">
        <v>48005</v>
      </c>
      <c r="K723" s="21" t="n">
        <f aca="false">H723+I723</f>
        <v>1600179</v>
      </c>
      <c r="L723" s="20"/>
      <c r="M723" s="21" t="n">
        <f aca="false">H723-L723</f>
        <v>1570917</v>
      </c>
      <c r="N723" s="23" t="n">
        <f aca="false">IFERROR(M723/B723*10000,0)</f>
        <v>2.96259879306741</v>
      </c>
      <c r="O723" s="19" t="n">
        <v>1523790</v>
      </c>
      <c r="P723" s="19" t="n">
        <v>28385</v>
      </c>
      <c r="Q723" s="21" t="n">
        <f aca="false">O723+P723</f>
        <v>1552175</v>
      </c>
      <c r="R723" s="22" t="n">
        <f aca="false">IF(A723&lt;HlpChangeDate,HlpSharePre,HlpSharePost)</f>
        <v>0.03</v>
      </c>
      <c r="S723" s="21" t="n">
        <f aca="false">Q723*R723/(1-R723)</f>
        <v>48005.412371134</v>
      </c>
      <c r="T723" s="19" t="n">
        <v>48005</v>
      </c>
      <c r="U723" s="21" t="n">
        <f aca="false">S723-T723</f>
        <v>0.412371134021669</v>
      </c>
      <c r="V723" s="21" t="n">
        <f aca="false">Y723-O723*R723/(1-R723)</f>
        <v>0.474226804122736</v>
      </c>
      <c r="W723" s="21" t="n">
        <f aca="false">Z723-P723*R723/(1-R723)</f>
        <v>0.113402061855709</v>
      </c>
      <c r="X723" s="21" t="n">
        <f aca="false">S723+V723+W723</f>
        <v>48006</v>
      </c>
      <c r="Y723" s="19" t="n">
        <v>47128</v>
      </c>
      <c r="Z723" s="19" t="n">
        <v>878</v>
      </c>
      <c r="AA723" s="19" t="n">
        <v>1552175</v>
      </c>
      <c r="AB723" s="29" t="n">
        <v>21.046</v>
      </c>
      <c r="AC723" s="29" t="n">
        <v>21.02875</v>
      </c>
      <c r="AD723" s="24" t="n">
        <f aca="false">IFERROR(AA723/AC723,0)</f>
        <v>73812.0430363193</v>
      </c>
      <c r="AE723" s="25" t="n">
        <f aca="false">K723-Q723-X723</f>
        <v>-2</v>
      </c>
      <c r="AF723" s="25" t="n">
        <f aca="false">Q723-AA723</f>
        <v>0</v>
      </c>
      <c r="AG723" s="19" t="n">
        <v>1600179.83284599</v>
      </c>
      <c r="AH723" s="26" t="n">
        <f aca="false">IFERROR(AG723/Q723,0)</f>
        <v>1.03092746168827</v>
      </c>
      <c r="AI723" s="27" t="n">
        <v>380005464.480874</v>
      </c>
      <c r="AJ723" s="26" t="n">
        <f aca="false">IF(AI723&gt;0,AprCoef/SQRT(AI723),0)</f>
        <v>0.0243155121139271</v>
      </c>
      <c r="AK723" s="24" t="n">
        <f aca="false">AI723*AJ723/365</f>
        <v>25315.1437669676</v>
      </c>
      <c r="AL723" s="24" t="n">
        <f aca="false">AD723</f>
        <v>73812.0430363193</v>
      </c>
      <c r="AM723" s="24" t="n">
        <f aca="false">AK723-AL723</f>
        <v>-48496.8992693517</v>
      </c>
      <c r="AN723" s="28" t="str">
        <f aca="false">IF(A723&gt;=Hip3LaunchDate,"YES","")</f>
        <v/>
      </c>
      <c r="AO723" s="28" t="str">
        <f aca="false">IF(A723&lt;Hip4LaunchDate,"pre-launch","live (zero-fee)")</f>
        <v>pre-launch</v>
      </c>
      <c r="AP723" s="20"/>
      <c r="AQ723" s="20"/>
      <c r="AR723" s="20"/>
    </row>
    <row r="724" customFormat="false" ht="15" hidden="false" customHeight="false" outlineLevel="0" collapsed="false">
      <c r="A724" s="18" t="n">
        <v>45785</v>
      </c>
      <c r="B724" s="19" t="n">
        <v>10744450407.6</v>
      </c>
      <c r="C724" s="19" t="n">
        <v>0</v>
      </c>
      <c r="D724" s="19" t="n">
        <v>238514707</v>
      </c>
      <c r="E724" s="21" t="n">
        <f aca="false">B724+C724</f>
        <v>10744450407.6</v>
      </c>
      <c r="F724" s="21" t="n">
        <f aca="false">E724+D724</f>
        <v>10982965114.6</v>
      </c>
      <c r="G724" s="22" t="n">
        <f aca="false">IFERROR(C724/E724,0)</f>
        <v>0</v>
      </c>
      <c r="H724" s="19" t="n">
        <v>3225869</v>
      </c>
      <c r="I724" s="19" t="n">
        <v>53413</v>
      </c>
      <c r="J724" s="19" t="n">
        <v>98378</v>
      </c>
      <c r="K724" s="21" t="n">
        <f aca="false">H724+I724</f>
        <v>3279282</v>
      </c>
      <c r="L724" s="20"/>
      <c r="M724" s="21" t="n">
        <f aca="false">H724-L724</f>
        <v>3225869</v>
      </c>
      <c r="N724" s="23" t="n">
        <f aca="false">IFERROR(M724/B724*10000,0)</f>
        <v>3.00235831301172</v>
      </c>
      <c r="O724" s="19" t="n">
        <v>3129093</v>
      </c>
      <c r="P724" s="19" t="n">
        <v>51811</v>
      </c>
      <c r="Q724" s="21" t="n">
        <f aca="false">O724+P724</f>
        <v>3180904</v>
      </c>
      <c r="R724" s="22" t="n">
        <f aca="false">IF(A724&lt;HlpChangeDate,HlpSharePre,HlpSharePost)</f>
        <v>0.03</v>
      </c>
      <c r="S724" s="21" t="n">
        <f aca="false">Q724*R724/(1-R724)</f>
        <v>98378.4742268041</v>
      </c>
      <c r="T724" s="19" t="n">
        <v>98378</v>
      </c>
      <c r="U724" s="21" t="n">
        <f aca="false">S724-T724</f>
        <v>0.47422680411546</v>
      </c>
      <c r="V724" s="21" t="n">
        <f aca="false">Y724-O724*R724/(1-R724)</f>
        <v>-0.0721649484476075</v>
      </c>
      <c r="W724" s="21" t="n">
        <f aca="false">Z724-P724*R724/(1-R724)</f>
        <v>-0.402061855670127</v>
      </c>
      <c r="X724" s="21" t="n">
        <f aca="false">S724+V724+W724</f>
        <v>98378</v>
      </c>
      <c r="Y724" s="19" t="n">
        <v>96776</v>
      </c>
      <c r="Z724" s="19" t="n">
        <v>1602</v>
      </c>
      <c r="AA724" s="19" t="n">
        <v>3180904</v>
      </c>
      <c r="AB724" s="29" t="n">
        <v>23.299</v>
      </c>
      <c r="AC724" s="29" t="n">
        <v>22.17275</v>
      </c>
      <c r="AD724" s="24" t="n">
        <f aca="false">IFERROR(AA724/AC724,0)</f>
        <v>143460.05795402</v>
      </c>
      <c r="AE724" s="25" t="n">
        <f aca="false">K724-Q724-X724</f>
        <v>0</v>
      </c>
      <c r="AF724" s="25" t="n">
        <f aca="false">Q724-AA724</f>
        <v>0</v>
      </c>
      <c r="AG724" s="19" t="n">
        <v>3279282.29609001</v>
      </c>
      <c r="AH724" s="26" t="n">
        <f aca="false">IFERROR(AG724/Q724,0)</f>
        <v>1.03092777904961</v>
      </c>
      <c r="AI724" s="27" t="n">
        <v>380142076.502732</v>
      </c>
      <c r="AJ724" s="26" t="n">
        <f aca="false">IF(AI724&gt;0,AprCoef/SQRT(AI724),0)</f>
        <v>0.0243111425768905</v>
      </c>
      <c r="AK724" s="24" t="n">
        <f aca="false">AI724*AJ724/365</f>
        <v>25319.6937570771</v>
      </c>
      <c r="AL724" s="24" t="n">
        <f aca="false">AD724</f>
        <v>143460.05795402</v>
      </c>
      <c r="AM724" s="24" t="n">
        <f aca="false">AK724-AL724</f>
        <v>-118140.364196943</v>
      </c>
      <c r="AN724" s="28" t="str">
        <f aca="false">IF(A724&gt;=Hip3LaunchDate,"YES","")</f>
        <v/>
      </c>
      <c r="AO724" s="28" t="str">
        <f aca="false">IF(A724&lt;Hip4LaunchDate,"pre-launch","live (zero-fee)")</f>
        <v>pre-launch</v>
      </c>
      <c r="AP724" s="20"/>
      <c r="AQ724" s="20"/>
      <c r="AR724" s="20"/>
    </row>
    <row r="725" customFormat="false" ht="15" hidden="false" customHeight="false" outlineLevel="0" collapsed="false">
      <c r="A725" s="18" t="n">
        <v>45786</v>
      </c>
      <c r="B725" s="19" t="n">
        <v>9205104235.41</v>
      </c>
      <c r="C725" s="19" t="n">
        <v>0</v>
      </c>
      <c r="D725" s="19" t="n">
        <v>187434250</v>
      </c>
      <c r="E725" s="21" t="n">
        <f aca="false">B725+C725</f>
        <v>9205104235.41</v>
      </c>
      <c r="F725" s="21" t="n">
        <f aca="false">E725+D725</f>
        <v>9392538485.41</v>
      </c>
      <c r="G725" s="22" t="n">
        <f aca="false">IFERROR(C725/E725,0)</f>
        <v>0</v>
      </c>
      <c r="H725" s="19" t="n">
        <v>2787302</v>
      </c>
      <c r="I725" s="19" t="n">
        <v>63153</v>
      </c>
      <c r="J725" s="19" t="n">
        <v>85514</v>
      </c>
      <c r="K725" s="21" t="n">
        <f aca="false">H725+I725</f>
        <v>2850455</v>
      </c>
      <c r="L725" s="20"/>
      <c r="M725" s="21" t="n">
        <f aca="false">H725-L725</f>
        <v>2787302</v>
      </c>
      <c r="N725" s="23" t="n">
        <f aca="false">IFERROR(M725/B725*10000,0)</f>
        <v>3.02799612988397</v>
      </c>
      <c r="O725" s="19" t="n">
        <v>2703683</v>
      </c>
      <c r="P725" s="19" t="n">
        <v>61259</v>
      </c>
      <c r="Q725" s="21" t="n">
        <f aca="false">O725+P725</f>
        <v>2764942</v>
      </c>
      <c r="R725" s="22" t="n">
        <f aca="false">IF(A725&lt;HlpChangeDate,HlpSharePre,HlpSharePost)</f>
        <v>0.03</v>
      </c>
      <c r="S725" s="21" t="n">
        <f aca="false">Q725*R725/(1-R725)</f>
        <v>85513.6701030928</v>
      </c>
      <c r="T725" s="19" t="n">
        <v>85514</v>
      </c>
      <c r="U725" s="21" t="n">
        <f aca="false">S725-T725</f>
        <v>-0.329896907220245</v>
      </c>
      <c r="V725" s="21" t="n">
        <f aca="false">Y725-O725*R725/(1-R725)</f>
        <v>-0.0618556700937916</v>
      </c>
      <c r="W725" s="21" t="n">
        <f aca="false">Z725-P725*R725/(1-R725)</f>
        <v>0.391752577319494</v>
      </c>
      <c r="X725" s="21" t="n">
        <f aca="false">S725+V725+W725</f>
        <v>85514</v>
      </c>
      <c r="Y725" s="19" t="n">
        <v>83619</v>
      </c>
      <c r="Z725" s="19" t="n">
        <v>1895</v>
      </c>
      <c r="AA725" s="19" t="n">
        <v>2764942</v>
      </c>
      <c r="AB725" s="29" t="n">
        <v>24.688</v>
      </c>
      <c r="AC725" s="29" t="n">
        <v>24.1575</v>
      </c>
      <c r="AD725" s="24" t="n">
        <f aca="false">IFERROR(AA725/AC725,0)</f>
        <v>114454.806995757</v>
      </c>
      <c r="AE725" s="25" t="n">
        <f aca="false">K725-Q725-X725</f>
        <v>-1</v>
      </c>
      <c r="AF725" s="25" t="n">
        <f aca="false">Q725-AA725</f>
        <v>0</v>
      </c>
      <c r="AG725" s="19" t="n">
        <v>2850455.03658098</v>
      </c>
      <c r="AH725" s="26" t="n">
        <f aca="false">IFERROR(AG725/Q725,0)</f>
        <v>1.03092760592482</v>
      </c>
      <c r="AI725" s="27" t="n">
        <v>380278688.52459</v>
      </c>
      <c r="AJ725" s="26" t="n">
        <f aca="false">IF(AI725&gt;0,AprCoef/SQRT(AI725),0)</f>
        <v>0.0243067753946464</v>
      </c>
      <c r="AK725" s="24" t="n">
        <f aca="false">AI725*AJ725/365</f>
        <v>25324.2429296929</v>
      </c>
      <c r="AL725" s="24" t="n">
        <f aca="false">AD725</f>
        <v>114454.806995757</v>
      </c>
      <c r="AM725" s="24" t="n">
        <f aca="false">AK725-AL725</f>
        <v>-89130.5640660641</v>
      </c>
      <c r="AN725" s="28" t="str">
        <f aca="false">IF(A725&gt;=Hip3LaunchDate,"YES","")</f>
        <v/>
      </c>
      <c r="AO725" s="28" t="str">
        <f aca="false">IF(A725&lt;Hip4LaunchDate,"pre-launch","live (zero-fee)")</f>
        <v>pre-launch</v>
      </c>
      <c r="AP725" s="20"/>
      <c r="AQ725" s="20"/>
      <c r="AR725" s="20"/>
    </row>
    <row r="726" customFormat="false" ht="15" hidden="false" customHeight="false" outlineLevel="0" collapsed="false">
      <c r="A726" s="18" t="n">
        <v>45787</v>
      </c>
      <c r="B726" s="19" t="n">
        <v>5771644873.07</v>
      </c>
      <c r="C726" s="19" t="n">
        <v>0</v>
      </c>
      <c r="D726" s="19" t="n">
        <v>183465847</v>
      </c>
      <c r="E726" s="21" t="n">
        <f aca="false">B726+C726</f>
        <v>5771644873.07</v>
      </c>
      <c r="F726" s="21" t="n">
        <f aca="false">E726+D726</f>
        <v>5955110720.07</v>
      </c>
      <c r="G726" s="22" t="n">
        <f aca="false">IFERROR(C726/E726,0)</f>
        <v>0</v>
      </c>
      <c r="H726" s="19" t="n">
        <v>1677142</v>
      </c>
      <c r="I726" s="19" t="n">
        <v>37161</v>
      </c>
      <c r="J726" s="19" t="n">
        <v>50509</v>
      </c>
      <c r="K726" s="21" t="n">
        <f aca="false">H726+I726</f>
        <v>1714303</v>
      </c>
      <c r="L726" s="20"/>
      <c r="M726" s="21" t="n">
        <f aca="false">H726-L726</f>
        <v>1677142</v>
      </c>
      <c r="N726" s="23" t="n">
        <f aca="false">IFERROR(M726/B726*10000,0)</f>
        <v>2.90583020418564</v>
      </c>
      <c r="O726" s="19" t="n">
        <v>1626828</v>
      </c>
      <c r="P726" s="19" t="n">
        <v>36046</v>
      </c>
      <c r="Q726" s="21" t="n">
        <f aca="false">O726+P726</f>
        <v>1662874</v>
      </c>
      <c r="R726" s="22" t="n">
        <f aca="false">IF(A726&lt;HlpChangeDate,HlpSharePre,HlpSharePost)</f>
        <v>0.03</v>
      </c>
      <c r="S726" s="21" t="n">
        <f aca="false">Q726*R726/(1-R726)</f>
        <v>51429.0927835052</v>
      </c>
      <c r="T726" s="19" t="n">
        <v>50509</v>
      </c>
      <c r="U726" s="21" t="n">
        <f aca="false">S726-T726</f>
        <v>920.092783505155</v>
      </c>
      <c r="V726" s="21" t="n">
        <f aca="false">Y726-O726*R726/(1-R726)</f>
        <v>-0.268041237111902</v>
      </c>
      <c r="W726" s="21" t="n">
        <f aca="false">Z726-P726*R726/(1-R726)</f>
        <v>0.175257731958936</v>
      </c>
      <c r="X726" s="21" t="n">
        <f aca="false">S726+V726+W726</f>
        <v>51429</v>
      </c>
      <c r="Y726" s="19" t="n">
        <v>50314</v>
      </c>
      <c r="Z726" s="19" t="n">
        <v>1115</v>
      </c>
      <c r="AA726" s="19" t="n">
        <v>1662874</v>
      </c>
      <c r="AB726" s="29" t="n">
        <v>26.222</v>
      </c>
      <c r="AC726" s="29" t="n">
        <v>25.3675</v>
      </c>
      <c r="AD726" s="24" t="n">
        <f aca="false">IFERROR(AA726/AC726,0)</f>
        <v>65551.3550803193</v>
      </c>
      <c r="AE726" s="25" t="n">
        <f aca="false">K726-Q726-X726</f>
        <v>0</v>
      </c>
      <c r="AF726" s="25" t="n">
        <f aca="false">Q726-AA726</f>
        <v>0</v>
      </c>
      <c r="AG726" s="19" t="n">
        <v>1683620.33602899</v>
      </c>
      <c r="AH726" s="26" t="n">
        <f aca="false">IFERROR(AG726/Q726,0)</f>
        <v>1.01247619244091</v>
      </c>
      <c r="AI726" s="27" t="n">
        <v>380415300.546448</v>
      </c>
      <c r="AJ726" s="26" t="n">
        <f aca="false">IF(AI726&gt;0,AprCoef/SQRT(AI726),0)</f>
        <v>0.0243024105650804</v>
      </c>
      <c r="AK726" s="24" t="n">
        <f aca="false">AI726*AJ726/365</f>
        <v>25328.7912852554</v>
      </c>
      <c r="AL726" s="24" t="n">
        <f aca="false">AD726</f>
        <v>65551.3550803193</v>
      </c>
      <c r="AM726" s="24" t="n">
        <f aca="false">AK726-AL726</f>
        <v>-40222.5637950639</v>
      </c>
      <c r="AN726" s="28" t="str">
        <f aca="false">IF(A726&gt;=Hip3LaunchDate,"YES","")</f>
        <v/>
      </c>
      <c r="AO726" s="28" t="str">
        <f aca="false">IF(A726&lt;Hip4LaunchDate,"pre-launch","live (zero-fee)")</f>
        <v>pre-launch</v>
      </c>
      <c r="AP726" s="20"/>
      <c r="AQ726" s="20"/>
      <c r="AR726" s="20"/>
    </row>
    <row r="727" customFormat="false" ht="15" hidden="false" customHeight="false" outlineLevel="0" collapsed="false">
      <c r="A727" s="18" t="n">
        <v>45788</v>
      </c>
      <c r="B727" s="19" t="n">
        <v>6586463067.03</v>
      </c>
      <c r="C727" s="19" t="n">
        <v>0</v>
      </c>
      <c r="D727" s="19" t="n">
        <v>203456685</v>
      </c>
      <c r="E727" s="21" t="n">
        <f aca="false">B727+C727</f>
        <v>6586463067.03</v>
      </c>
      <c r="F727" s="21" t="n">
        <f aca="false">E727+D727</f>
        <v>6789919752.03</v>
      </c>
      <c r="G727" s="22" t="n">
        <f aca="false">IFERROR(C727/E727,0)</f>
        <v>0</v>
      </c>
      <c r="H727" s="19" t="n">
        <v>2012374</v>
      </c>
      <c r="I727" s="19" t="n">
        <v>46917</v>
      </c>
      <c r="J727" s="19" t="n">
        <v>62699</v>
      </c>
      <c r="K727" s="21" t="n">
        <f aca="false">H727+I727</f>
        <v>2059291</v>
      </c>
      <c r="L727" s="20"/>
      <c r="M727" s="21" t="n">
        <f aca="false">H727-L727</f>
        <v>2012374</v>
      </c>
      <c r="N727" s="23" t="n">
        <f aca="false">IFERROR(M727/B727*10000,0)</f>
        <v>3.05531812677032</v>
      </c>
      <c r="O727" s="19" t="n">
        <v>1952003</v>
      </c>
      <c r="P727" s="19" t="n">
        <v>45509</v>
      </c>
      <c r="Q727" s="21" t="n">
        <f aca="false">O727+P727</f>
        <v>1997512</v>
      </c>
      <c r="R727" s="22" t="n">
        <f aca="false">IF(A727&lt;HlpChangeDate,HlpSharePre,HlpSharePost)</f>
        <v>0.03</v>
      </c>
      <c r="S727" s="21" t="n">
        <f aca="false">Q727*R727/(1-R727)</f>
        <v>61778.7216494845</v>
      </c>
      <c r="T727" s="19" t="n">
        <v>62699</v>
      </c>
      <c r="U727" s="21" t="n">
        <f aca="false">S727-T727</f>
        <v>-920.278350515458</v>
      </c>
      <c r="V727" s="21" t="n">
        <f aca="false">Y727-O727*R727/(1-R727)</f>
        <v>-0.22680412371119</v>
      </c>
      <c r="W727" s="21" t="n">
        <f aca="false">Z727-P727*R727/(1-R727)</f>
        <v>0.505154639175316</v>
      </c>
      <c r="X727" s="21" t="n">
        <f aca="false">S727+V727+W727</f>
        <v>61779</v>
      </c>
      <c r="Y727" s="19" t="n">
        <v>60371</v>
      </c>
      <c r="Z727" s="19" t="n">
        <v>1408</v>
      </c>
      <c r="AA727" s="19" t="n">
        <v>1997512</v>
      </c>
      <c r="AB727" s="29" t="n">
        <v>24.885</v>
      </c>
      <c r="AC727" s="29" t="n">
        <v>25.33425</v>
      </c>
      <c r="AD727" s="24" t="n">
        <f aca="false">IFERROR(AA727/AC727,0)</f>
        <v>78846.304903441</v>
      </c>
      <c r="AE727" s="25" t="n">
        <f aca="false">K727-Q727-X727</f>
        <v>0</v>
      </c>
      <c r="AF727" s="25" t="n">
        <f aca="false">Q727-AA727</f>
        <v>0</v>
      </c>
      <c r="AG727" s="19" t="n">
        <v>2089973.38012004</v>
      </c>
      <c r="AH727" s="26" t="n">
        <f aca="false">IFERROR(AG727/Q727,0)</f>
        <v>1.04628827267122</v>
      </c>
      <c r="AI727" s="27" t="n">
        <v>380551912.568306</v>
      </c>
      <c r="AJ727" s="26" t="n">
        <f aca="false">IF(AI727&gt;0,AprCoef/SQRT(AI727),0)</f>
        <v>0.0242980480860809</v>
      </c>
      <c r="AK727" s="24" t="n">
        <f aca="false">AI727*AJ727/365</f>
        <v>25333.3388242048</v>
      </c>
      <c r="AL727" s="24" t="n">
        <f aca="false">AD727</f>
        <v>78846.304903441</v>
      </c>
      <c r="AM727" s="24" t="n">
        <f aca="false">AK727-AL727</f>
        <v>-53512.9660792362</v>
      </c>
      <c r="AN727" s="28" t="str">
        <f aca="false">IF(A727&gt;=Hip3LaunchDate,"YES","")</f>
        <v/>
      </c>
      <c r="AO727" s="28" t="str">
        <f aca="false">IF(A727&lt;Hip4LaunchDate,"pre-launch","live (zero-fee)")</f>
        <v>pre-launch</v>
      </c>
      <c r="AP727" s="20"/>
      <c r="AQ727" s="20"/>
      <c r="AR727" s="20"/>
    </row>
    <row r="728" customFormat="false" ht="15" hidden="false" customHeight="false" outlineLevel="0" collapsed="false">
      <c r="A728" s="18" t="n">
        <v>45789</v>
      </c>
      <c r="B728" s="19" t="n">
        <v>11465187013.32</v>
      </c>
      <c r="C728" s="19" t="n">
        <v>0</v>
      </c>
      <c r="D728" s="19" t="n">
        <v>218167542</v>
      </c>
      <c r="E728" s="21" t="n">
        <f aca="false">B728+C728</f>
        <v>11465187013.32</v>
      </c>
      <c r="F728" s="21" t="n">
        <f aca="false">E728+D728</f>
        <v>11683354555.32</v>
      </c>
      <c r="G728" s="22" t="n">
        <f aca="false">IFERROR(C728/E728,0)</f>
        <v>0</v>
      </c>
      <c r="H728" s="19" t="n">
        <v>3322653</v>
      </c>
      <c r="I728" s="19" t="n">
        <v>47049</v>
      </c>
      <c r="J728" s="19" t="n">
        <v>100768</v>
      </c>
      <c r="K728" s="21" t="n">
        <f aca="false">H728+I728</f>
        <v>3369702</v>
      </c>
      <c r="L728" s="20"/>
      <c r="M728" s="21" t="n">
        <f aca="false">H728-L728</f>
        <v>3322653</v>
      </c>
      <c r="N728" s="23" t="n">
        <f aca="false">IFERROR(M728/B728*10000,0)</f>
        <v>2.89803646128041</v>
      </c>
      <c r="O728" s="19" t="n">
        <v>3222974</v>
      </c>
      <c r="P728" s="19" t="n">
        <v>45638</v>
      </c>
      <c r="Q728" s="21" t="n">
        <f aca="false">O728+P728</f>
        <v>3268612</v>
      </c>
      <c r="R728" s="22" t="n">
        <f aca="false">IF(A728&lt;HlpChangeDate,HlpSharePre,HlpSharePost)</f>
        <v>0.03</v>
      </c>
      <c r="S728" s="21" t="n">
        <f aca="false">Q728*R728/(1-R728)</f>
        <v>101091.092783505</v>
      </c>
      <c r="T728" s="19" t="n">
        <v>100768</v>
      </c>
      <c r="U728" s="21" t="n">
        <f aca="false">S728-T728</f>
        <v>323.092783505155</v>
      </c>
      <c r="V728" s="21" t="n">
        <f aca="false">Y728-O728*R728/(1-R728)</f>
        <v>0.391752577314037</v>
      </c>
      <c r="W728" s="21" t="n">
        <f aca="false">Z728-P728*R728/(1-R728)</f>
        <v>-0.484536082474051</v>
      </c>
      <c r="X728" s="21" t="n">
        <f aca="false">S728+V728+W728</f>
        <v>101091</v>
      </c>
      <c r="Y728" s="19" t="n">
        <v>99680</v>
      </c>
      <c r="Z728" s="19" t="n">
        <v>1411</v>
      </c>
      <c r="AA728" s="19" t="n">
        <v>3268612</v>
      </c>
      <c r="AB728" s="29" t="n">
        <v>24.821</v>
      </c>
      <c r="AC728" s="29" t="n">
        <v>24.66075</v>
      </c>
      <c r="AD728" s="24" t="n">
        <f aca="false">IFERROR(AA728/AC728,0)</f>
        <v>132543.089727604</v>
      </c>
      <c r="AE728" s="25" t="n">
        <f aca="false">K728-Q728-X728</f>
        <v>-1</v>
      </c>
      <c r="AF728" s="25" t="n">
        <f aca="false">Q728-AA728</f>
        <v>0</v>
      </c>
      <c r="AG728" s="19" t="n">
        <v>3358920.61627001</v>
      </c>
      <c r="AH728" s="26" t="n">
        <f aca="false">IFERROR(AG728/Q728,0)</f>
        <v>1.02762904140045</v>
      </c>
      <c r="AI728" s="27" t="n">
        <v>380688524.590164</v>
      </c>
      <c r="AJ728" s="26" t="n">
        <f aca="false">IF(AI728&gt;0,AprCoef/SQRT(AI728),0)</f>
        <v>0.0242936879555389</v>
      </c>
      <c r="AK728" s="24" t="n">
        <f aca="false">AI728*AJ728/365</f>
        <v>25337.8855469807</v>
      </c>
      <c r="AL728" s="24" t="n">
        <f aca="false">AD728</f>
        <v>132543.089727604</v>
      </c>
      <c r="AM728" s="24" t="n">
        <f aca="false">AK728-AL728</f>
        <v>-107205.204180623</v>
      </c>
      <c r="AN728" s="28" t="str">
        <f aca="false">IF(A728&gt;=Hip3LaunchDate,"YES","")</f>
        <v/>
      </c>
      <c r="AO728" s="28" t="str">
        <f aca="false">IF(A728&lt;Hip4LaunchDate,"pre-launch","live (zero-fee)")</f>
        <v>pre-launch</v>
      </c>
      <c r="AP728" s="20"/>
      <c r="AQ728" s="20"/>
      <c r="AR728" s="20"/>
    </row>
    <row r="729" customFormat="false" ht="15" hidden="false" customHeight="false" outlineLevel="0" collapsed="false">
      <c r="A729" s="18" t="n">
        <v>45790</v>
      </c>
      <c r="B729" s="19" t="n">
        <v>8383620368.12</v>
      </c>
      <c r="C729" s="19" t="n">
        <v>0</v>
      </c>
      <c r="D729" s="19" t="n">
        <v>187661133</v>
      </c>
      <c r="E729" s="21" t="n">
        <f aca="false">B729+C729</f>
        <v>8383620368.12</v>
      </c>
      <c r="F729" s="21" t="n">
        <f aca="false">E729+D729</f>
        <v>8571281501.12</v>
      </c>
      <c r="G729" s="22" t="n">
        <f aca="false">IFERROR(C729/E729,0)</f>
        <v>0</v>
      </c>
      <c r="H729" s="19" t="n">
        <v>2435583</v>
      </c>
      <c r="I729" s="19" t="n">
        <v>42000</v>
      </c>
      <c r="J729" s="19" t="n">
        <v>74651</v>
      </c>
      <c r="K729" s="21" t="n">
        <f aca="false">H729+I729</f>
        <v>2477583</v>
      </c>
      <c r="L729" s="20"/>
      <c r="M729" s="21" t="n">
        <f aca="false">H729-L729</f>
        <v>2435583</v>
      </c>
      <c r="N729" s="23" t="n">
        <f aca="false">IFERROR(M729/B729*10000,0)</f>
        <v>2.90516852273235</v>
      </c>
      <c r="O729" s="19" t="n">
        <v>2362515</v>
      </c>
      <c r="P729" s="19" t="n">
        <v>40740</v>
      </c>
      <c r="Q729" s="21" t="n">
        <f aca="false">O729+P729</f>
        <v>2403255</v>
      </c>
      <c r="R729" s="22" t="n">
        <f aca="false">IF(A729&lt;HlpChangeDate,HlpSharePre,HlpSharePost)</f>
        <v>0.03</v>
      </c>
      <c r="S729" s="21" t="n">
        <f aca="false">Q729*R729/(1-R729)</f>
        <v>74327.4742268041</v>
      </c>
      <c r="T729" s="19" t="n">
        <v>74651</v>
      </c>
      <c r="U729" s="21" t="n">
        <f aca="false">S729-T729</f>
        <v>-323.525773195885</v>
      </c>
      <c r="V729" s="21" t="n">
        <f aca="false">Y729-O729*R729/(1-R729)</f>
        <v>-0.47422680411546</v>
      </c>
      <c r="W729" s="21" t="n">
        <f aca="false">Z729-P729*R729/(1-R729)</f>
        <v>0</v>
      </c>
      <c r="X729" s="21" t="n">
        <f aca="false">S729+V729+W729</f>
        <v>74327</v>
      </c>
      <c r="Y729" s="19" t="n">
        <v>73067</v>
      </c>
      <c r="Z729" s="19" t="n">
        <v>1260</v>
      </c>
      <c r="AA729" s="19" t="n">
        <v>2403255</v>
      </c>
      <c r="AB729" s="29" t="n">
        <v>25.8</v>
      </c>
      <c r="AC729" s="29" t="n">
        <v>25.1145</v>
      </c>
      <c r="AD729" s="24" t="n">
        <f aca="false">IFERROR(AA729/AC729,0)</f>
        <v>95691.9309562205</v>
      </c>
      <c r="AE729" s="25" t="n">
        <f aca="false">K729-Q729-X729</f>
        <v>1</v>
      </c>
      <c r="AF729" s="25" t="n">
        <f aca="false">Q729-AA729</f>
        <v>0</v>
      </c>
      <c r="AG729" s="19" t="n">
        <v>2488364.62512296</v>
      </c>
      <c r="AH729" s="26" t="n">
        <f aca="false">IFERROR(AG729/Q729,0)</f>
        <v>1.03541431313904</v>
      </c>
      <c r="AI729" s="27" t="n">
        <v>380825136.612022</v>
      </c>
      <c r="AJ729" s="26" t="n">
        <f aca="false">IF(AI729&gt;0,AprCoef/SQRT(AI729),0)</f>
        <v>0.0242893301713481</v>
      </c>
      <c r="AK729" s="24" t="n">
        <f aca="false">AI729*AJ729/365</f>
        <v>25342.4314540223</v>
      </c>
      <c r="AL729" s="24" t="n">
        <f aca="false">AD729</f>
        <v>95691.9309562205</v>
      </c>
      <c r="AM729" s="24" t="n">
        <f aca="false">AK729-AL729</f>
        <v>-70349.4995021982</v>
      </c>
      <c r="AN729" s="28" t="str">
        <f aca="false">IF(A729&gt;=Hip3LaunchDate,"YES","")</f>
        <v/>
      </c>
      <c r="AO729" s="28" t="str">
        <f aca="false">IF(A729&lt;Hip4LaunchDate,"pre-launch","live (zero-fee)")</f>
        <v>pre-launch</v>
      </c>
      <c r="AP729" s="20"/>
      <c r="AQ729" s="20"/>
      <c r="AR729" s="20"/>
    </row>
    <row r="730" customFormat="false" ht="15" hidden="false" customHeight="false" outlineLevel="0" collapsed="false">
      <c r="A730" s="18" t="n">
        <v>45791</v>
      </c>
      <c r="B730" s="19" t="n">
        <v>7000956820.5</v>
      </c>
      <c r="C730" s="19" t="n">
        <v>0</v>
      </c>
      <c r="D730" s="19" t="n">
        <v>164936595</v>
      </c>
      <c r="E730" s="21" t="n">
        <f aca="false">B730+C730</f>
        <v>7000956820.5</v>
      </c>
      <c r="F730" s="21" t="n">
        <f aca="false">E730+D730</f>
        <v>7165893415.5</v>
      </c>
      <c r="G730" s="22" t="n">
        <f aca="false">IFERROR(C730/E730,0)</f>
        <v>0</v>
      </c>
      <c r="H730" s="19" t="n">
        <v>1980037</v>
      </c>
      <c r="I730" s="19" t="n">
        <v>35587</v>
      </c>
      <c r="J730" s="19" t="n">
        <v>60065</v>
      </c>
      <c r="K730" s="21" t="n">
        <f aca="false">H730+I730</f>
        <v>2015624</v>
      </c>
      <c r="L730" s="20"/>
      <c r="M730" s="21" t="n">
        <f aca="false">H730-L730</f>
        <v>1980037</v>
      </c>
      <c r="N730" s="23" t="n">
        <f aca="false">IFERROR(M730/B730*10000,0)</f>
        <v>2.8282376977417</v>
      </c>
      <c r="O730" s="19" t="n">
        <v>1920636</v>
      </c>
      <c r="P730" s="19" t="n">
        <v>34519</v>
      </c>
      <c r="Q730" s="21" t="n">
        <f aca="false">O730+P730</f>
        <v>1955155</v>
      </c>
      <c r="R730" s="22" t="n">
        <f aca="false">IF(A730&lt;HlpChangeDate,HlpSharePre,HlpSharePost)</f>
        <v>0.03</v>
      </c>
      <c r="S730" s="21" t="n">
        <f aca="false">Q730*R730/(1-R730)</f>
        <v>60468.7113402062</v>
      </c>
      <c r="T730" s="19" t="n">
        <v>60065</v>
      </c>
      <c r="U730" s="21" t="n">
        <f aca="false">S730-T730</f>
        <v>403.711340206188</v>
      </c>
      <c r="V730" s="21" t="n">
        <f aca="false">Y730-O730*R730/(1-R730)</f>
        <v>-0.113402061848319</v>
      </c>
      <c r="W730" s="21" t="n">
        <f aca="false">Z730-P730*R730/(1-R730)</f>
        <v>0.402061855670127</v>
      </c>
      <c r="X730" s="21" t="n">
        <f aca="false">S730+V730+W730</f>
        <v>60469</v>
      </c>
      <c r="Y730" s="19" t="n">
        <v>59401</v>
      </c>
      <c r="Z730" s="19" t="n">
        <v>1068</v>
      </c>
      <c r="AA730" s="19" t="n">
        <v>1955155</v>
      </c>
      <c r="AB730" s="29" t="n">
        <v>25.191</v>
      </c>
      <c r="AC730" s="29" t="n">
        <v>25.438</v>
      </c>
      <c r="AD730" s="24" t="n">
        <f aca="false">IFERROR(AA730/AC730,0)</f>
        <v>76859.6194669392</v>
      </c>
      <c r="AE730" s="25" t="n">
        <f aca="false">K730-Q730-X730</f>
        <v>0</v>
      </c>
      <c r="AF730" s="25" t="n">
        <f aca="false">Q730-AA730</f>
        <v>0</v>
      </c>
      <c r="AG730" s="19" t="n">
        <v>2002157.03902</v>
      </c>
      <c r="AH730" s="26" t="n">
        <f aca="false">IFERROR(AG730/Q730,0)</f>
        <v>1.02404005770387</v>
      </c>
      <c r="AI730" s="27" t="n">
        <v>380961748.63388</v>
      </c>
      <c r="AJ730" s="26" t="n">
        <f aca="false">IF(AI730&gt;0,AprCoef/SQRT(AI730),0)</f>
        <v>0.0242849747314049</v>
      </c>
      <c r="AK730" s="24" t="n">
        <f aca="false">AI730*AJ730/365</f>
        <v>25346.9765457688</v>
      </c>
      <c r="AL730" s="24" t="n">
        <f aca="false">AD730</f>
        <v>76859.6194669392</v>
      </c>
      <c r="AM730" s="24" t="n">
        <f aca="false">AK730-AL730</f>
        <v>-51512.6429211705</v>
      </c>
      <c r="AN730" s="28" t="str">
        <f aca="false">IF(A730&gt;=Hip3LaunchDate,"YES","")</f>
        <v/>
      </c>
      <c r="AO730" s="28" t="str">
        <f aca="false">IF(A730&lt;Hip4LaunchDate,"pre-launch","live (zero-fee)")</f>
        <v>pre-launch</v>
      </c>
      <c r="AP730" s="20"/>
      <c r="AQ730" s="20"/>
      <c r="AR730" s="20"/>
    </row>
    <row r="731" customFormat="false" ht="15" hidden="false" customHeight="false" outlineLevel="0" collapsed="false">
      <c r="A731" s="18" t="n">
        <v>45792</v>
      </c>
      <c r="B731" s="19" t="n">
        <v>7691386938.57</v>
      </c>
      <c r="C731" s="19" t="n">
        <v>0</v>
      </c>
      <c r="D731" s="19" t="n">
        <v>176738006</v>
      </c>
      <c r="E731" s="21" t="n">
        <f aca="false">B731+C731</f>
        <v>7691386938.57</v>
      </c>
      <c r="F731" s="21" t="n">
        <f aca="false">E731+D731</f>
        <v>7868124944.57</v>
      </c>
      <c r="G731" s="22" t="n">
        <f aca="false">IFERROR(C731/E731,0)</f>
        <v>0</v>
      </c>
      <c r="H731" s="19" t="n">
        <v>2154451</v>
      </c>
      <c r="I731" s="19" t="n">
        <v>36989</v>
      </c>
      <c r="J731" s="19" t="n">
        <v>66147</v>
      </c>
      <c r="K731" s="21" t="n">
        <f aca="false">H731+I731</f>
        <v>2191440</v>
      </c>
      <c r="L731" s="20"/>
      <c r="M731" s="21" t="n">
        <f aca="false">H731-L731</f>
        <v>2154451</v>
      </c>
      <c r="N731" s="23" t="n">
        <f aca="false">IFERROR(M731/B731*10000,0)</f>
        <v>2.80112158861242</v>
      </c>
      <c r="O731" s="19" t="n">
        <v>2089817</v>
      </c>
      <c r="P731" s="19" t="n">
        <v>35880</v>
      </c>
      <c r="Q731" s="21" t="n">
        <f aca="false">O731+P731</f>
        <v>2125697</v>
      </c>
      <c r="R731" s="22" t="n">
        <f aca="false">IF(A731&lt;HlpChangeDate,HlpSharePre,HlpSharePost)</f>
        <v>0.03</v>
      </c>
      <c r="S731" s="21" t="n">
        <f aca="false">Q731*R731/(1-R731)</f>
        <v>65743.206185567</v>
      </c>
      <c r="T731" s="19" t="n">
        <v>66147</v>
      </c>
      <c r="U731" s="21" t="n">
        <f aca="false">S731-T731</f>
        <v>-403.793814432996</v>
      </c>
      <c r="V731" s="21" t="n">
        <f aca="false">Y731-O731*R731/(1-R731)</f>
        <v>0.484536082476552</v>
      </c>
      <c r="W731" s="21" t="n">
        <f aca="false">Z731-P731*R731/(1-R731)</f>
        <v>0.309278350515569</v>
      </c>
      <c r="X731" s="21" t="n">
        <f aca="false">S731+V731+W731</f>
        <v>65744</v>
      </c>
      <c r="Y731" s="19" t="n">
        <v>64634</v>
      </c>
      <c r="Z731" s="19" t="n">
        <v>1110</v>
      </c>
      <c r="AA731" s="19" t="n">
        <v>2125697</v>
      </c>
      <c r="AB731" s="29" t="n">
        <v>26.098</v>
      </c>
      <c r="AC731" s="29" t="n">
        <v>25.4345</v>
      </c>
      <c r="AD731" s="24" t="n">
        <f aca="false">IFERROR(AA731/AC731,0)</f>
        <v>83575.3405807073</v>
      </c>
      <c r="AE731" s="25" t="n">
        <f aca="false">K731-Q731-X731</f>
        <v>-0.999999999985448</v>
      </c>
      <c r="AF731" s="25" t="n">
        <f aca="false">Q731-AA731</f>
        <v>0</v>
      </c>
      <c r="AG731" s="19" t="n">
        <v>2204907.20614499</v>
      </c>
      <c r="AH731" s="26" t="n">
        <f aca="false">IFERROR(AG731/Q731,0)</f>
        <v>1.03726316880768</v>
      </c>
      <c r="AI731" s="27" t="n">
        <v>381098360.655738</v>
      </c>
      <c r="AJ731" s="26" t="n">
        <f aca="false">IF(AI731&gt;0,AprCoef/SQRT(AI731),0)</f>
        <v>0.0242806216336082</v>
      </c>
      <c r="AK731" s="24" t="n">
        <f aca="false">AI731*AJ731/365</f>
        <v>25351.5208226584</v>
      </c>
      <c r="AL731" s="24" t="n">
        <f aca="false">AD731</f>
        <v>83575.3405807073</v>
      </c>
      <c r="AM731" s="24" t="n">
        <f aca="false">AK731-AL731</f>
        <v>-58223.8197580489</v>
      </c>
      <c r="AN731" s="28" t="str">
        <f aca="false">IF(A731&gt;=Hip3LaunchDate,"YES","")</f>
        <v/>
      </c>
      <c r="AO731" s="28" t="str">
        <f aca="false">IF(A731&lt;Hip4LaunchDate,"pre-launch","live (zero-fee)")</f>
        <v>pre-launch</v>
      </c>
      <c r="AP731" s="20"/>
      <c r="AQ731" s="20"/>
      <c r="AR731" s="20"/>
    </row>
    <row r="732" customFormat="false" ht="15" hidden="false" customHeight="false" outlineLevel="0" collapsed="false">
      <c r="A732" s="18" t="n">
        <v>45793</v>
      </c>
      <c r="B732" s="19" t="n">
        <v>6286215708.91</v>
      </c>
      <c r="C732" s="19" t="n">
        <v>0</v>
      </c>
      <c r="D732" s="19" t="n">
        <v>226665977</v>
      </c>
      <c r="E732" s="21" t="n">
        <f aca="false">B732+C732</f>
        <v>6286215708.91</v>
      </c>
      <c r="F732" s="21" t="n">
        <f aca="false">E732+D732</f>
        <v>6512881685.91</v>
      </c>
      <c r="G732" s="22" t="n">
        <f aca="false">IFERROR(C732/E732,0)</f>
        <v>0</v>
      </c>
      <c r="H732" s="19" t="n">
        <v>1713351</v>
      </c>
      <c r="I732" s="19" t="n">
        <v>52053</v>
      </c>
      <c r="J732" s="19" t="n">
        <v>52040</v>
      </c>
      <c r="K732" s="21" t="n">
        <f aca="false">H732+I732</f>
        <v>1765404</v>
      </c>
      <c r="L732" s="20"/>
      <c r="M732" s="21" t="n">
        <f aca="false">H732-L732</f>
        <v>1713351</v>
      </c>
      <c r="N732" s="23" t="n">
        <f aca="false">IFERROR(M732/B732*10000,0)</f>
        <v>2.72556825813584</v>
      </c>
      <c r="O732" s="19" t="n">
        <v>1661950</v>
      </c>
      <c r="P732" s="19" t="n">
        <v>50491</v>
      </c>
      <c r="Q732" s="21" t="n">
        <f aca="false">O732+P732</f>
        <v>1712441</v>
      </c>
      <c r="R732" s="22" t="n">
        <f aca="false">IF(A732&lt;HlpChangeDate,HlpSharePre,HlpSharePost)</f>
        <v>0.03</v>
      </c>
      <c r="S732" s="21" t="n">
        <f aca="false">Q732*R732/(1-R732)</f>
        <v>52962.0927835052</v>
      </c>
      <c r="T732" s="19" t="n">
        <v>52040</v>
      </c>
      <c r="U732" s="21" t="n">
        <f aca="false">S732-T732</f>
        <v>922.092783505155</v>
      </c>
      <c r="V732" s="21" t="n">
        <f aca="false">Y732-O732*R732/(1-R732)</f>
        <v>0.484536082469276</v>
      </c>
      <c r="W732" s="21" t="n">
        <f aca="false">Z732-P732*R732/(1-R732)</f>
        <v>0.422680412371165</v>
      </c>
      <c r="X732" s="21" t="n">
        <f aca="false">S732+V732+W732</f>
        <v>52963</v>
      </c>
      <c r="Y732" s="19" t="n">
        <v>51401</v>
      </c>
      <c r="Z732" s="19" t="n">
        <v>1562</v>
      </c>
      <c r="AA732" s="19" t="n">
        <v>1712441</v>
      </c>
      <c r="AB732" s="29" t="n">
        <v>26.8</v>
      </c>
      <c r="AC732" s="29" t="n">
        <v>26.7085</v>
      </c>
      <c r="AD732" s="24" t="n">
        <f aca="false">IFERROR(AA732/AC732,0)</f>
        <v>64115.9555946609</v>
      </c>
      <c r="AE732" s="25" t="n">
        <f aca="false">K732-Q732-X732</f>
        <v>0</v>
      </c>
      <c r="AF732" s="25" t="n">
        <f aca="false">Q732-AA732</f>
        <v>0</v>
      </c>
      <c r="AG732" s="19" t="n">
        <v>1734659.53543103</v>
      </c>
      <c r="AH732" s="26" t="n">
        <f aca="false">IFERROR(AG732/Q732,0)</f>
        <v>1.01297477427311</v>
      </c>
      <c r="AI732" s="27" t="n">
        <v>381234972.677596</v>
      </c>
      <c r="AJ732" s="26" t="n">
        <f aca="false">IF(AI732&gt;0,AprCoef/SQRT(AI732),0)</f>
        <v>0.0242762708758595</v>
      </c>
      <c r="AK732" s="24" t="n">
        <f aca="false">AI732*AJ732/365</f>
        <v>25356.0642851293</v>
      </c>
      <c r="AL732" s="24" t="n">
        <f aca="false">AD732</f>
        <v>64115.9555946609</v>
      </c>
      <c r="AM732" s="24" t="n">
        <f aca="false">AK732-AL732</f>
        <v>-38759.8913095315</v>
      </c>
      <c r="AN732" s="28" t="str">
        <f aca="false">IF(A732&gt;=Hip3LaunchDate,"YES","")</f>
        <v/>
      </c>
      <c r="AO732" s="28" t="str">
        <f aca="false">IF(A732&lt;Hip4LaunchDate,"pre-launch","live (zero-fee)")</f>
        <v>pre-launch</v>
      </c>
      <c r="AP732" s="20"/>
      <c r="AQ732" s="20"/>
      <c r="AR732" s="20"/>
    </row>
    <row r="733" customFormat="false" ht="15" hidden="false" customHeight="false" outlineLevel="0" collapsed="false">
      <c r="A733" s="18" t="n">
        <v>45794</v>
      </c>
      <c r="B733" s="19" t="n">
        <v>4365168405.25</v>
      </c>
      <c r="C733" s="19" t="n">
        <v>0</v>
      </c>
      <c r="D733" s="19" t="n">
        <v>181177333</v>
      </c>
      <c r="E733" s="21" t="n">
        <f aca="false">B733+C733</f>
        <v>4365168405.25</v>
      </c>
      <c r="F733" s="21" t="n">
        <f aca="false">E733+D733</f>
        <v>4546345738.25</v>
      </c>
      <c r="G733" s="22" t="n">
        <f aca="false">IFERROR(C733/E733,0)</f>
        <v>0</v>
      </c>
      <c r="H733" s="19" t="n">
        <v>1169696</v>
      </c>
      <c r="I733" s="19" t="n">
        <v>44633</v>
      </c>
      <c r="J733" s="19" t="n">
        <v>37246</v>
      </c>
      <c r="K733" s="21" t="n">
        <f aca="false">H733+I733</f>
        <v>1214329</v>
      </c>
      <c r="L733" s="20"/>
      <c r="M733" s="21" t="n">
        <f aca="false">H733-L733</f>
        <v>1169696</v>
      </c>
      <c r="N733" s="23" t="n">
        <f aca="false">IFERROR(M733/B733*10000,0)</f>
        <v>2.67961254047657</v>
      </c>
      <c r="O733" s="19" t="n">
        <v>1134606</v>
      </c>
      <c r="P733" s="19" t="n">
        <v>43294</v>
      </c>
      <c r="Q733" s="21" t="n">
        <f aca="false">O733+P733</f>
        <v>1177900</v>
      </c>
      <c r="R733" s="22" t="n">
        <f aca="false">IF(A733&lt;HlpChangeDate,HlpSharePre,HlpSharePost)</f>
        <v>0.03</v>
      </c>
      <c r="S733" s="21" t="n">
        <f aca="false">Q733*R733/(1-R733)</f>
        <v>36429.8969072165</v>
      </c>
      <c r="T733" s="19" t="n">
        <v>37246</v>
      </c>
      <c r="U733" s="21" t="n">
        <f aca="false">S733-T733</f>
        <v>-816.103092783502</v>
      </c>
      <c r="V733" s="21" t="n">
        <f aca="false">Y733-O733*R733/(1-R733)</f>
        <v>0.0927835051552393</v>
      </c>
      <c r="W733" s="21" t="n">
        <f aca="false">Z733-P733*R733/(1-R733)</f>
        <v>0.0103092783506327</v>
      </c>
      <c r="X733" s="21" t="n">
        <f aca="false">S733+V733+W733</f>
        <v>36430</v>
      </c>
      <c r="Y733" s="19" t="n">
        <v>35091</v>
      </c>
      <c r="Z733" s="19" t="n">
        <v>1339</v>
      </c>
      <c r="AA733" s="19" t="n">
        <v>1177900</v>
      </c>
      <c r="AB733" s="29" t="n">
        <v>25.84</v>
      </c>
      <c r="AC733" s="29" t="n">
        <v>26.471</v>
      </c>
      <c r="AD733" s="24" t="n">
        <f aca="false">IFERROR(AA733/AC733,0)</f>
        <v>44497.7522571871</v>
      </c>
      <c r="AE733" s="25" t="n">
        <f aca="false">K733-Q733-X733</f>
        <v>-1.00000000000728</v>
      </c>
      <c r="AF733" s="25" t="n">
        <f aca="false">Q733-AA733</f>
        <v>0</v>
      </c>
      <c r="AG733" s="19" t="n">
        <v>1241519.70953</v>
      </c>
      <c r="AH733" s="26" t="n">
        <f aca="false">IFERROR(AG733/Q733,0)</f>
        <v>1.05401112957806</v>
      </c>
      <c r="AI733" s="27" t="n">
        <v>381371584.699454</v>
      </c>
      <c r="AJ733" s="26" t="n">
        <f aca="false">IF(AI733&gt;0,AprCoef/SQRT(AI733),0)</f>
        <v>0.0242719224560632</v>
      </c>
      <c r="AK733" s="24" t="n">
        <f aca="false">AI733*AJ733/365</f>
        <v>25360.6069336193</v>
      </c>
      <c r="AL733" s="24" t="n">
        <f aca="false">AD733</f>
        <v>44497.7522571871</v>
      </c>
      <c r="AM733" s="24" t="n">
        <f aca="false">AK733-AL733</f>
        <v>-19137.1453235678</v>
      </c>
      <c r="AN733" s="28" t="str">
        <f aca="false">IF(A733&gt;=Hip3LaunchDate,"YES","")</f>
        <v/>
      </c>
      <c r="AO733" s="28" t="str">
        <f aca="false">IF(A733&lt;Hip4LaunchDate,"pre-launch","live (zero-fee)")</f>
        <v>pre-launch</v>
      </c>
      <c r="AP733" s="20"/>
      <c r="AQ733" s="20"/>
      <c r="AR733" s="20"/>
    </row>
    <row r="734" customFormat="false" ht="15" hidden="false" customHeight="false" outlineLevel="0" collapsed="false">
      <c r="A734" s="18" t="n">
        <v>45795</v>
      </c>
      <c r="B734" s="19" t="n">
        <v>7314944825.22</v>
      </c>
      <c r="C734" s="19" t="n">
        <v>0</v>
      </c>
      <c r="D734" s="19" t="n">
        <v>194262020</v>
      </c>
      <c r="E734" s="21" t="n">
        <f aca="false">B734+C734</f>
        <v>7314944825.22</v>
      </c>
      <c r="F734" s="21" t="n">
        <f aca="false">E734+D734</f>
        <v>7509206845.22</v>
      </c>
      <c r="G734" s="22" t="n">
        <f aca="false">IFERROR(C734/E734,0)</f>
        <v>0</v>
      </c>
      <c r="H734" s="19" t="n">
        <v>2095160</v>
      </c>
      <c r="I734" s="19" t="n">
        <v>40738</v>
      </c>
      <c r="J734" s="19" t="n">
        <v>61380</v>
      </c>
      <c r="K734" s="21" t="n">
        <f aca="false">H734+I734</f>
        <v>2135898</v>
      </c>
      <c r="L734" s="20"/>
      <c r="M734" s="21" t="n">
        <f aca="false">H734-L734</f>
        <v>2095160</v>
      </c>
      <c r="N734" s="23" t="n">
        <f aca="false">IFERROR(M734/B734*10000,0)</f>
        <v>2.86421845968877</v>
      </c>
      <c r="O734" s="19" t="n">
        <v>2032305</v>
      </c>
      <c r="P734" s="19" t="n">
        <v>39516</v>
      </c>
      <c r="Q734" s="21" t="n">
        <f aca="false">O734+P734</f>
        <v>2071821</v>
      </c>
      <c r="R734" s="22" t="n">
        <f aca="false">IF(A734&lt;HlpChangeDate,HlpSharePre,HlpSharePost)</f>
        <v>0.03</v>
      </c>
      <c r="S734" s="21" t="n">
        <f aca="false">Q734*R734/(1-R734)</f>
        <v>64076.9381443299</v>
      </c>
      <c r="T734" s="19" t="n">
        <v>61380</v>
      </c>
      <c r="U734" s="21" t="n">
        <f aca="false">S734-T734</f>
        <v>2696.9381443299</v>
      </c>
      <c r="V734" s="21" t="n">
        <f aca="false">Y734-O734*R734/(1-R734)</f>
        <v>0.20618556701811</v>
      </c>
      <c r="W734" s="21" t="n">
        <f aca="false">Z734-P734*R734/(1-R734)</f>
        <v>-0.144329896907266</v>
      </c>
      <c r="X734" s="21" t="n">
        <f aca="false">S734+V734+W734</f>
        <v>64077</v>
      </c>
      <c r="Y734" s="19" t="n">
        <v>62855</v>
      </c>
      <c r="Z734" s="19" t="n">
        <v>1222</v>
      </c>
      <c r="AA734" s="19" t="n">
        <v>2071821</v>
      </c>
      <c r="AB734" s="29" t="n">
        <v>27.055</v>
      </c>
      <c r="AC734" s="29" t="n">
        <v>26.5105</v>
      </c>
      <c r="AD734" s="24" t="n">
        <f aca="false">IFERROR(AA734/AC734,0)</f>
        <v>78150.9590539598</v>
      </c>
      <c r="AE734" s="25" t="n">
        <f aca="false">K734-Q734-X734</f>
        <v>0</v>
      </c>
      <c r="AF734" s="25" t="n">
        <f aca="false">Q734-AA734</f>
        <v>0</v>
      </c>
      <c r="AG734" s="19" t="n">
        <v>2046014.30414897</v>
      </c>
      <c r="AH734" s="26" t="n">
        <f aca="false">IFERROR(AG734/Q734,0)</f>
        <v>0.987543954882672</v>
      </c>
      <c r="AI734" s="27" t="n">
        <v>381508196.721312</v>
      </c>
      <c r="AJ734" s="26" t="n">
        <f aca="false">IF(AI734&gt;0,AprCoef/SQRT(AI734),0)</f>
        <v>0.024267576372126</v>
      </c>
      <c r="AK734" s="24" t="n">
        <f aca="false">AI734*AJ734/365</f>
        <v>25365.1487685657</v>
      </c>
      <c r="AL734" s="24" t="n">
        <f aca="false">AD734</f>
        <v>78150.9590539598</v>
      </c>
      <c r="AM734" s="24" t="n">
        <f aca="false">AK734-AL734</f>
        <v>-52785.810285394</v>
      </c>
      <c r="AN734" s="28" t="str">
        <f aca="false">IF(A734&gt;=Hip3LaunchDate,"YES","")</f>
        <v/>
      </c>
      <c r="AO734" s="28" t="str">
        <f aca="false">IF(A734&lt;Hip4LaunchDate,"pre-launch","live (zero-fee)")</f>
        <v>pre-launch</v>
      </c>
      <c r="AP734" s="20"/>
      <c r="AQ734" s="20"/>
      <c r="AR734" s="20"/>
    </row>
    <row r="735" customFormat="false" ht="15" hidden="false" customHeight="false" outlineLevel="0" collapsed="false">
      <c r="A735" s="18" t="n">
        <v>45796</v>
      </c>
      <c r="B735" s="19" t="n">
        <v>9535736914.45</v>
      </c>
      <c r="C735" s="19" t="n">
        <v>0</v>
      </c>
      <c r="D735" s="19" t="n">
        <v>233389144</v>
      </c>
      <c r="E735" s="21" t="n">
        <f aca="false">B735+C735</f>
        <v>9535736914.45</v>
      </c>
      <c r="F735" s="21" t="n">
        <f aca="false">E735+D735</f>
        <v>9769126058.45</v>
      </c>
      <c r="G735" s="22" t="n">
        <f aca="false">IFERROR(C735/E735,0)</f>
        <v>0</v>
      </c>
      <c r="H735" s="19" t="n">
        <v>2617038</v>
      </c>
      <c r="I735" s="19" t="n">
        <v>51328</v>
      </c>
      <c r="J735" s="19" t="n">
        <v>82640</v>
      </c>
      <c r="K735" s="21" t="n">
        <f aca="false">H735+I735</f>
        <v>2668366</v>
      </c>
      <c r="L735" s="20"/>
      <c r="M735" s="21" t="n">
        <f aca="false">H735-L735</f>
        <v>2617038</v>
      </c>
      <c r="N735" s="23" t="n">
        <f aca="false">IFERROR(M735/B735*10000,0)</f>
        <v>2.74445281311638</v>
      </c>
      <c r="O735" s="19" t="n">
        <v>2538527</v>
      </c>
      <c r="P735" s="19" t="n">
        <v>49789</v>
      </c>
      <c r="Q735" s="21" t="n">
        <f aca="false">O735+P735</f>
        <v>2588316</v>
      </c>
      <c r="R735" s="22" t="n">
        <f aca="false">IF(A735&lt;HlpChangeDate,HlpSharePre,HlpSharePost)</f>
        <v>0.03</v>
      </c>
      <c r="S735" s="21" t="n">
        <f aca="false">Q735*R735/(1-R735)</f>
        <v>80051.0103092784</v>
      </c>
      <c r="T735" s="19" t="n">
        <v>82640</v>
      </c>
      <c r="U735" s="21" t="n">
        <f aca="false">S735-T735</f>
        <v>-2588.98969072165</v>
      </c>
      <c r="V735" s="21" t="n">
        <f aca="false">Y735-O735*R735/(1-R735)</f>
        <v>-0.144329896909767</v>
      </c>
      <c r="W735" s="21" t="n">
        <f aca="false">Z735-P735*R735/(1-R735)</f>
        <v>0.13402061855686</v>
      </c>
      <c r="X735" s="21" t="n">
        <f aca="false">S735+V735+W735</f>
        <v>80051</v>
      </c>
      <c r="Y735" s="19" t="n">
        <v>78511</v>
      </c>
      <c r="Z735" s="19" t="n">
        <v>1540</v>
      </c>
      <c r="AA735" s="19" t="n">
        <v>2588316</v>
      </c>
      <c r="AB735" s="29" t="n">
        <v>26.523</v>
      </c>
      <c r="AC735" s="29" t="n">
        <v>26.4525</v>
      </c>
      <c r="AD735" s="24" t="n">
        <f aca="false">IFERROR(AA735/AC735,0)</f>
        <v>97847.6892543238</v>
      </c>
      <c r="AE735" s="25" t="n">
        <f aca="false">K735-Q735-X735</f>
        <v>-1</v>
      </c>
      <c r="AF735" s="25" t="n">
        <f aca="false">Q735-AA735</f>
        <v>0</v>
      </c>
      <c r="AG735" s="19" t="n">
        <v>2754679.695885</v>
      </c>
      <c r="AH735" s="26" t="n">
        <f aca="false">IFERROR(AG735/Q735,0)</f>
        <v>1.06427487829346</v>
      </c>
      <c r="AI735" s="27" t="n">
        <v>381644808.743169</v>
      </c>
      <c r="AJ735" s="26" t="n">
        <f aca="false">IF(AI735&gt;0,AprCoef/SQRT(AI735),0)</f>
        <v>0.0242632326219575</v>
      </c>
      <c r="AK735" s="24" t="n">
        <f aca="false">AI735*AJ735/365</f>
        <v>25369.6897904054</v>
      </c>
      <c r="AL735" s="24" t="n">
        <f aca="false">AD735</f>
        <v>97847.6892543238</v>
      </c>
      <c r="AM735" s="24" t="n">
        <f aca="false">AK735-AL735</f>
        <v>-72477.9994639183</v>
      </c>
      <c r="AN735" s="28" t="str">
        <f aca="false">IF(A735&gt;=Hip3LaunchDate,"YES","")</f>
        <v/>
      </c>
      <c r="AO735" s="28" t="str">
        <f aca="false">IF(A735&lt;Hip4LaunchDate,"pre-launch","live (zero-fee)")</f>
        <v>pre-launch</v>
      </c>
      <c r="AP735" s="20"/>
      <c r="AQ735" s="20"/>
      <c r="AR735" s="20"/>
    </row>
    <row r="736" customFormat="false" ht="15" hidden="false" customHeight="false" outlineLevel="0" collapsed="false">
      <c r="A736" s="18" t="n">
        <v>45797</v>
      </c>
      <c r="B736" s="19" t="n">
        <v>11112341692.07</v>
      </c>
      <c r="C736" s="19" t="n">
        <v>0</v>
      </c>
      <c r="D736" s="19" t="n">
        <v>186962465</v>
      </c>
      <c r="E736" s="21" t="n">
        <f aca="false">B736+C736</f>
        <v>11112341692.07</v>
      </c>
      <c r="F736" s="21" t="n">
        <f aca="false">E736+D736</f>
        <v>11299304157.07</v>
      </c>
      <c r="G736" s="22" t="n">
        <f aca="false">IFERROR(C736/E736,0)</f>
        <v>0</v>
      </c>
      <c r="H736" s="19" t="n">
        <v>3107938</v>
      </c>
      <c r="I736" s="19" t="n">
        <v>43659</v>
      </c>
      <c r="J736" s="19" t="n">
        <v>94762</v>
      </c>
      <c r="K736" s="21" t="n">
        <f aca="false">H736+I736</f>
        <v>3151597</v>
      </c>
      <c r="L736" s="20"/>
      <c r="M736" s="21" t="n">
        <f aca="false">H736-L736</f>
        <v>3107938</v>
      </c>
      <c r="N736" s="23" t="n">
        <f aca="false">IFERROR(M736/B736*10000,0)</f>
        <v>2.7968344441909</v>
      </c>
      <c r="O736" s="19" t="n">
        <v>3014700</v>
      </c>
      <c r="P736" s="19" t="n">
        <v>42349</v>
      </c>
      <c r="Q736" s="21" t="n">
        <f aca="false">O736+P736</f>
        <v>3057049</v>
      </c>
      <c r="R736" s="22" t="n">
        <f aca="false">IF(A736&lt;HlpChangeDate,HlpSharePre,HlpSharePost)</f>
        <v>0.03</v>
      </c>
      <c r="S736" s="21" t="n">
        <f aca="false">Q736*R736/(1-R736)</f>
        <v>94547.9072164948</v>
      </c>
      <c r="T736" s="19" t="n">
        <v>94762</v>
      </c>
      <c r="U736" s="21" t="n">
        <f aca="false">S736-T736</f>
        <v>-214.092783505155</v>
      </c>
      <c r="V736" s="21" t="n">
        <f aca="false">Y736-O736*R736/(1-R736)</f>
        <v>-0.144329896909767</v>
      </c>
      <c r="W736" s="21" t="n">
        <f aca="false">Z736-P736*R736/(1-R736)</f>
        <v>0.237113402061823</v>
      </c>
      <c r="X736" s="21" t="n">
        <f aca="false">S736+V736+W736</f>
        <v>94548</v>
      </c>
      <c r="Y736" s="19" t="n">
        <v>93238</v>
      </c>
      <c r="Z736" s="19" t="n">
        <v>1310</v>
      </c>
      <c r="AA736" s="19" t="n">
        <v>3057049</v>
      </c>
      <c r="AB736" s="29" t="n">
        <v>26.505</v>
      </c>
      <c r="AC736" s="29" t="n">
        <v>26.3785</v>
      </c>
      <c r="AD736" s="24" t="n">
        <f aca="false">IFERROR(AA736/AC736,0)</f>
        <v>115891.692097731</v>
      </c>
      <c r="AE736" s="25" t="n">
        <f aca="false">K736-Q736-X736</f>
        <v>0</v>
      </c>
      <c r="AF736" s="25" t="n">
        <f aca="false">Q736-AA736</f>
        <v>0</v>
      </c>
      <c r="AG736" s="19" t="n">
        <v>3158720.84089601</v>
      </c>
      <c r="AH736" s="26" t="n">
        <f aca="false">IFERROR(AG736/Q736,0)</f>
        <v>1.03325816527508</v>
      </c>
      <c r="AI736" s="27" t="n">
        <v>381781420.765027</v>
      </c>
      <c r="AJ736" s="26" t="n">
        <f aca="false">IF(AI736&gt;0,AprCoef/SQRT(AI736),0)</f>
        <v>0.0242588912034697</v>
      </c>
      <c r="AK736" s="24" t="n">
        <f aca="false">AI736*AJ736/365</f>
        <v>25374.229999575</v>
      </c>
      <c r="AL736" s="24" t="n">
        <f aca="false">AD736</f>
        <v>115891.692097731</v>
      </c>
      <c r="AM736" s="24" t="n">
        <f aca="false">AK736-AL736</f>
        <v>-90517.4620981561</v>
      </c>
      <c r="AN736" s="28" t="str">
        <f aca="false">IF(A736&gt;=Hip3LaunchDate,"YES","")</f>
        <v/>
      </c>
      <c r="AO736" s="28" t="str">
        <f aca="false">IF(A736&lt;Hip4LaunchDate,"pre-launch","live (zero-fee)")</f>
        <v>pre-launch</v>
      </c>
      <c r="AP736" s="20"/>
      <c r="AQ736" s="20"/>
      <c r="AR736" s="20"/>
    </row>
    <row r="737" customFormat="false" ht="15" hidden="false" customHeight="false" outlineLevel="0" collapsed="false">
      <c r="A737" s="18" t="n">
        <v>45798</v>
      </c>
      <c r="B737" s="19" t="n">
        <v>17607432132.96</v>
      </c>
      <c r="C737" s="19" t="n">
        <v>0</v>
      </c>
      <c r="D737" s="19" t="n">
        <v>311374949</v>
      </c>
      <c r="E737" s="21" t="n">
        <f aca="false">B737+C737</f>
        <v>17607432132.96</v>
      </c>
      <c r="F737" s="21" t="n">
        <f aca="false">E737+D737</f>
        <v>17918807081.96</v>
      </c>
      <c r="G737" s="22" t="n">
        <f aca="false">IFERROR(C737/E737,0)</f>
        <v>0</v>
      </c>
      <c r="H737" s="19" t="n">
        <v>4852801</v>
      </c>
      <c r="I737" s="19" t="n">
        <v>70408</v>
      </c>
      <c r="J737" s="19" t="n">
        <v>147696</v>
      </c>
      <c r="K737" s="21" t="n">
        <f aca="false">H737+I737</f>
        <v>4923209</v>
      </c>
      <c r="L737" s="20"/>
      <c r="M737" s="21" t="n">
        <f aca="false">H737-L737</f>
        <v>4852801</v>
      </c>
      <c r="N737" s="23" t="n">
        <f aca="false">IFERROR(M737/B737*10000,0)</f>
        <v>2.75610944478148</v>
      </c>
      <c r="O737" s="19" t="n">
        <v>4707217</v>
      </c>
      <c r="P737" s="19" t="n">
        <v>68295</v>
      </c>
      <c r="Q737" s="21" t="n">
        <f aca="false">O737+P737</f>
        <v>4775512</v>
      </c>
      <c r="R737" s="22" t="n">
        <f aca="false">IF(A737&lt;HlpChangeDate,HlpSharePre,HlpSharePost)</f>
        <v>0.03</v>
      </c>
      <c r="S737" s="21" t="n">
        <f aca="false">Q737*R737/(1-R737)</f>
        <v>147696.24742268</v>
      </c>
      <c r="T737" s="19" t="n">
        <v>147696</v>
      </c>
      <c r="U737" s="21" t="n">
        <f aca="false">S737-T737</f>
        <v>0.24742268040427</v>
      </c>
      <c r="V737" s="21" t="n">
        <f aca="false">Y737-O737*R737/(1-R737)</f>
        <v>-0.0309278350614477</v>
      </c>
      <c r="W737" s="21" t="n">
        <f aca="false">Z737-P737*R737/(1-R737)</f>
        <v>-0.216494845361012</v>
      </c>
      <c r="X737" s="21" t="n">
        <f aca="false">S737+V737+W737</f>
        <v>147696</v>
      </c>
      <c r="Y737" s="19" t="n">
        <v>145584</v>
      </c>
      <c r="Z737" s="19" t="n">
        <v>2112</v>
      </c>
      <c r="AA737" s="19" t="n">
        <v>4775512</v>
      </c>
      <c r="AB737" s="29" t="n">
        <v>28.268</v>
      </c>
      <c r="AC737" s="29" t="n">
        <v>27.2885</v>
      </c>
      <c r="AD737" s="24" t="n">
        <f aca="false">IFERROR(AA737/AC737,0)</f>
        <v>175000.897814098</v>
      </c>
      <c r="AE737" s="25" t="n">
        <f aca="false">K737-Q737-X737</f>
        <v>1.0000000000291</v>
      </c>
      <c r="AF737" s="25" t="n">
        <f aca="false">Q737-AA737</f>
        <v>0</v>
      </c>
      <c r="AG737" s="19" t="n">
        <v>4923208.61866099</v>
      </c>
      <c r="AH737" s="26" t="n">
        <f aca="false">IFERROR(AG737/Q737,0)</f>
        <v>1.03092791278945</v>
      </c>
      <c r="AI737" s="27" t="n">
        <v>381918032.786885</v>
      </c>
      <c r="AJ737" s="26" t="n">
        <f aca="false">IF(AI737&gt;0,AprCoef/SQRT(AI737),0)</f>
        <v>0.0242545521145773</v>
      </c>
      <c r="AK737" s="24" t="n">
        <f aca="false">AI737*AJ737/365</f>
        <v>25378.7693965106</v>
      </c>
      <c r="AL737" s="24" t="n">
        <f aca="false">AD737</f>
        <v>175000.897814098</v>
      </c>
      <c r="AM737" s="24" t="n">
        <f aca="false">AK737-AL737</f>
        <v>-149622.128417587</v>
      </c>
      <c r="AN737" s="28" t="str">
        <f aca="false">IF(A737&gt;=Hip3LaunchDate,"YES","")</f>
        <v/>
      </c>
      <c r="AO737" s="28" t="str">
        <f aca="false">IF(A737&lt;Hip4LaunchDate,"pre-launch","live (zero-fee)")</f>
        <v>pre-launch</v>
      </c>
      <c r="AP737" s="20"/>
      <c r="AQ737" s="20"/>
      <c r="AR737" s="20"/>
    </row>
    <row r="738" customFormat="false" ht="15" hidden="false" customHeight="false" outlineLevel="0" collapsed="false">
      <c r="A738" s="18" t="n">
        <v>45799</v>
      </c>
      <c r="B738" s="19" t="n">
        <v>11653389156.53</v>
      </c>
      <c r="C738" s="19" t="n">
        <v>0</v>
      </c>
      <c r="D738" s="19" t="n">
        <v>502129527</v>
      </c>
      <c r="E738" s="21" t="n">
        <f aca="false">B738+C738</f>
        <v>11653389156.53</v>
      </c>
      <c r="F738" s="21" t="n">
        <f aca="false">E738+D738</f>
        <v>12155518683.53</v>
      </c>
      <c r="G738" s="22" t="n">
        <f aca="false">IFERROR(C738/E738,0)</f>
        <v>0</v>
      </c>
      <c r="H738" s="19" t="n">
        <v>3268952</v>
      </c>
      <c r="I738" s="19" t="n">
        <v>113648</v>
      </c>
      <c r="J738" s="19" t="n">
        <v>101478</v>
      </c>
      <c r="K738" s="21" t="n">
        <f aca="false">H738+I738</f>
        <v>3382600</v>
      </c>
      <c r="L738" s="20"/>
      <c r="M738" s="21" t="n">
        <f aca="false">H738-L738</f>
        <v>3268952</v>
      </c>
      <c r="N738" s="23" t="n">
        <f aca="false">IFERROR(M738/B738*10000,0)</f>
        <v>2.80515132215269</v>
      </c>
      <c r="O738" s="19" t="n">
        <v>3170883</v>
      </c>
      <c r="P738" s="19" t="n">
        <v>110239</v>
      </c>
      <c r="Q738" s="21" t="n">
        <f aca="false">O738+P738</f>
        <v>3281122</v>
      </c>
      <c r="R738" s="22" t="n">
        <f aca="false">IF(A738&lt;HlpChangeDate,HlpSharePre,HlpSharePost)</f>
        <v>0.03</v>
      </c>
      <c r="S738" s="21" t="n">
        <f aca="false">Q738*R738/(1-R738)</f>
        <v>101478</v>
      </c>
      <c r="T738" s="19" t="n">
        <v>101478</v>
      </c>
      <c r="U738" s="21" t="n">
        <f aca="false">S738-T738</f>
        <v>0</v>
      </c>
      <c r="V738" s="21" t="n">
        <f aca="false">Y738-O738*R738/(1-R738)</f>
        <v>0.45360824742238</v>
      </c>
      <c r="W738" s="21" t="n">
        <f aca="false">Z738-P738*R738/(1-R738)</f>
        <v>-0.453608247422835</v>
      </c>
      <c r="X738" s="21" t="n">
        <f aca="false">S738+V738+W738</f>
        <v>101478</v>
      </c>
      <c r="Y738" s="19" t="n">
        <v>98069</v>
      </c>
      <c r="Z738" s="19" t="n">
        <v>3409</v>
      </c>
      <c r="AA738" s="19" t="n">
        <v>3281122</v>
      </c>
      <c r="AB738" s="29" t="n">
        <v>33.413</v>
      </c>
      <c r="AC738" s="29" t="n">
        <v>30.9595</v>
      </c>
      <c r="AD738" s="24" t="n">
        <f aca="false">IFERROR(AA738/AC738,0)</f>
        <v>105981.104346</v>
      </c>
      <c r="AE738" s="25" t="n">
        <f aca="false">K738-Q738-X738</f>
        <v>0</v>
      </c>
      <c r="AF738" s="25" t="n">
        <f aca="false">Q738-AA738</f>
        <v>0</v>
      </c>
      <c r="AG738" s="19" t="n">
        <v>3382599.89248902</v>
      </c>
      <c r="AH738" s="26" t="n">
        <f aca="false">IFERROR(AG738/Q738,0)</f>
        <v>1.03092780228502</v>
      </c>
      <c r="AI738" s="27" t="n">
        <v>382054644.808743</v>
      </c>
      <c r="AJ738" s="26" t="n">
        <f aca="false">IF(AI738&gt;0,AprCoef/SQRT(AI738),0)</f>
        <v>0.0242502153531978</v>
      </c>
      <c r="AK738" s="24" t="n">
        <f aca="false">AI738*AJ738/365</f>
        <v>25383.307981648</v>
      </c>
      <c r="AL738" s="24" t="n">
        <f aca="false">AD738</f>
        <v>105981.104346</v>
      </c>
      <c r="AM738" s="24" t="n">
        <f aca="false">AK738-AL738</f>
        <v>-80597.7963643525</v>
      </c>
      <c r="AN738" s="28" t="str">
        <f aca="false">IF(A738&gt;=Hip3LaunchDate,"YES","")</f>
        <v/>
      </c>
      <c r="AO738" s="28" t="str">
        <f aca="false">IF(A738&lt;Hip4LaunchDate,"pre-launch","live (zero-fee)")</f>
        <v>pre-launch</v>
      </c>
      <c r="AP738" s="20"/>
      <c r="AQ738" s="20"/>
      <c r="AR738" s="20"/>
    </row>
    <row r="739" customFormat="false" ht="15" hidden="false" customHeight="false" outlineLevel="0" collapsed="false">
      <c r="A739" s="18" t="n">
        <v>45800</v>
      </c>
      <c r="B739" s="19" t="n">
        <v>13132043868.87</v>
      </c>
      <c r="C739" s="19" t="n">
        <v>0</v>
      </c>
      <c r="D739" s="19" t="n">
        <v>590232173</v>
      </c>
      <c r="E739" s="21" t="n">
        <f aca="false">B739+C739</f>
        <v>13132043868.87</v>
      </c>
      <c r="F739" s="21" t="n">
        <f aca="false">E739+D739</f>
        <v>13722276041.87</v>
      </c>
      <c r="G739" s="22" t="n">
        <f aca="false">IFERROR(C739/E739,0)</f>
        <v>0</v>
      </c>
      <c r="H739" s="19" t="n">
        <v>3732017</v>
      </c>
      <c r="I739" s="19" t="n">
        <v>140903</v>
      </c>
      <c r="J739" s="19" t="n">
        <v>114494</v>
      </c>
      <c r="K739" s="21" t="n">
        <f aca="false">H739+I739</f>
        <v>3872920</v>
      </c>
      <c r="L739" s="20"/>
      <c r="M739" s="21" t="n">
        <f aca="false">H739-L739</f>
        <v>3732017</v>
      </c>
      <c r="N739" s="23" t="n">
        <f aca="false">IFERROR(M739/B739*10000,0)</f>
        <v>2.84191633630381</v>
      </c>
      <c r="O739" s="19" t="n">
        <v>3620057</v>
      </c>
      <c r="P739" s="19" t="n">
        <v>136676</v>
      </c>
      <c r="Q739" s="21" t="n">
        <f aca="false">O739+P739</f>
        <v>3756733</v>
      </c>
      <c r="R739" s="22" t="n">
        <f aca="false">IF(A739&lt;HlpChangeDate,HlpSharePre,HlpSharePost)</f>
        <v>0.03</v>
      </c>
      <c r="S739" s="21" t="n">
        <f aca="false">Q739*R739/(1-R739)</f>
        <v>116187.618556701</v>
      </c>
      <c r="T739" s="19" t="n">
        <v>114494</v>
      </c>
      <c r="U739" s="21" t="n">
        <f aca="false">S739-T739</f>
        <v>1693.61855670103</v>
      </c>
      <c r="V739" s="21" t="n">
        <f aca="false">Y739-O739*R739/(1-R739)</f>
        <v>0.474226804130012</v>
      </c>
      <c r="W739" s="21" t="n">
        <f aca="false">Z739-P739*R739/(1-R739)</f>
        <v>-0.0927835051543298</v>
      </c>
      <c r="X739" s="21" t="n">
        <f aca="false">S739+V739+W739</f>
        <v>116188</v>
      </c>
      <c r="Y739" s="19" t="n">
        <v>111961</v>
      </c>
      <c r="Z739" s="19" t="n">
        <v>4227</v>
      </c>
      <c r="AA739" s="19" t="n">
        <v>3756733</v>
      </c>
      <c r="AB739" s="29" t="n">
        <v>33.04</v>
      </c>
      <c r="AC739" s="29" t="n">
        <v>34.076</v>
      </c>
      <c r="AD739" s="24" t="n">
        <f aca="false">IFERROR(AA739/AC739,0)</f>
        <v>110245.715459561</v>
      </c>
      <c r="AE739" s="25" t="n">
        <f aca="false">K739-Q739-X739</f>
        <v>-1</v>
      </c>
      <c r="AF739" s="25" t="n">
        <f aca="false">Q739-AA739</f>
        <v>0</v>
      </c>
      <c r="AG739" s="19" t="n">
        <v>3816462.74984902</v>
      </c>
      <c r="AH739" s="26" t="n">
        <f aca="false">IFERROR(AG739/Q739,0)</f>
        <v>1.01589938647464</v>
      </c>
      <c r="AI739" s="27" t="n">
        <v>382191256.830601</v>
      </c>
      <c r="AJ739" s="26" t="n">
        <f aca="false">IF(AI739&gt;0,AprCoef/SQRT(AI739),0)</f>
        <v>0.0242458809172509</v>
      </c>
      <c r="AK739" s="24" t="n">
        <f aca="false">AI739*AJ739/365</f>
        <v>25387.8457554225</v>
      </c>
      <c r="AL739" s="24" t="n">
        <f aca="false">AD739</f>
        <v>110245.715459561</v>
      </c>
      <c r="AM739" s="24" t="n">
        <f aca="false">AK739-AL739</f>
        <v>-84857.8697041385</v>
      </c>
      <c r="AN739" s="28" t="str">
        <f aca="false">IF(A739&gt;=Hip3LaunchDate,"YES","")</f>
        <v/>
      </c>
      <c r="AO739" s="28" t="str">
        <f aca="false">IF(A739&lt;Hip4LaunchDate,"pre-launch","live (zero-fee)")</f>
        <v>pre-launch</v>
      </c>
      <c r="AP739" s="20"/>
      <c r="AQ739" s="20"/>
      <c r="AR739" s="20"/>
    </row>
    <row r="740" customFormat="false" ht="15" hidden="false" customHeight="false" outlineLevel="0" collapsed="false">
      <c r="A740" s="18" t="n">
        <v>45801</v>
      </c>
      <c r="B740" s="19" t="n">
        <v>7439669343.97</v>
      </c>
      <c r="C740" s="19" t="n">
        <v>0</v>
      </c>
      <c r="D740" s="19" t="n">
        <v>306849568</v>
      </c>
      <c r="E740" s="21" t="n">
        <f aca="false">B740+C740</f>
        <v>7439669343.97</v>
      </c>
      <c r="F740" s="21" t="n">
        <f aca="false">E740+D740</f>
        <v>7746518911.97</v>
      </c>
      <c r="G740" s="22" t="n">
        <f aca="false">IFERROR(C740/E740,0)</f>
        <v>0</v>
      </c>
      <c r="H740" s="19" t="n">
        <v>1878354</v>
      </c>
      <c r="I740" s="19" t="n">
        <v>63652</v>
      </c>
      <c r="J740" s="19" t="n">
        <v>59954</v>
      </c>
      <c r="K740" s="21" t="n">
        <f aca="false">H740+I740</f>
        <v>1942006</v>
      </c>
      <c r="L740" s="20"/>
      <c r="M740" s="21" t="n">
        <f aca="false">H740-L740</f>
        <v>1878354</v>
      </c>
      <c r="N740" s="23" t="n">
        <f aca="false">IFERROR(M740/B740*10000,0)</f>
        <v>2.52478156374308</v>
      </c>
      <c r="O740" s="19" t="n">
        <v>1822003</v>
      </c>
      <c r="P740" s="19" t="n">
        <v>61742</v>
      </c>
      <c r="Q740" s="21" t="n">
        <f aca="false">O740+P740</f>
        <v>1883745</v>
      </c>
      <c r="R740" s="22" t="n">
        <f aca="false">IF(A740&lt;HlpChangeDate,HlpSharePre,HlpSharePost)</f>
        <v>0.03</v>
      </c>
      <c r="S740" s="21" t="n">
        <f aca="false">Q740*R740/(1-R740)</f>
        <v>58260.1546391753</v>
      </c>
      <c r="T740" s="19" t="n">
        <v>59954</v>
      </c>
      <c r="U740" s="21" t="n">
        <f aca="false">S740-T740</f>
        <v>-1693.84536082474</v>
      </c>
      <c r="V740" s="21" t="n">
        <f aca="false">Y740-O740*R740/(1-R740)</f>
        <v>0.391752577321313</v>
      </c>
      <c r="W740" s="21" t="n">
        <f aca="false">Z740-P740*R740/(1-R740)</f>
        <v>0.453608247422608</v>
      </c>
      <c r="X740" s="21" t="n">
        <f aca="false">S740+V740+W740</f>
        <v>58261</v>
      </c>
      <c r="Y740" s="19" t="n">
        <v>56351</v>
      </c>
      <c r="Z740" s="19" t="n">
        <v>1910</v>
      </c>
      <c r="AA740" s="19" t="n">
        <v>1883745</v>
      </c>
      <c r="AB740" s="29" t="n">
        <v>34.795</v>
      </c>
      <c r="AC740" s="29" t="n">
        <v>34.088</v>
      </c>
      <c r="AD740" s="24" t="n">
        <f aca="false">IFERROR(AA740/AC740,0)</f>
        <v>55261.23562544</v>
      </c>
      <c r="AE740" s="25" t="n">
        <f aca="false">K740-Q740-X740</f>
        <v>0</v>
      </c>
      <c r="AF740" s="25" t="n">
        <f aca="false">Q740-AA740</f>
        <v>0</v>
      </c>
      <c r="AG740" s="19" t="n">
        <v>1998462.72571099</v>
      </c>
      <c r="AH740" s="26" t="n">
        <f aca="false">IFERROR(AG740/Q740,0)</f>
        <v>1.06089875525137</v>
      </c>
      <c r="AI740" s="27" t="n">
        <v>382327868.852459</v>
      </c>
      <c r="AJ740" s="26" t="n">
        <f aca="false">IF(AI740&gt;0,AprCoef/SQRT(AI740),0)</f>
        <v>0.0242415488046592</v>
      </c>
      <c r="AK740" s="24" t="n">
        <f aca="false">AI740*AJ740/365</f>
        <v>25392.3827182691</v>
      </c>
      <c r="AL740" s="24" t="n">
        <f aca="false">AD740</f>
        <v>55261.23562544</v>
      </c>
      <c r="AM740" s="24" t="n">
        <f aca="false">AK740-AL740</f>
        <v>-29868.8529071709</v>
      </c>
      <c r="AN740" s="28" t="str">
        <f aca="false">IF(A740&gt;=Hip3LaunchDate,"YES","")</f>
        <v/>
      </c>
      <c r="AO740" s="28" t="str">
        <f aca="false">IF(A740&lt;Hip4LaunchDate,"pre-launch","live (zero-fee)")</f>
        <v>pre-launch</v>
      </c>
      <c r="AP740" s="20"/>
      <c r="AQ740" s="20"/>
      <c r="AR740" s="20"/>
    </row>
    <row r="741" customFormat="false" ht="15" hidden="false" customHeight="false" outlineLevel="0" collapsed="false">
      <c r="A741" s="18" t="n">
        <v>45802</v>
      </c>
      <c r="B741" s="19" t="n">
        <v>9377129709.88</v>
      </c>
      <c r="C741" s="19" t="n">
        <v>0</v>
      </c>
      <c r="D741" s="19" t="n">
        <v>424503231</v>
      </c>
      <c r="E741" s="21" t="n">
        <f aca="false">B741+C741</f>
        <v>9377129709.88</v>
      </c>
      <c r="F741" s="21" t="n">
        <f aca="false">E741+D741</f>
        <v>9801632940.88</v>
      </c>
      <c r="G741" s="22" t="n">
        <f aca="false">IFERROR(C741/E741,0)</f>
        <v>0</v>
      </c>
      <c r="H741" s="19" t="n">
        <v>2416707</v>
      </c>
      <c r="I741" s="19" t="n">
        <v>93250</v>
      </c>
      <c r="J741" s="19" t="n">
        <v>75299</v>
      </c>
      <c r="K741" s="21" t="n">
        <f aca="false">H741+I741</f>
        <v>2509957</v>
      </c>
      <c r="L741" s="20"/>
      <c r="M741" s="21" t="n">
        <f aca="false">H741-L741</f>
        <v>2416707</v>
      </c>
      <c r="N741" s="23" t="n">
        <f aca="false">IFERROR(M741/B741*10000,0)</f>
        <v>2.57723533188806</v>
      </c>
      <c r="O741" s="19" t="n">
        <v>2344206</v>
      </c>
      <c r="P741" s="19" t="n">
        <v>90452</v>
      </c>
      <c r="Q741" s="21" t="n">
        <f aca="false">O741+P741</f>
        <v>2434658</v>
      </c>
      <c r="R741" s="22" t="n">
        <f aca="false">IF(A741&lt;HlpChangeDate,HlpSharePre,HlpSharePost)</f>
        <v>0.03</v>
      </c>
      <c r="S741" s="21" t="n">
        <f aca="false">Q741*R741/(1-R741)</f>
        <v>75298.7010309278</v>
      </c>
      <c r="T741" s="19" t="n">
        <v>75299</v>
      </c>
      <c r="U741" s="21" t="n">
        <f aca="false">S741-T741</f>
        <v>-0.29896907217335</v>
      </c>
      <c r="V741" s="21" t="n">
        <f aca="false">Y741-O741*R741/(1-R741)</f>
        <v>-0.216494845357374</v>
      </c>
      <c r="W741" s="21" t="n">
        <f aca="false">Z741-P741*R741/(1-R741)</f>
        <v>-0.484536082474278</v>
      </c>
      <c r="X741" s="21" t="n">
        <f aca="false">S741+V741+W741</f>
        <v>75298</v>
      </c>
      <c r="Y741" s="19" t="n">
        <v>72501</v>
      </c>
      <c r="Z741" s="19" t="n">
        <v>2797</v>
      </c>
      <c r="AA741" s="19" t="n">
        <v>2434658</v>
      </c>
      <c r="AB741" s="29" t="n">
        <v>39.094</v>
      </c>
      <c r="AC741" s="29" t="n">
        <v>36.72975</v>
      </c>
      <c r="AD741" s="24" t="n">
        <f aca="false">IFERROR(AA741/AC741,0)</f>
        <v>66285.722064539</v>
      </c>
      <c r="AE741" s="25" t="n">
        <f aca="false">K741-Q741-X741</f>
        <v>1</v>
      </c>
      <c r="AF741" s="25" t="n">
        <f aca="false">Q741-AA741</f>
        <v>0</v>
      </c>
      <c r="AG741" s="19" t="n">
        <v>2509956.51075798</v>
      </c>
      <c r="AH741" s="26" t="n">
        <f aca="false">IFERROR(AG741/Q741,0)</f>
        <v>1.03092775689973</v>
      </c>
      <c r="AI741" s="27" t="n">
        <v>382464480.874317</v>
      </c>
      <c r="AJ741" s="26" t="n">
        <f aca="false">IF(AI741&gt;0,AprCoef/SQRT(AI741),0)</f>
        <v>0.0242372190133479</v>
      </c>
      <c r="AK741" s="24" t="n">
        <f aca="false">AI741*AJ741/365</f>
        <v>25396.9188706225</v>
      </c>
      <c r="AL741" s="24" t="n">
        <f aca="false">AD741</f>
        <v>66285.722064539</v>
      </c>
      <c r="AM741" s="24" t="n">
        <f aca="false">AK741-AL741</f>
        <v>-40888.8031939164</v>
      </c>
      <c r="AN741" s="28" t="str">
        <f aca="false">IF(A741&gt;=Hip3LaunchDate,"YES","")</f>
        <v/>
      </c>
      <c r="AO741" s="28" t="str">
        <f aca="false">IF(A741&lt;Hip4LaunchDate,"pre-launch","live (zero-fee)")</f>
        <v>pre-launch</v>
      </c>
      <c r="AP741" s="20"/>
      <c r="AQ741" s="20"/>
      <c r="AR741" s="20"/>
    </row>
    <row r="742" customFormat="false" ht="15" hidden="false" customHeight="false" outlineLevel="0" collapsed="false">
      <c r="A742" s="18" t="n">
        <v>45803</v>
      </c>
      <c r="B742" s="19" t="n">
        <v>7002792387.16</v>
      </c>
      <c r="C742" s="19" t="n">
        <v>0</v>
      </c>
      <c r="D742" s="19" t="n">
        <v>409113491</v>
      </c>
      <c r="E742" s="21" t="n">
        <f aca="false">B742+C742</f>
        <v>7002792387.16</v>
      </c>
      <c r="F742" s="21" t="n">
        <f aca="false">E742+D742</f>
        <v>7411905878.16</v>
      </c>
      <c r="G742" s="22" t="n">
        <f aca="false">IFERROR(C742/E742,0)</f>
        <v>0</v>
      </c>
      <c r="H742" s="19" t="n">
        <v>1908799</v>
      </c>
      <c r="I742" s="19" t="n">
        <v>100179</v>
      </c>
      <c r="J742" s="19" t="n">
        <v>60269</v>
      </c>
      <c r="K742" s="21" t="n">
        <f aca="false">H742+I742</f>
        <v>2008978</v>
      </c>
      <c r="L742" s="20"/>
      <c r="M742" s="21" t="n">
        <f aca="false">H742-L742</f>
        <v>1908799</v>
      </c>
      <c r="N742" s="23" t="n">
        <f aca="false">IFERROR(M742/B742*10000,0)</f>
        <v>2.72576837134268</v>
      </c>
      <c r="O742" s="19" t="n">
        <v>1851535</v>
      </c>
      <c r="P742" s="19" t="n">
        <v>97173</v>
      </c>
      <c r="Q742" s="21" t="n">
        <f aca="false">O742+P742</f>
        <v>1948708</v>
      </c>
      <c r="R742" s="22" t="n">
        <f aca="false">IF(A742&lt;HlpChangeDate,HlpSharePre,HlpSharePost)</f>
        <v>0.03</v>
      </c>
      <c r="S742" s="21" t="n">
        <f aca="false">Q742*R742/(1-R742)</f>
        <v>60269.3195876289</v>
      </c>
      <c r="T742" s="19" t="n">
        <v>60269</v>
      </c>
      <c r="U742" s="21" t="n">
        <f aca="false">S742-T742</f>
        <v>0.319587628866429</v>
      </c>
      <c r="V742" s="21" t="n">
        <f aca="false">Y742-O742*R742/(1-R742)</f>
        <v>0.0309278350541717</v>
      </c>
      <c r="W742" s="21" t="n">
        <f aca="false">Z742-P742*R742/(1-R742)</f>
        <v>-0.350515463917873</v>
      </c>
      <c r="X742" s="21" t="n">
        <f aca="false">S742+V742+W742</f>
        <v>60269</v>
      </c>
      <c r="Y742" s="19" t="n">
        <v>57264</v>
      </c>
      <c r="Z742" s="19" t="n">
        <v>3005</v>
      </c>
      <c r="AA742" s="19" t="n">
        <v>1948708</v>
      </c>
      <c r="AB742" s="29" t="n">
        <v>37.057</v>
      </c>
      <c r="AC742" s="29" t="n">
        <v>38.1225</v>
      </c>
      <c r="AD742" s="24" t="n">
        <f aca="false">IFERROR(AA742/AC742,0)</f>
        <v>51117.0043937307</v>
      </c>
      <c r="AE742" s="25" t="n">
        <f aca="false">K742-Q742-X742</f>
        <v>1</v>
      </c>
      <c r="AF742" s="25" t="n">
        <f aca="false">Q742-AA742</f>
        <v>0</v>
      </c>
      <c r="AG742" s="19" t="n">
        <v>2008977.14233804</v>
      </c>
      <c r="AH742" s="26" t="n">
        <f aca="false">IFERROR(AG742/Q742,0)</f>
        <v>1.03092774409405</v>
      </c>
      <c r="AI742" s="27" t="n">
        <v>382601092.896175</v>
      </c>
      <c r="AJ742" s="26" t="n">
        <f aca="false">IF(AI742&gt;0,AprCoef/SQRT(AI742),0)</f>
        <v>0.0242328915412446</v>
      </c>
      <c r="AK742" s="24" t="n">
        <f aca="false">AI742*AJ742/365</f>
        <v>25401.4542129169</v>
      </c>
      <c r="AL742" s="24" t="n">
        <f aca="false">AD742</f>
        <v>51117.0043937307</v>
      </c>
      <c r="AM742" s="24" t="n">
        <f aca="false">AK742-AL742</f>
        <v>-25715.5501808138</v>
      </c>
      <c r="AN742" s="28" t="str">
        <f aca="false">IF(A742&gt;=Hip3LaunchDate,"YES","")</f>
        <v/>
      </c>
      <c r="AO742" s="28" t="str">
        <f aca="false">IF(A742&lt;Hip4LaunchDate,"pre-launch","live (zero-fee)")</f>
        <v>pre-launch</v>
      </c>
      <c r="AP742" s="20"/>
      <c r="AQ742" s="20"/>
      <c r="AR742" s="20"/>
    </row>
    <row r="743" customFormat="false" ht="15" hidden="false" customHeight="false" outlineLevel="0" collapsed="false">
      <c r="A743" s="18" t="n">
        <v>45804</v>
      </c>
      <c r="B743" s="19" t="n">
        <v>11173683374.34</v>
      </c>
      <c r="C743" s="19" t="n">
        <v>0</v>
      </c>
      <c r="D743" s="19" t="n">
        <v>403985493</v>
      </c>
      <c r="E743" s="21" t="n">
        <f aca="false">B743+C743</f>
        <v>11173683374.34</v>
      </c>
      <c r="F743" s="21" t="n">
        <f aca="false">E743+D743</f>
        <v>11577668867.34</v>
      </c>
      <c r="G743" s="22" t="n">
        <f aca="false">IFERROR(C743/E743,0)</f>
        <v>0</v>
      </c>
      <c r="H743" s="19" t="n">
        <v>3020950</v>
      </c>
      <c r="I743" s="19" t="n">
        <v>87270</v>
      </c>
      <c r="J743" s="19" t="n">
        <v>93247</v>
      </c>
      <c r="K743" s="21" t="n">
        <f aca="false">H743+I743</f>
        <v>3108220</v>
      </c>
      <c r="L743" s="20"/>
      <c r="M743" s="21" t="n">
        <f aca="false">H743-L743</f>
        <v>3020950</v>
      </c>
      <c r="N743" s="23" t="n">
        <f aca="false">IFERROR(M743/B743*10000,0)</f>
        <v>2.70362950048998</v>
      </c>
      <c r="O743" s="19" t="n">
        <v>2930322</v>
      </c>
      <c r="P743" s="19" t="n">
        <v>84652</v>
      </c>
      <c r="Q743" s="21" t="n">
        <f aca="false">O743+P743</f>
        <v>3014974</v>
      </c>
      <c r="R743" s="22" t="n">
        <f aca="false">IF(A743&lt;HlpChangeDate,HlpSharePre,HlpSharePost)</f>
        <v>0.03</v>
      </c>
      <c r="S743" s="21" t="n">
        <f aca="false">Q743*R743/(1-R743)</f>
        <v>93246.618556701</v>
      </c>
      <c r="T743" s="19" t="n">
        <v>93247</v>
      </c>
      <c r="U743" s="21" t="n">
        <f aca="false">S743-T743</f>
        <v>-0.381443298960221</v>
      </c>
      <c r="V743" s="21" t="n">
        <f aca="false">Y743-O743*R743/(1-R743)</f>
        <v>0.484536082469276</v>
      </c>
      <c r="W743" s="21" t="n">
        <f aca="false">Z743-P743*R743/(1-R743)</f>
        <v>-0.103092783504962</v>
      </c>
      <c r="X743" s="21" t="n">
        <f aca="false">S743+V743+W743</f>
        <v>93247</v>
      </c>
      <c r="Y743" s="19" t="n">
        <v>90629</v>
      </c>
      <c r="Z743" s="19" t="n">
        <v>2618</v>
      </c>
      <c r="AA743" s="19" t="n">
        <v>3014974</v>
      </c>
      <c r="AB743" s="29" t="n">
        <v>35.727</v>
      </c>
      <c r="AC743" s="29" t="n">
        <v>36.7975</v>
      </c>
      <c r="AD743" s="24" t="n">
        <f aca="false">IFERROR(AA743/AC743,0)</f>
        <v>81934.2074869217</v>
      </c>
      <c r="AE743" s="25" t="n">
        <f aca="false">K743-Q743-X743</f>
        <v>-1</v>
      </c>
      <c r="AF743" s="25" t="n">
        <f aca="false">Q743-AA743</f>
        <v>0</v>
      </c>
      <c r="AG743" s="19" t="n">
        <v>3108220.95184201</v>
      </c>
      <c r="AH743" s="26" t="n">
        <f aca="false">IFERROR(AG743/Q743,0)</f>
        <v>1.03092794559489</v>
      </c>
      <c r="AI743" s="27" t="n">
        <v>382737704.918033</v>
      </c>
      <c r="AJ743" s="26" t="n">
        <f aca="false">IF(AI743&gt;0,AprCoef/SQRT(AI743),0)</f>
        <v>0.0242285663862797</v>
      </c>
      <c r="AK743" s="24" t="n">
        <f aca="false">AI743*AJ743/365</f>
        <v>25405.988745586</v>
      </c>
      <c r="AL743" s="24" t="n">
        <f aca="false">AD743</f>
        <v>81934.2074869217</v>
      </c>
      <c r="AM743" s="24" t="n">
        <f aca="false">AK743-AL743</f>
        <v>-56528.2187413356</v>
      </c>
      <c r="AN743" s="28" t="str">
        <f aca="false">IF(A743&gt;=Hip3LaunchDate,"YES","")</f>
        <v/>
      </c>
      <c r="AO743" s="28" t="str">
        <f aca="false">IF(A743&lt;Hip4LaunchDate,"pre-launch","live (zero-fee)")</f>
        <v>pre-launch</v>
      </c>
      <c r="AP743" s="20"/>
      <c r="AQ743" s="20"/>
      <c r="AR743" s="20"/>
    </row>
    <row r="744" customFormat="false" ht="15" hidden="false" customHeight="false" outlineLevel="0" collapsed="false">
      <c r="A744" s="18" t="n">
        <v>45805</v>
      </c>
      <c r="B744" s="19" t="n">
        <v>9155802237.66</v>
      </c>
      <c r="C744" s="19" t="n">
        <v>0</v>
      </c>
      <c r="D744" s="19" t="n">
        <v>334144664</v>
      </c>
      <c r="E744" s="21" t="n">
        <f aca="false">B744+C744</f>
        <v>9155802237.66</v>
      </c>
      <c r="F744" s="21" t="n">
        <f aca="false">E744+D744</f>
        <v>9489946901.66</v>
      </c>
      <c r="G744" s="22" t="n">
        <f aca="false">IFERROR(C744/E744,0)</f>
        <v>0</v>
      </c>
      <c r="H744" s="19" t="n">
        <v>2445785</v>
      </c>
      <c r="I744" s="19" t="n">
        <v>82889</v>
      </c>
      <c r="J744" s="19" t="n">
        <v>75860</v>
      </c>
      <c r="K744" s="21" t="n">
        <f aca="false">H744+I744</f>
        <v>2528674</v>
      </c>
      <c r="L744" s="20"/>
      <c r="M744" s="21" t="n">
        <f aca="false">H744-L744</f>
        <v>2445785</v>
      </c>
      <c r="N744" s="23" t="n">
        <f aca="false">IFERROR(M744/B744*10000,0)</f>
        <v>2.67129513778695</v>
      </c>
      <c r="O744" s="19" t="n">
        <v>2372412</v>
      </c>
      <c r="P744" s="19" t="n">
        <v>80403</v>
      </c>
      <c r="Q744" s="21" t="n">
        <f aca="false">O744+P744</f>
        <v>2452815</v>
      </c>
      <c r="R744" s="22" t="n">
        <f aca="false">IF(A744&lt;HlpChangeDate,HlpSharePre,HlpSharePost)</f>
        <v>0.03</v>
      </c>
      <c r="S744" s="21" t="n">
        <f aca="false">Q744*R744/(1-R744)</f>
        <v>75860.2577319588</v>
      </c>
      <c r="T744" s="19" t="n">
        <v>75860</v>
      </c>
      <c r="U744" s="21" t="n">
        <f aca="false">S744-T744</f>
        <v>0.257731958758086</v>
      </c>
      <c r="V744" s="21" t="n">
        <f aca="false">Y744-O744*R744/(1-R744)</f>
        <v>0.432989690714749</v>
      </c>
      <c r="W744" s="21" t="n">
        <f aca="false">Z744-P744*R744/(1-R744)</f>
        <v>0.309278350515797</v>
      </c>
      <c r="X744" s="21" t="n">
        <f aca="false">S744+V744+W744</f>
        <v>75861</v>
      </c>
      <c r="Y744" s="19" t="n">
        <v>73374</v>
      </c>
      <c r="Z744" s="19" t="n">
        <v>2487</v>
      </c>
      <c r="AA744" s="19" t="n">
        <v>2452815</v>
      </c>
      <c r="AB744" s="29" t="n">
        <v>34.296</v>
      </c>
      <c r="AC744" s="29" t="n">
        <v>34.70625</v>
      </c>
      <c r="AD744" s="24" t="n">
        <f aca="false">IFERROR(AA744/AC744,0)</f>
        <v>70673.5818476499</v>
      </c>
      <c r="AE744" s="25" t="n">
        <f aca="false">K744-Q744-X744</f>
        <v>-1.99999999998545</v>
      </c>
      <c r="AF744" s="25" t="n">
        <f aca="false">Q744-AA744</f>
        <v>0</v>
      </c>
      <c r="AG744" s="19" t="n">
        <v>2528674.513771</v>
      </c>
      <c r="AH744" s="26" t="n">
        <f aca="false">IFERROR(AG744/Q744,0)</f>
        <v>1.03092753174251</v>
      </c>
      <c r="AI744" s="27" t="n">
        <v>382874316.939891</v>
      </c>
      <c r="AJ744" s="26" t="n">
        <f aca="false">IF(AI744&gt;0,AprCoef/SQRT(AI744),0)</f>
        <v>0.0242242435463861</v>
      </c>
      <c r="AK744" s="24" t="n">
        <f aca="false">AI744*AJ744/365</f>
        <v>25410.5224690634</v>
      </c>
      <c r="AL744" s="24" t="n">
        <f aca="false">AD744</f>
        <v>70673.5818476499</v>
      </c>
      <c r="AM744" s="24" t="n">
        <f aca="false">AK744-AL744</f>
        <v>-45263.0593785866</v>
      </c>
      <c r="AN744" s="28" t="str">
        <f aca="false">IF(A744&gt;=Hip3LaunchDate,"YES","")</f>
        <v/>
      </c>
      <c r="AO744" s="28" t="str">
        <f aca="false">IF(A744&lt;Hip4LaunchDate,"pre-launch","live (zero-fee)")</f>
        <v>pre-launch</v>
      </c>
      <c r="AP744" s="20"/>
      <c r="AQ744" s="20"/>
      <c r="AR744" s="20"/>
    </row>
    <row r="745" customFormat="false" ht="15" hidden="false" customHeight="false" outlineLevel="0" collapsed="false">
      <c r="A745" s="18" t="n">
        <v>45806</v>
      </c>
      <c r="B745" s="19" t="n">
        <v>10872328015.22</v>
      </c>
      <c r="C745" s="19" t="n">
        <v>0</v>
      </c>
      <c r="D745" s="19" t="n">
        <v>382861974</v>
      </c>
      <c r="E745" s="21" t="n">
        <f aca="false">B745+C745</f>
        <v>10872328015.22</v>
      </c>
      <c r="F745" s="21" t="n">
        <f aca="false">E745+D745</f>
        <v>11255189989.22</v>
      </c>
      <c r="G745" s="22" t="n">
        <f aca="false">IFERROR(C745/E745,0)</f>
        <v>0</v>
      </c>
      <c r="H745" s="19" t="n">
        <v>3046557</v>
      </c>
      <c r="I745" s="19" t="n">
        <v>88105</v>
      </c>
      <c r="J745" s="19" t="n">
        <v>92724</v>
      </c>
      <c r="K745" s="21" t="n">
        <f aca="false">H745+I745</f>
        <v>3134662</v>
      </c>
      <c r="L745" s="20"/>
      <c r="M745" s="21" t="n">
        <f aca="false">H745-L745</f>
        <v>3046557</v>
      </c>
      <c r="N745" s="23" t="n">
        <f aca="false">IFERROR(M745/B745*10000,0)</f>
        <v>2.80212020437129</v>
      </c>
      <c r="O745" s="19" t="n">
        <v>2955160</v>
      </c>
      <c r="P745" s="19" t="n">
        <v>85461</v>
      </c>
      <c r="Q745" s="21" t="n">
        <f aca="false">O745+P745</f>
        <v>3040621</v>
      </c>
      <c r="R745" s="22" t="n">
        <f aca="false">IF(A745&lt;HlpChangeDate,HlpSharePre,HlpSharePost)</f>
        <v>0.03</v>
      </c>
      <c r="S745" s="21" t="n">
        <f aca="false">Q745*R745/(1-R745)</f>
        <v>94039.824742268</v>
      </c>
      <c r="T745" s="19" t="n">
        <v>92724</v>
      </c>
      <c r="U745" s="21" t="n">
        <f aca="false">S745-T745</f>
        <v>1315.82474226803</v>
      </c>
      <c r="V745" s="21" t="n">
        <f aca="false">Y745-O745*R745/(1-R745)</f>
        <v>0.298969072158798</v>
      </c>
      <c r="W745" s="21" t="n">
        <f aca="false">Z745-P745*R745/(1-R745)</f>
        <v>-0.123711340206228</v>
      </c>
      <c r="X745" s="21" t="n">
        <f aca="false">S745+V745+W745</f>
        <v>94040</v>
      </c>
      <c r="Y745" s="19" t="n">
        <v>91397</v>
      </c>
      <c r="Z745" s="19" t="n">
        <v>2643</v>
      </c>
      <c r="AA745" s="19" t="n">
        <v>3040621</v>
      </c>
      <c r="AB745" s="29" t="n">
        <v>31.364</v>
      </c>
      <c r="AC745" s="29" t="n">
        <v>33.028</v>
      </c>
      <c r="AD745" s="24" t="n">
        <f aca="false">IFERROR(AA745/AC745,0)</f>
        <v>92061.9171611965</v>
      </c>
      <c r="AE745" s="25" t="n">
        <f aca="false">K745-Q745-X745</f>
        <v>1.00000000001455</v>
      </c>
      <c r="AF745" s="25" t="n">
        <f aca="false">Q745-AA745</f>
        <v>0</v>
      </c>
      <c r="AG745" s="19" t="n">
        <v>3090787.95334899</v>
      </c>
      <c r="AH745" s="26" t="n">
        <f aca="false">IFERROR(AG745/Q745,0)</f>
        <v>1.01649891694788</v>
      </c>
      <c r="AI745" s="27" t="n">
        <v>383010928.961749</v>
      </c>
      <c r="AJ745" s="26" t="n">
        <f aca="false">IF(AI745&gt;0,AprCoef/SQRT(AI745),0)</f>
        <v>0.0242199230194992</v>
      </c>
      <c r="AK745" s="24" t="n">
        <f aca="false">AI745*AJ745/365</f>
        <v>25415.055383782</v>
      </c>
      <c r="AL745" s="24" t="n">
        <f aca="false">AD745</f>
        <v>92061.9171611965</v>
      </c>
      <c r="AM745" s="24" t="n">
        <f aca="false">AK745-AL745</f>
        <v>-66646.8617774146</v>
      </c>
      <c r="AN745" s="28" t="str">
        <f aca="false">IF(A745&gt;=Hip3LaunchDate,"YES","")</f>
        <v/>
      </c>
      <c r="AO745" s="28" t="str">
        <f aca="false">IF(A745&lt;Hip4LaunchDate,"pre-launch","live (zero-fee)")</f>
        <v>pre-launch</v>
      </c>
      <c r="AP745" s="20"/>
      <c r="AQ745" s="20"/>
      <c r="AR745" s="20"/>
    </row>
    <row r="746" customFormat="false" ht="15" hidden="false" customHeight="false" outlineLevel="0" collapsed="false">
      <c r="A746" s="18" t="n">
        <v>45807</v>
      </c>
      <c r="B746" s="19" t="n">
        <v>10883704783.31</v>
      </c>
      <c r="C746" s="19" t="n">
        <v>0</v>
      </c>
      <c r="D746" s="19" t="n">
        <v>413767053</v>
      </c>
      <c r="E746" s="21" t="n">
        <f aca="false">B746+C746</f>
        <v>10883704783.31</v>
      </c>
      <c r="F746" s="21" t="n">
        <f aca="false">E746+D746</f>
        <v>11297471836.31</v>
      </c>
      <c r="G746" s="22" t="n">
        <f aca="false">IFERROR(C746/E746,0)</f>
        <v>0</v>
      </c>
      <c r="H746" s="19" t="n">
        <v>3003244</v>
      </c>
      <c r="I746" s="19" t="n">
        <v>87626</v>
      </c>
      <c r="J746" s="19" t="n">
        <v>93361</v>
      </c>
      <c r="K746" s="21" t="n">
        <f aca="false">H746+I746</f>
        <v>3090870</v>
      </c>
      <c r="L746" s="20"/>
      <c r="M746" s="21" t="n">
        <f aca="false">H746-L746</f>
        <v>3003244</v>
      </c>
      <c r="N746" s="23" t="n">
        <f aca="false">IFERROR(M746/B746*10000,0)</f>
        <v>2.75939494849716</v>
      </c>
      <c r="O746" s="19" t="n">
        <v>2913146</v>
      </c>
      <c r="P746" s="19" t="n">
        <v>84997</v>
      </c>
      <c r="Q746" s="21" t="n">
        <f aca="false">O746+P746</f>
        <v>2998143</v>
      </c>
      <c r="R746" s="22" t="n">
        <f aca="false">IF(A746&lt;HlpChangeDate,HlpSharePre,HlpSharePost)</f>
        <v>0.03</v>
      </c>
      <c r="S746" s="21" t="n">
        <f aca="false">Q746*R746/(1-R746)</f>
        <v>92726.0721649485</v>
      </c>
      <c r="T746" s="19" t="n">
        <v>93361</v>
      </c>
      <c r="U746" s="21" t="n">
        <f aca="false">S746-T746</f>
        <v>-634.927835051552</v>
      </c>
      <c r="V746" s="21" t="n">
        <f aca="false">Y746-O746*R746/(1-R746)</f>
        <v>-0.298969072158798</v>
      </c>
      <c r="W746" s="21" t="n">
        <f aca="false">Z746-P746*R746/(1-R746)</f>
        <v>0.226804123711645</v>
      </c>
      <c r="X746" s="21" t="n">
        <f aca="false">S746+V746+W746</f>
        <v>92726</v>
      </c>
      <c r="Y746" s="19" t="n">
        <v>90097</v>
      </c>
      <c r="Z746" s="19" t="n">
        <v>2629</v>
      </c>
      <c r="AA746" s="19" t="n">
        <v>2998143</v>
      </c>
      <c r="AB746" s="29" t="n">
        <v>32.8</v>
      </c>
      <c r="AC746" s="29" t="n">
        <v>32.26775</v>
      </c>
      <c r="AD746" s="24" t="n">
        <f aca="false">IFERROR(AA746/AC746,0)</f>
        <v>92914.5354107429</v>
      </c>
      <c r="AE746" s="25" t="n">
        <f aca="false">K746-Q746-X746</f>
        <v>1</v>
      </c>
      <c r="AF746" s="25" t="n">
        <f aca="false">Q746-AA746</f>
        <v>0</v>
      </c>
      <c r="AG746" s="19" t="n">
        <v>3112036.25489998</v>
      </c>
      <c r="AH746" s="26" t="n">
        <f aca="false">IFERROR(AG746/Q746,0)</f>
        <v>1.03798793283042</v>
      </c>
      <c r="AI746" s="27" t="n">
        <v>383147540.983607</v>
      </c>
      <c r="AJ746" s="26" t="n">
        <f aca="false">IF(AI746&gt;0,AprCoef/SQRT(AI746),0)</f>
        <v>0.024215604803557</v>
      </c>
      <c r="AK746" s="24" t="n">
        <f aca="false">AI746*AJ746/365</f>
        <v>25419.5874901745</v>
      </c>
      <c r="AL746" s="24" t="n">
        <f aca="false">AD746</f>
        <v>92914.5354107429</v>
      </c>
      <c r="AM746" s="24" t="n">
        <f aca="false">AK746-AL746</f>
        <v>-67494.9479205685</v>
      </c>
      <c r="AN746" s="28" t="str">
        <f aca="false">IF(A746&gt;=Hip3LaunchDate,"YES","")</f>
        <v/>
      </c>
      <c r="AO746" s="28" t="str">
        <f aca="false">IF(A746&lt;Hip4LaunchDate,"pre-launch","live (zero-fee)")</f>
        <v>pre-launch</v>
      </c>
      <c r="AP746" s="20"/>
      <c r="AQ746" s="20"/>
      <c r="AR746" s="20"/>
    </row>
    <row r="747" customFormat="false" ht="15" hidden="false" customHeight="false" outlineLevel="0" collapsed="false">
      <c r="A747" s="18" t="n">
        <v>45808</v>
      </c>
      <c r="B747" s="19" t="n">
        <v>4406569829.07</v>
      </c>
      <c r="C747" s="19" t="n">
        <v>0</v>
      </c>
      <c r="D747" s="19" t="n">
        <v>233353407</v>
      </c>
      <c r="E747" s="21" t="n">
        <f aca="false">B747+C747</f>
        <v>4406569829.07</v>
      </c>
      <c r="F747" s="21" t="n">
        <f aca="false">E747+D747</f>
        <v>4639923236.07</v>
      </c>
      <c r="G747" s="22" t="n">
        <f aca="false">IFERROR(C747/E747,0)</f>
        <v>0</v>
      </c>
      <c r="H747" s="19" t="n">
        <v>1217614</v>
      </c>
      <c r="I747" s="19" t="n">
        <v>48799</v>
      </c>
      <c r="J747" s="19" t="n">
        <v>38674</v>
      </c>
      <c r="K747" s="21" t="n">
        <f aca="false">H747+I747</f>
        <v>1266413</v>
      </c>
      <c r="L747" s="20"/>
      <c r="M747" s="21" t="n">
        <f aca="false">H747-L747</f>
        <v>1217614</v>
      </c>
      <c r="N747" s="23" t="n">
        <f aca="false">IFERROR(M747/B747*10000,0)</f>
        <v>2.76317872456585</v>
      </c>
      <c r="O747" s="19" t="n">
        <v>1181085</v>
      </c>
      <c r="P747" s="19" t="n">
        <v>47335</v>
      </c>
      <c r="Q747" s="21" t="n">
        <f aca="false">O747+P747</f>
        <v>1228420</v>
      </c>
      <c r="R747" s="22" t="n">
        <f aca="false">IF(A747&lt;HlpChangeDate,HlpSharePre,HlpSharePost)</f>
        <v>0.03</v>
      </c>
      <c r="S747" s="21" t="n">
        <f aca="false">Q747*R747/(1-R747)</f>
        <v>37992.3711340206</v>
      </c>
      <c r="T747" s="19" t="n">
        <v>38674</v>
      </c>
      <c r="U747" s="21" t="n">
        <f aca="false">S747-T747</f>
        <v>-681.628865979379</v>
      </c>
      <c r="V747" s="21" t="n">
        <f aca="false">Y747-O747*R747/(1-R747)</f>
        <v>-0.402061855667853</v>
      </c>
      <c r="W747" s="21" t="n">
        <f aca="false">Z747-P747*R747/(1-R747)</f>
        <v>0.0309278350514433</v>
      </c>
      <c r="X747" s="21" t="n">
        <f aca="false">S747+V747+W747</f>
        <v>37992</v>
      </c>
      <c r="Y747" s="19" t="n">
        <v>36528</v>
      </c>
      <c r="Z747" s="19" t="n">
        <v>1464</v>
      </c>
      <c r="AA747" s="19" t="n">
        <v>1228420</v>
      </c>
      <c r="AB747" s="29" t="n">
        <v>32.683</v>
      </c>
      <c r="AC747" s="29" t="n">
        <v>32.462</v>
      </c>
      <c r="AD747" s="24" t="n">
        <f aca="false">IFERROR(AA747/AC747,0)</f>
        <v>37841.7842400345</v>
      </c>
      <c r="AE747" s="25" t="n">
        <f aca="false">K747-Q747-X747</f>
        <v>0.999999999992724</v>
      </c>
      <c r="AF747" s="25" t="n">
        <f aca="false">Q747-AA747</f>
        <v>0</v>
      </c>
      <c r="AG747" s="19" t="n">
        <v>1289119.17633998</v>
      </c>
      <c r="AH747" s="26" t="n">
        <f aca="false">IFERROR(AG747/Q747,0)</f>
        <v>1.04941239668842</v>
      </c>
      <c r="AI747" s="27" t="n">
        <v>383284153.005465</v>
      </c>
      <c r="AJ747" s="26" t="n">
        <f aca="false">IF(AI747&gt;0,AprCoef/SQRT(AI747),0)</f>
        <v>0.0242112888965003</v>
      </c>
      <c r="AK747" s="24" t="n">
        <f aca="false">AI747*AJ747/365</f>
        <v>25424.1187886732</v>
      </c>
      <c r="AL747" s="24" t="n">
        <f aca="false">AD747</f>
        <v>37841.7842400345</v>
      </c>
      <c r="AM747" s="24" t="n">
        <f aca="false">AK747-AL747</f>
        <v>-12417.6654513613</v>
      </c>
      <c r="AN747" s="28" t="str">
        <f aca="false">IF(A747&gt;=Hip3LaunchDate,"YES","")</f>
        <v/>
      </c>
      <c r="AO747" s="28" t="str">
        <f aca="false">IF(A747&lt;Hip4LaunchDate,"pre-launch","live (zero-fee)")</f>
        <v>pre-launch</v>
      </c>
      <c r="AP747" s="20"/>
      <c r="AQ747" s="20"/>
      <c r="AR747" s="20"/>
    </row>
    <row r="748" customFormat="false" ht="15" hidden="false" customHeight="false" outlineLevel="0" collapsed="false">
      <c r="A748" s="18" t="n">
        <v>45809</v>
      </c>
      <c r="B748" s="19" t="n">
        <v>3705323553.67</v>
      </c>
      <c r="C748" s="19" t="n">
        <v>0</v>
      </c>
      <c r="D748" s="19" t="n">
        <v>194154451</v>
      </c>
      <c r="E748" s="21" t="n">
        <f aca="false">B748+C748</f>
        <v>3705323553.67</v>
      </c>
      <c r="F748" s="21" t="n">
        <f aca="false">E748+D748</f>
        <v>3899478004.67</v>
      </c>
      <c r="G748" s="22" t="n">
        <f aca="false">IFERROR(C748/E748,0)</f>
        <v>0</v>
      </c>
      <c r="H748" s="19" t="n">
        <v>1062700</v>
      </c>
      <c r="I748" s="19" t="n">
        <v>39195</v>
      </c>
      <c r="J748" s="19" t="n">
        <v>32918</v>
      </c>
      <c r="K748" s="21" t="n">
        <f aca="false">H748+I748</f>
        <v>1101895</v>
      </c>
      <c r="L748" s="20"/>
      <c r="M748" s="21" t="n">
        <f aca="false">H748-L748</f>
        <v>1062700</v>
      </c>
      <c r="N748" s="23" t="n">
        <f aca="false">IFERROR(M748/B748*10000,0)</f>
        <v>2.86803563739375</v>
      </c>
      <c r="O748" s="19" t="n">
        <v>1030819</v>
      </c>
      <c r="P748" s="19" t="n">
        <v>38019</v>
      </c>
      <c r="Q748" s="21" t="n">
        <f aca="false">O748+P748</f>
        <v>1068838</v>
      </c>
      <c r="R748" s="22" t="n">
        <f aca="false">IF(A748&lt;HlpChangeDate,HlpSharePre,HlpSharePost)</f>
        <v>0.03</v>
      </c>
      <c r="S748" s="21" t="n">
        <f aca="false">Q748*R748/(1-R748)</f>
        <v>33056.8453608247</v>
      </c>
      <c r="T748" s="19" t="n">
        <v>32918</v>
      </c>
      <c r="U748" s="21" t="n">
        <f aca="false">S748-T748</f>
        <v>138.845360824744</v>
      </c>
      <c r="V748" s="21" t="n">
        <f aca="false">Y748-O748*R748/(1-R748)</f>
        <v>0</v>
      </c>
      <c r="W748" s="21" t="n">
        <f aca="false">Z748-P748*R748/(1-R748)</f>
        <v>0.154639175257671</v>
      </c>
      <c r="X748" s="21" t="n">
        <f aca="false">S748+V748+W748</f>
        <v>33057</v>
      </c>
      <c r="Y748" s="19" t="n">
        <v>31881</v>
      </c>
      <c r="Z748" s="19" t="n">
        <v>1176</v>
      </c>
      <c r="AA748" s="19" t="n">
        <v>1068838</v>
      </c>
      <c r="AB748" s="29" t="n">
        <v>34.185</v>
      </c>
      <c r="AC748" s="29" t="n">
        <v>33.17125</v>
      </c>
      <c r="AD748" s="24" t="n">
        <f aca="false">IFERROR(AA748/AC748,0)</f>
        <v>32221.818592908</v>
      </c>
      <c r="AE748" s="25" t="n">
        <f aca="false">K748-Q748-X748</f>
        <v>0</v>
      </c>
      <c r="AF748" s="25" t="n">
        <f aca="false">Q748-AA748</f>
        <v>0</v>
      </c>
      <c r="AG748" s="19" t="n">
        <v>1097268.98843604</v>
      </c>
      <c r="AH748" s="26" t="n">
        <f aca="false">IFERROR(AG748/Q748,0)</f>
        <v>1.02659990422874</v>
      </c>
      <c r="AI748" s="27" t="n">
        <v>383420765.027322</v>
      </c>
      <c r="AJ748" s="26" t="n">
        <f aca="false">IF(AI748&gt;0,AprCoef/SQRT(AI748),0)</f>
        <v>0.0242069752962721</v>
      </c>
      <c r="AK748" s="24" t="n">
        <f aca="false">AI748*AJ748/365</f>
        <v>25428.64927971</v>
      </c>
      <c r="AL748" s="24" t="n">
        <f aca="false">AD748</f>
        <v>32221.818592908</v>
      </c>
      <c r="AM748" s="24" t="n">
        <f aca="false">AK748-AL748</f>
        <v>-6793.16931319803</v>
      </c>
      <c r="AN748" s="28" t="str">
        <f aca="false">IF(A748&gt;=Hip3LaunchDate,"YES","")</f>
        <v/>
      </c>
      <c r="AO748" s="28" t="str">
        <f aca="false">IF(A748&lt;Hip4LaunchDate,"pre-launch","live (zero-fee)")</f>
        <v>pre-launch</v>
      </c>
      <c r="AP748" s="20"/>
      <c r="AQ748" s="20"/>
      <c r="AR748" s="20"/>
    </row>
    <row r="749" customFormat="false" ht="15" hidden="false" customHeight="false" outlineLevel="0" collapsed="false">
      <c r="A749" s="18" t="n">
        <v>45810</v>
      </c>
      <c r="B749" s="19" t="n">
        <v>6302813236.9</v>
      </c>
      <c r="C749" s="19" t="n">
        <v>0</v>
      </c>
      <c r="D749" s="19" t="n">
        <v>324429799</v>
      </c>
      <c r="E749" s="21" t="n">
        <f aca="false">B749+C749</f>
        <v>6302813236.9</v>
      </c>
      <c r="F749" s="21" t="n">
        <f aca="false">E749+D749</f>
        <v>6627243035.9</v>
      </c>
      <c r="G749" s="22" t="n">
        <f aca="false">IFERROR(C749/E749,0)</f>
        <v>0</v>
      </c>
      <c r="H749" s="19" t="n">
        <v>1768525</v>
      </c>
      <c r="I749" s="19" t="n">
        <v>63756</v>
      </c>
      <c r="J749" s="19" t="n">
        <v>55107</v>
      </c>
      <c r="K749" s="21" t="n">
        <f aca="false">H749+I749</f>
        <v>1832281</v>
      </c>
      <c r="L749" s="20"/>
      <c r="M749" s="21" t="n">
        <f aca="false">H749-L749</f>
        <v>1768525</v>
      </c>
      <c r="N749" s="23" t="n">
        <f aca="false">IFERROR(M749/B749*10000,0)</f>
        <v>2.80592956435092</v>
      </c>
      <c r="O749" s="19" t="n">
        <v>1715469</v>
      </c>
      <c r="P749" s="19" t="n">
        <v>61843</v>
      </c>
      <c r="Q749" s="21" t="n">
        <f aca="false">O749+P749</f>
        <v>1777312</v>
      </c>
      <c r="R749" s="22" t="n">
        <f aca="false">IF(A749&lt;HlpChangeDate,HlpSharePre,HlpSharePost)</f>
        <v>0.03</v>
      </c>
      <c r="S749" s="21" t="n">
        <f aca="false">Q749*R749/(1-R749)</f>
        <v>54968.412371134</v>
      </c>
      <c r="T749" s="19" t="n">
        <v>55107</v>
      </c>
      <c r="U749" s="21" t="n">
        <f aca="false">S749-T749</f>
        <v>-138.587628865978</v>
      </c>
      <c r="V749" s="21" t="n">
        <f aca="false">Y749-O749*R749/(1-R749)</f>
        <v>0.257731958765362</v>
      </c>
      <c r="W749" s="21" t="n">
        <f aca="false">Z749-P749*R749/(1-R749)</f>
        <v>0.32989690721638</v>
      </c>
      <c r="X749" s="21" t="n">
        <f aca="false">S749+V749+W749</f>
        <v>54969</v>
      </c>
      <c r="Y749" s="19" t="n">
        <v>53056</v>
      </c>
      <c r="Z749" s="19" t="n">
        <v>1913</v>
      </c>
      <c r="AA749" s="19" t="n">
        <v>1777312</v>
      </c>
      <c r="AB749" s="29" t="n">
        <v>36.475</v>
      </c>
      <c r="AC749" s="29" t="n">
        <v>34.93025</v>
      </c>
      <c r="AD749" s="24" t="n">
        <f aca="false">IFERROR(AA749/AC749,0)</f>
        <v>50881.742901926</v>
      </c>
      <c r="AE749" s="25" t="n">
        <f aca="false">K749-Q749-X749</f>
        <v>0</v>
      </c>
      <c r="AF749" s="25" t="n">
        <f aca="false">Q749-AA749</f>
        <v>0</v>
      </c>
      <c r="AG749" s="19" t="n">
        <v>1836907.052252</v>
      </c>
      <c r="AH749" s="26" t="n">
        <f aca="false">IFERROR(AG749/Q749,0)</f>
        <v>1.03353100201428</v>
      </c>
      <c r="AI749" s="27" t="n">
        <v>383557377.04918</v>
      </c>
      <c r="AJ749" s="26" t="n">
        <f aca="false">IF(AI749&gt;0,AprCoef/SQRT(AI749),0)</f>
        <v>0.0242026640008183</v>
      </c>
      <c r="AK749" s="24" t="n">
        <f aca="false">AI749*AJ749/365</f>
        <v>25433.1789637164</v>
      </c>
      <c r="AL749" s="24" t="n">
        <f aca="false">AD749</f>
        <v>50881.742901926</v>
      </c>
      <c r="AM749" s="24" t="n">
        <f aca="false">AK749-AL749</f>
        <v>-25448.5639382096</v>
      </c>
      <c r="AN749" s="28" t="str">
        <f aca="false">IF(A749&gt;=Hip3LaunchDate,"YES","")</f>
        <v/>
      </c>
      <c r="AO749" s="28" t="str">
        <f aca="false">IF(A749&lt;Hip4LaunchDate,"pre-launch","live (zero-fee)")</f>
        <v>pre-launch</v>
      </c>
      <c r="AP749" s="20"/>
      <c r="AQ749" s="20"/>
      <c r="AR749" s="20"/>
    </row>
    <row r="750" customFormat="false" ht="15" hidden="false" customHeight="false" outlineLevel="0" collapsed="false">
      <c r="A750" s="18" t="n">
        <v>45811</v>
      </c>
      <c r="B750" s="19" t="n">
        <v>7303712733.69</v>
      </c>
      <c r="C750" s="19" t="n">
        <v>0</v>
      </c>
      <c r="D750" s="19" t="n">
        <v>337110241</v>
      </c>
      <c r="E750" s="21" t="n">
        <f aca="false">B750+C750</f>
        <v>7303712733.69</v>
      </c>
      <c r="F750" s="21" t="n">
        <f aca="false">E750+D750</f>
        <v>7640822974.69</v>
      </c>
      <c r="G750" s="22" t="n">
        <f aca="false">IFERROR(C750/E750,0)</f>
        <v>0</v>
      </c>
      <c r="H750" s="19" t="n">
        <v>2091008</v>
      </c>
      <c r="I750" s="19" t="n">
        <v>75516</v>
      </c>
      <c r="J750" s="19" t="n">
        <v>64496</v>
      </c>
      <c r="K750" s="21" t="n">
        <f aca="false">H750+I750</f>
        <v>2166524</v>
      </c>
      <c r="L750" s="20"/>
      <c r="M750" s="21" t="n">
        <f aca="false">H750-L750</f>
        <v>2091008</v>
      </c>
      <c r="N750" s="23" t="n">
        <f aca="false">IFERROR(M750/B750*10000,0)</f>
        <v>2.86293844821519</v>
      </c>
      <c r="O750" s="19" t="n">
        <v>2028278</v>
      </c>
      <c r="P750" s="19" t="n">
        <v>73250</v>
      </c>
      <c r="Q750" s="21" t="n">
        <f aca="false">O750+P750</f>
        <v>2101528</v>
      </c>
      <c r="R750" s="22" t="n">
        <f aca="false">IF(A750&lt;HlpChangeDate,HlpSharePre,HlpSharePost)</f>
        <v>0.03</v>
      </c>
      <c r="S750" s="21" t="n">
        <f aca="false">Q750*R750/(1-R750)</f>
        <v>64995.7113402062</v>
      </c>
      <c r="T750" s="19" t="n">
        <v>64496</v>
      </c>
      <c r="U750" s="21" t="n">
        <f aca="false">S750-T750</f>
        <v>499.71134020618</v>
      </c>
      <c r="V750" s="21" t="n">
        <f aca="false">Y750-O750*R750/(1-R750)</f>
        <v>-0.247422680411546</v>
      </c>
      <c r="W750" s="21" t="n">
        <f aca="false">Z750-P750*R750/(1-R750)</f>
        <v>-0.463917525773468</v>
      </c>
      <c r="X750" s="21" t="n">
        <f aca="false">S750+V750+W750</f>
        <v>64995</v>
      </c>
      <c r="Y750" s="19" t="n">
        <v>62730</v>
      </c>
      <c r="Z750" s="19" t="n">
        <v>2265</v>
      </c>
      <c r="AA750" s="19" t="n">
        <v>2101528</v>
      </c>
      <c r="AB750" s="29" t="n">
        <v>36.044</v>
      </c>
      <c r="AC750" s="29" t="n">
        <v>36.5915</v>
      </c>
      <c r="AD750" s="24" t="n">
        <f aca="false">IFERROR(AA750/AC750,0)</f>
        <v>57432.135878551</v>
      </c>
      <c r="AE750" s="25" t="n">
        <f aca="false">K750-Q750-X750</f>
        <v>1.00000000000728</v>
      </c>
      <c r="AF750" s="25" t="n">
        <f aca="false">Q750-AA750</f>
        <v>0</v>
      </c>
      <c r="AG750" s="19" t="n">
        <v>2149870.52764499</v>
      </c>
      <c r="AH750" s="26" t="n">
        <f aca="false">IFERROR(AG750/Q750,0)</f>
        <v>1.02300351346496</v>
      </c>
      <c r="AI750" s="27" t="n">
        <v>383693989.071038</v>
      </c>
      <c r="AJ750" s="26" t="n">
        <f aca="false">IF(AI750&gt;0,AprCoef/SQRT(AI750),0)</f>
        <v>0.0241983550080871</v>
      </c>
      <c r="AK750" s="24" t="n">
        <f aca="false">AI750*AJ750/365</f>
        <v>25437.7078411235</v>
      </c>
      <c r="AL750" s="24" t="n">
        <f aca="false">AD750</f>
        <v>57432.135878551</v>
      </c>
      <c r="AM750" s="24" t="n">
        <f aca="false">AK750-AL750</f>
        <v>-31994.4280374275</v>
      </c>
      <c r="AN750" s="28" t="str">
        <f aca="false">IF(A750&gt;=Hip3LaunchDate,"YES","")</f>
        <v/>
      </c>
      <c r="AO750" s="28" t="str">
        <f aca="false">IF(A750&lt;Hip4LaunchDate,"pre-launch","live (zero-fee)")</f>
        <v>pre-launch</v>
      </c>
      <c r="AP750" s="20"/>
      <c r="AQ750" s="20"/>
      <c r="AR750" s="20"/>
    </row>
    <row r="751" customFormat="false" ht="15" hidden="false" customHeight="false" outlineLevel="0" collapsed="false">
      <c r="A751" s="18" t="n">
        <v>45812</v>
      </c>
      <c r="B751" s="19" t="n">
        <v>5792362513.07</v>
      </c>
      <c r="C751" s="19" t="n">
        <v>0</v>
      </c>
      <c r="D751" s="19" t="n">
        <v>301159683</v>
      </c>
      <c r="E751" s="21" t="n">
        <f aca="false">B751+C751</f>
        <v>5792362513.07</v>
      </c>
      <c r="F751" s="21" t="n">
        <f aca="false">E751+D751</f>
        <v>6093522196.07</v>
      </c>
      <c r="G751" s="22" t="n">
        <f aca="false">IFERROR(C751/E751,0)</f>
        <v>0</v>
      </c>
      <c r="H751" s="19" t="n">
        <v>1629084</v>
      </c>
      <c r="I751" s="19" t="n">
        <v>65504</v>
      </c>
      <c r="J751" s="19" t="n">
        <v>51337</v>
      </c>
      <c r="K751" s="21" t="n">
        <f aca="false">H751+I751</f>
        <v>1694588</v>
      </c>
      <c r="L751" s="20"/>
      <c r="M751" s="21" t="n">
        <f aca="false">H751-L751</f>
        <v>1629084</v>
      </c>
      <c r="N751" s="23" t="n">
        <f aca="false">IFERROR(M751/B751*10000,0)</f>
        <v>2.81246899917625</v>
      </c>
      <c r="O751" s="19" t="n">
        <v>1580211</v>
      </c>
      <c r="P751" s="19" t="n">
        <v>63539</v>
      </c>
      <c r="Q751" s="21" t="n">
        <f aca="false">O751+P751</f>
        <v>1643750</v>
      </c>
      <c r="R751" s="22" t="n">
        <f aca="false">IF(A751&lt;HlpChangeDate,HlpSharePre,HlpSharePost)</f>
        <v>0.03</v>
      </c>
      <c r="S751" s="21" t="n">
        <f aca="false">Q751*R751/(1-R751)</f>
        <v>50837.6288659794</v>
      </c>
      <c r="T751" s="19" t="n">
        <v>51337</v>
      </c>
      <c r="U751" s="21" t="n">
        <f aca="false">S751-T751</f>
        <v>-499.371134020614</v>
      </c>
      <c r="V751" s="21" t="n">
        <f aca="false">Y751-O751*R751/(1-R751)</f>
        <v>0.494845360823092</v>
      </c>
      <c r="W751" s="21" t="n">
        <f aca="false">Z751-P751*R751/(1-R751)</f>
        <v>-0.123711340206</v>
      </c>
      <c r="X751" s="21" t="n">
        <f aca="false">S751+V751+W751</f>
        <v>50838</v>
      </c>
      <c r="Y751" s="19" t="n">
        <v>48873</v>
      </c>
      <c r="Z751" s="19" t="n">
        <v>1965</v>
      </c>
      <c r="AA751" s="19" t="n">
        <v>1643750</v>
      </c>
      <c r="AB751" s="29" t="n">
        <v>35.593</v>
      </c>
      <c r="AC751" s="29" t="n">
        <v>35.829</v>
      </c>
      <c r="AD751" s="24" t="n">
        <f aca="false">IFERROR(AA751/AC751,0)</f>
        <v>45877.6410170532</v>
      </c>
      <c r="AE751" s="25" t="n">
        <f aca="false">K751-Q751-X751</f>
        <v>0</v>
      </c>
      <c r="AF751" s="25" t="n">
        <f aca="false">Q751-AA751</f>
        <v>0</v>
      </c>
      <c r="AG751" s="19" t="n">
        <v>1711241.83835</v>
      </c>
      <c r="AH751" s="26" t="n">
        <f aca="false">IFERROR(AG751/Q751,0)</f>
        <v>1.04105967352091</v>
      </c>
      <c r="AI751" s="27" t="n">
        <v>383830601.092896</v>
      </c>
      <c r="AJ751" s="26" t="n">
        <f aca="false">IF(AI751&gt;0,AprCoef/SQRT(AI751),0)</f>
        <v>0.0241940483160294</v>
      </c>
      <c r="AK751" s="24" t="n">
        <f aca="false">AI751*AJ751/365</f>
        <v>25442.2359123621</v>
      </c>
      <c r="AL751" s="24" t="n">
        <f aca="false">AD751</f>
        <v>45877.6410170532</v>
      </c>
      <c r="AM751" s="24" t="n">
        <f aca="false">AK751-AL751</f>
        <v>-20435.4051046912</v>
      </c>
      <c r="AN751" s="28" t="str">
        <f aca="false">IF(A751&gt;=Hip3LaunchDate,"YES","")</f>
        <v/>
      </c>
      <c r="AO751" s="28" t="str">
        <f aca="false">IF(A751&lt;Hip4LaunchDate,"pre-launch","live (zero-fee)")</f>
        <v>pre-launch</v>
      </c>
      <c r="AP751" s="20"/>
      <c r="AQ751" s="20"/>
      <c r="AR751" s="20"/>
    </row>
    <row r="752" customFormat="false" ht="15" hidden="false" customHeight="false" outlineLevel="0" collapsed="false">
      <c r="A752" s="18" t="n">
        <v>45813</v>
      </c>
      <c r="B752" s="19" t="n">
        <v>10473782981.78</v>
      </c>
      <c r="C752" s="19" t="n">
        <v>0</v>
      </c>
      <c r="D752" s="19" t="n">
        <v>426427482</v>
      </c>
      <c r="E752" s="21" t="n">
        <f aca="false">B752+C752</f>
        <v>10473782981.78</v>
      </c>
      <c r="F752" s="21" t="n">
        <f aca="false">E752+D752</f>
        <v>10900210463.78</v>
      </c>
      <c r="G752" s="22" t="n">
        <f aca="false">IFERROR(C752/E752,0)</f>
        <v>0</v>
      </c>
      <c r="H752" s="19" t="n">
        <v>3006762</v>
      </c>
      <c r="I752" s="19" t="n">
        <v>93892</v>
      </c>
      <c r="J752" s="19" t="n">
        <v>93020</v>
      </c>
      <c r="K752" s="21" t="n">
        <f aca="false">H752+I752</f>
        <v>3100654</v>
      </c>
      <c r="L752" s="20"/>
      <c r="M752" s="21" t="n">
        <f aca="false">H752-L752</f>
        <v>3006762</v>
      </c>
      <c r="N752" s="23" t="n">
        <f aca="false">IFERROR(M752/B752*10000,0)</f>
        <v>2.87075071655629</v>
      </c>
      <c r="O752" s="19" t="n">
        <v>2916559</v>
      </c>
      <c r="P752" s="19" t="n">
        <v>91075</v>
      </c>
      <c r="Q752" s="21" t="n">
        <f aca="false">O752+P752</f>
        <v>3007634</v>
      </c>
      <c r="R752" s="22" t="n">
        <f aca="false">IF(A752&lt;HlpChangeDate,HlpSharePre,HlpSharePost)</f>
        <v>0.03</v>
      </c>
      <c r="S752" s="21" t="n">
        <f aca="false">Q752*R752/(1-R752)</f>
        <v>93019.6082474227</v>
      </c>
      <c r="T752" s="19" t="n">
        <v>93020</v>
      </c>
      <c r="U752" s="21" t="n">
        <f aca="false">S752-T752</f>
        <v>-0.391752577328589</v>
      </c>
      <c r="V752" s="21" t="n">
        <f aca="false">Y752-O752*R752/(1-R752)</f>
        <v>0.144329896909767</v>
      </c>
      <c r="W752" s="21" t="n">
        <f aca="false">Z752-P752*R752/(1-R752)</f>
        <v>0.247422680412456</v>
      </c>
      <c r="X752" s="21" t="n">
        <f aca="false">S752+V752+W752</f>
        <v>93020</v>
      </c>
      <c r="Y752" s="19" t="n">
        <v>90203</v>
      </c>
      <c r="Z752" s="19" t="n">
        <v>2817</v>
      </c>
      <c r="AA752" s="19" t="n">
        <v>3007634</v>
      </c>
      <c r="AB752" s="29" t="n">
        <v>33.971</v>
      </c>
      <c r="AC752" s="29" t="n">
        <v>34.5845</v>
      </c>
      <c r="AD752" s="24" t="n">
        <f aca="false">IFERROR(AA752/AC752,0)</f>
        <v>86964.7963683153</v>
      </c>
      <c r="AE752" s="25" t="n">
        <f aca="false">K752-Q752-X752</f>
        <v>0</v>
      </c>
      <c r="AF752" s="25" t="n">
        <f aca="false">Q752-AA752</f>
        <v>0</v>
      </c>
      <c r="AG752" s="19" t="n">
        <v>3100654.54604197</v>
      </c>
      <c r="AH752" s="26" t="n">
        <f aca="false">IFERROR(AG752/Q752,0)</f>
        <v>1.03092814685629</v>
      </c>
      <c r="AI752" s="27" t="n">
        <v>383967213.114754</v>
      </c>
      <c r="AJ752" s="26" t="n">
        <f aca="false">IF(AI752&gt;0,AprCoef/SQRT(AI752),0)</f>
        <v>0.0241897439225987</v>
      </c>
      <c r="AK752" s="24" t="n">
        <f aca="false">AI752*AJ752/365</f>
        <v>25446.7631778624</v>
      </c>
      <c r="AL752" s="24" t="n">
        <f aca="false">AD752</f>
        <v>86964.7963683153</v>
      </c>
      <c r="AM752" s="24" t="n">
        <f aca="false">AK752-AL752</f>
        <v>-61518.0331904529</v>
      </c>
      <c r="AN752" s="28" t="str">
        <f aca="false">IF(A752&gt;=Hip3LaunchDate,"YES","")</f>
        <v/>
      </c>
      <c r="AO752" s="28" t="str">
        <f aca="false">IF(A752&lt;Hip4LaunchDate,"pre-launch","live (zero-fee)")</f>
        <v>pre-launch</v>
      </c>
      <c r="AP752" s="20"/>
      <c r="AQ752" s="20"/>
      <c r="AR752" s="20"/>
    </row>
    <row r="753" customFormat="false" ht="15" hidden="false" customHeight="false" outlineLevel="0" collapsed="false">
      <c r="A753" s="18" t="n">
        <v>45814</v>
      </c>
      <c r="B753" s="19" t="n">
        <v>6130444265.57</v>
      </c>
      <c r="C753" s="19" t="n">
        <v>0</v>
      </c>
      <c r="D753" s="19" t="n">
        <v>263764756</v>
      </c>
      <c r="E753" s="21" t="n">
        <f aca="false">B753+C753</f>
        <v>6130444265.57</v>
      </c>
      <c r="F753" s="21" t="n">
        <f aca="false">E753+D753</f>
        <v>6394209021.57</v>
      </c>
      <c r="G753" s="22" t="n">
        <f aca="false">IFERROR(C753/E753,0)</f>
        <v>0</v>
      </c>
      <c r="H753" s="19" t="n">
        <v>1810563</v>
      </c>
      <c r="I753" s="19" t="n">
        <v>59380</v>
      </c>
      <c r="J753" s="19" t="n">
        <v>56098</v>
      </c>
      <c r="K753" s="21" t="n">
        <f aca="false">H753+I753</f>
        <v>1869943</v>
      </c>
      <c r="L753" s="20"/>
      <c r="M753" s="21" t="n">
        <f aca="false">H753-L753</f>
        <v>1810563</v>
      </c>
      <c r="N753" s="23" t="n">
        <f aca="false">IFERROR(M753/B753*10000,0)</f>
        <v>2.95339606978982</v>
      </c>
      <c r="O753" s="19" t="n">
        <v>1756246</v>
      </c>
      <c r="P753" s="19" t="n">
        <v>57599</v>
      </c>
      <c r="Q753" s="21" t="n">
        <f aca="false">O753+P753</f>
        <v>1813845</v>
      </c>
      <c r="R753" s="22" t="n">
        <f aca="false">IF(A753&lt;HlpChangeDate,HlpSharePre,HlpSharePost)</f>
        <v>0.03</v>
      </c>
      <c r="S753" s="21" t="n">
        <f aca="false">Q753*R753/(1-R753)</f>
        <v>56098.2989690722</v>
      </c>
      <c r="T753" s="19" t="n">
        <v>56098</v>
      </c>
      <c r="U753" s="21" t="n">
        <f aca="false">S753-T753</f>
        <v>0.298969072166074</v>
      </c>
      <c r="V753" s="21" t="n">
        <f aca="false">Y753-O753*R753/(1-R753)</f>
        <v>0.113402061855595</v>
      </c>
      <c r="W753" s="21" t="n">
        <f aca="false">Z753-P753*R753/(1-R753)</f>
        <v>-0.412371134020759</v>
      </c>
      <c r="X753" s="21" t="n">
        <f aca="false">S753+V753+W753</f>
        <v>56098</v>
      </c>
      <c r="Y753" s="19" t="n">
        <v>54317</v>
      </c>
      <c r="Z753" s="19" t="n">
        <v>1781</v>
      </c>
      <c r="AA753" s="19" t="n">
        <v>1813845</v>
      </c>
      <c r="AB753" s="29" t="n">
        <v>33.315</v>
      </c>
      <c r="AC753" s="29" t="n">
        <v>33.97675</v>
      </c>
      <c r="AD753" s="24" t="n">
        <f aca="false">IFERROR(AA753/AC753,0)</f>
        <v>53384.8881956043</v>
      </c>
      <c r="AE753" s="25" t="n">
        <f aca="false">K753-Q753-X753</f>
        <v>0</v>
      </c>
      <c r="AF753" s="25" t="n">
        <f aca="false">Q753-AA753</f>
        <v>0</v>
      </c>
      <c r="AG753" s="19" t="n">
        <v>1869943.57042402</v>
      </c>
      <c r="AH753" s="26" t="n">
        <f aca="false">IFERROR(AG753/Q753,0)</f>
        <v>1.03092798470874</v>
      </c>
      <c r="AI753" s="27" t="n">
        <v>384103825.136612</v>
      </c>
      <c r="AJ753" s="26" t="n">
        <f aca="false">IF(AI753&gt;0,AprCoef/SQRT(AI753),0)</f>
        <v>0.0241854418257509</v>
      </c>
      <c r="AK753" s="24" t="n">
        <f aca="false">AI753*AJ753/365</f>
        <v>25451.2896380546</v>
      </c>
      <c r="AL753" s="24" t="n">
        <f aca="false">AD753</f>
        <v>53384.8881956043</v>
      </c>
      <c r="AM753" s="24" t="n">
        <f aca="false">AK753-AL753</f>
        <v>-27933.5985575497</v>
      </c>
      <c r="AN753" s="28" t="str">
        <f aca="false">IF(A753&gt;=Hip3LaunchDate,"YES","")</f>
        <v/>
      </c>
      <c r="AO753" s="28" t="str">
        <f aca="false">IF(A753&lt;Hip4LaunchDate,"pre-launch","live (zero-fee)")</f>
        <v>pre-launch</v>
      </c>
      <c r="AP753" s="20"/>
      <c r="AQ753" s="20"/>
      <c r="AR753" s="20"/>
    </row>
    <row r="754" customFormat="false" ht="15" hidden="false" customHeight="false" outlineLevel="0" collapsed="false">
      <c r="A754" s="18" t="n">
        <v>45815</v>
      </c>
      <c r="B754" s="19" t="n">
        <v>3033732963.31</v>
      </c>
      <c r="C754" s="19" t="n">
        <v>0</v>
      </c>
      <c r="D754" s="19" t="n">
        <v>137044111</v>
      </c>
      <c r="E754" s="21" t="n">
        <f aca="false">B754+C754</f>
        <v>3033732963.31</v>
      </c>
      <c r="F754" s="21" t="n">
        <f aca="false">E754+D754</f>
        <v>3170777074.31</v>
      </c>
      <c r="G754" s="22" t="n">
        <f aca="false">IFERROR(C754/E754,0)</f>
        <v>0</v>
      </c>
      <c r="H754" s="19" t="n">
        <v>888062</v>
      </c>
      <c r="I754" s="19" t="n">
        <v>30975</v>
      </c>
      <c r="J754" s="19" t="n">
        <v>27571</v>
      </c>
      <c r="K754" s="21" t="n">
        <f aca="false">H754+I754</f>
        <v>919037</v>
      </c>
      <c r="L754" s="20"/>
      <c r="M754" s="21" t="n">
        <f aca="false">H754-L754</f>
        <v>888062</v>
      </c>
      <c r="N754" s="23" t="n">
        <f aca="false">IFERROR(M754/B754*10000,0)</f>
        <v>2.92729126373426</v>
      </c>
      <c r="O754" s="19" t="n">
        <v>861420</v>
      </c>
      <c r="P754" s="19" t="n">
        <v>30046</v>
      </c>
      <c r="Q754" s="21" t="n">
        <f aca="false">O754+P754</f>
        <v>891466</v>
      </c>
      <c r="R754" s="22" t="n">
        <f aca="false">IF(A754&lt;HlpChangeDate,HlpSharePre,HlpSharePost)</f>
        <v>0.03</v>
      </c>
      <c r="S754" s="21" t="n">
        <f aca="false">Q754*R754/(1-R754)</f>
        <v>27571.1134020619</v>
      </c>
      <c r="T754" s="19" t="n">
        <v>27571</v>
      </c>
      <c r="U754" s="21" t="n">
        <f aca="false">S754-T754</f>
        <v>0.113402061855595</v>
      </c>
      <c r="V754" s="21" t="n">
        <f aca="false">Y754-O754*R754/(1-R754)</f>
        <v>0.144329896909767</v>
      </c>
      <c r="W754" s="21" t="n">
        <f aca="false">Z754-P754*R754/(1-R754)</f>
        <v>-0.257731958762861</v>
      </c>
      <c r="X754" s="21" t="n">
        <f aca="false">S754+V754+W754</f>
        <v>27571</v>
      </c>
      <c r="Y754" s="19" t="n">
        <v>26642</v>
      </c>
      <c r="Z754" s="19" t="n">
        <v>929</v>
      </c>
      <c r="AA754" s="19" t="n">
        <v>891466</v>
      </c>
      <c r="AB754" s="29" t="n">
        <v>34.913</v>
      </c>
      <c r="AC754" s="29" t="n">
        <v>34.08975</v>
      </c>
      <c r="AD754" s="24" t="n">
        <f aca="false">IFERROR(AA754/AC754,0)</f>
        <v>26150.5584523207</v>
      </c>
      <c r="AE754" s="25" t="n">
        <f aca="false">K754-Q754-X754</f>
        <v>0</v>
      </c>
      <c r="AF754" s="25" t="n">
        <f aca="false">Q754-AA754</f>
        <v>0</v>
      </c>
      <c r="AG754" s="19" t="n">
        <v>919036.557870984</v>
      </c>
      <c r="AH754" s="26" t="n">
        <f aca="false">IFERROR(AG754/Q754,0)</f>
        <v>1.0309272118858</v>
      </c>
      <c r="AI754" s="27" t="n">
        <v>384240437.15847</v>
      </c>
      <c r="AJ754" s="26" t="n">
        <f aca="false">IF(AI754&gt;0,AprCoef/SQRT(AI754),0)</f>
        <v>0.0241811420234445</v>
      </c>
      <c r="AK754" s="24" t="n">
        <f aca="false">AI754*AJ754/365</f>
        <v>25455.8152933682</v>
      </c>
      <c r="AL754" s="24" t="n">
        <f aca="false">AD754</f>
        <v>26150.5584523207</v>
      </c>
      <c r="AM754" s="24" t="n">
        <f aca="false">AK754-AL754</f>
        <v>-694.743158952555</v>
      </c>
      <c r="AN754" s="28" t="str">
        <f aca="false">IF(A754&gt;=Hip3LaunchDate,"YES","")</f>
        <v/>
      </c>
      <c r="AO754" s="28" t="str">
        <f aca="false">IF(A754&lt;Hip4LaunchDate,"pre-launch","live (zero-fee)")</f>
        <v>pre-launch</v>
      </c>
      <c r="AP754" s="20"/>
      <c r="AQ754" s="20"/>
      <c r="AR754" s="20"/>
    </row>
    <row r="755" customFormat="false" ht="15" hidden="false" customHeight="false" outlineLevel="0" collapsed="false">
      <c r="A755" s="18" t="n">
        <v>45816</v>
      </c>
      <c r="B755" s="19" t="n">
        <v>3121700687.69</v>
      </c>
      <c r="C755" s="19" t="n">
        <v>0</v>
      </c>
      <c r="D755" s="19" t="n">
        <v>151362843</v>
      </c>
      <c r="E755" s="21" t="n">
        <f aca="false">B755+C755</f>
        <v>3121700687.69</v>
      </c>
      <c r="F755" s="21" t="n">
        <f aca="false">E755+D755</f>
        <v>3273063530.69</v>
      </c>
      <c r="G755" s="22" t="n">
        <f aca="false">IFERROR(C755/E755,0)</f>
        <v>0</v>
      </c>
      <c r="H755" s="20"/>
      <c r="I755" s="20"/>
      <c r="J755" s="20"/>
      <c r="K755" s="21" t="n">
        <f aca="false">H755+I755</f>
        <v>0</v>
      </c>
      <c r="L755" s="20"/>
      <c r="M755" s="21" t="n">
        <f aca="false">H755-L755</f>
        <v>0</v>
      </c>
      <c r="N755" s="23" t="n">
        <f aca="false">IFERROR(M755/B755*10000,0)</f>
        <v>0</v>
      </c>
      <c r="O755" s="20"/>
      <c r="P755" s="20"/>
      <c r="Q755" s="21" t="n">
        <f aca="false">O755+P755</f>
        <v>0</v>
      </c>
      <c r="R755" s="22" t="n">
        <f aca="false">IF(A755&lt;HlpChangeDate,HlpSharePre,HlpSharePost)</f>
        <v>0.03</v>
      </c>
      <c r="S755" s="21" t="n">
        <f aca="false">Q755*R755/(1-R755)</f>
        <v>0</v>
      </c>
      <c r="T755" s="20"/>
      <c r="U755" s="21" t="n">
        <f aca="false">S755-T755</f>
        <v>0</v>
      </c>
      <c r="V755" s="21" t="n">
        <f aca="false">Y755-O755*R755/(1-R755)</f>
        <v>0</v>
      </c>
      <c r="W755" s="21" t="n">
        <f aca="false">Z755-P755*R755/(1-R755)</f>
        <v>0</v>
      </c>
      <c r="X755" s="21" t="n">
        <f aca="false">S755+V755+W755</f>
        <v>0</v>
      </c>
      <c r="Y755" s="20"/>
      <c r="Z755" s="20"/>
      <c r="AA755" s="19" t="n">
        <v>0</v>
      </c>
      <c r="AB755" s="29" t="n">
        <v>34.983</v>
      </c>
      <c r="AC755" s="29" t="n">
        <v>35.171</v>
      </c>
      <c r="AD755" s="24" t="n">
        <f aca="false">IFERROR(AA755/AC755,0)</f>
        <v>0</v>
      </c>
      <c r="AE755" s="25" t="n">
        <f aca="false">K755-Q755-X755</f>
        <v>0</v>
      </c>
      <c r="AF755" s="25" t="n">
        <f aca="false">Q755-AA755</f>
        <v>0</v>
      </c>
      <c r="AG755" s="19" t="n">
        <v>278826.028957009</v>
      </c>
      <c r="AH755" s="26" t="n">
        <f aca="false">IFERROR(AG755/Q755,0)</f>
        <v>0</v>
      </c>
      <c r="AI755" s="27" t="n">
        <v>384377049.180328</v>
      </c>
      <c r="AJ755" s="26" t="n">
        <f aca="false">IF(AI755&gt;0,AprCoef/SQRT(AI755),0)</f>
        <v>0.0241768445136406</v>
      </c>
      <c r="AK755" s="24" t="n">
        <f aca="false">AI755*AJ755/365</f>
        <v>25460.3401442323</v>
      </c>
      <c r="AL755" s="24" t="n">
        <f aca="false">AD755</f>
        <v>0</v>
      </c>
      <c r="AM755" s="24" t="n">
        <f aca="false">AK755-AL755</f>
        <v>25460.3401442323</v>
      </c>
      <c r="AN755" s="28" t="str">
        <f aca="false">IF(A755&gt;=Hip3LaunchDate,"YES","")</f>
        <v/>
      </c>
      <c r="AO755" s="28" t="str">
        <f aca="false">IF(A755&lt;Hip4LaunchDate,"pre-launch","live (zero-fee)")</f>
        <v>pre-launch</v>
      </c>
      <c r="AP755" s="20"/>
      <c r="AQ755" s="20"/>
      <c r="AR755" s="20"/>
    </row>
    <row r="756" customFormat="false" ht="15" hidden="false" customHeight="false" outlineLevel="0" collapsed="false">
      <c r="A756" s="18" t="n">
        <v>45817</v>
      </c>
      <c r="B756" s="19" t="n">
        <v>7946952907.38</v>
      </c>
      <c r="C756" s="19" t="n">
        <v>0</v>
      </c>
      <c r="D756" s="19" t="n">
        <v>359240055</v>
      </c>
      <c r="E756" s="21" t="n">
        <f aca="false">B756+C756</f>
        <v>7946952907.38</v>
      </c>
      <c r="F756" s="21" t="n">
        <f aca="false">E756+D756</f>
        <v>8306192962.38</v>
      </c>
      <c r="G756" s="22" t="n">
        <f aca="false">IFERROR(C756/E756,0)</f>
        <v>0</v>
      </c>
      <c r="H756" s="20"/>
      <c r="I756" s="20"/>
      <c r="J756" s="20"/>
      <c r="K756" s="21" t="n">
        <f aca="false">H756+I756</f>
        <v>0</v>
      </c>
      <c r="L756" s="20"/>
      <c r="M756" s="21" t="n">
        <f aca="false">H756-L756</f>
        <v>0</v>
      </c>
      <c r="N756" s="23" t="n">
        <f aca="false">IFERROR(M756/B756*10000,0)</f>
        <v>0</v>
      </c>
      <c r="O756" s="20"/>
      <c r="P756" s="20"/>
      <c r="Q756" s="21" t="n">
        <f aca="false">O756+P756</f>
        <v>0</v>
      </c>
      <c r="R756" s="22" t="n">
        <f aca="false">IF(A756&lt;HlpChangeDate,HlpSharePre,HlpSharePost)</f>
        <v>0.03</v>
      </c>
      <c r="S756" s="21" t="n">
        <f aca="false">Q756*R756/(1-R756)</f>
        <v>0</v>
      </c>
      <c r="T756" s="20"/>
      <c r="U756" s="21" t="n">
        <f aca="false">S756-T756</f>
        <v>0</v>
      </c>
      <c r="V756" s="21" t="n">
        <f aca="false">Y756-O756*R756/(1-R756)</f>
        <v>0</v>
      </c>
      <c r="W756" s="21" t="n">
        <f aca="false">Z756-P756*R756/(1-R756)</f>
        <v>0</v>
      </c>
      <c r="X756" s="21" t="n">
        <f aca="false">S756+V756+W756</f>
        <v>0</v>
      </c>
      <c r="Y756" s="20"/>
      <c r="Z756" s="20"/>
      <c r="AA756" s="19" t="n">
        <v>0</v>
      </c>
      <c r="AB756" s="29" t="n">
        <v>38.855</v>
      </c>
      <c r="AC756" s="29" t="n">
        <v>36.87175</v>
      </c>
      <c r="AD756" s="24" t="n">
        <f aca="false">IFERROR(AA756/AC756,0)</f>
        <v>0</v>
      </c>
      <c r="AE756" s="25" t="n">
        <f aca="false">K756-Q756-X756</f>
        <v>0</v>
      </c>
      <c r="AF756" s="25" t="n">
        <f aca="false">Q756-AA756</f>
        <v>0</v>
      </c>
      <c r="AG756" s="19" t="n">
        <v>3169213.64198804</v>
      </c>
      <c r="AH756" s="26" t="n">
        <f aca="false">IFERROR(AG756/Q756,0)</f>
        <v>0</v>
      </c>
      <c r="AI756" s="27" t="n">
        <v>384513661.202186</v>
      </c>
      <c r="AJ756" s="26" t="n">
        <f aca="false">IF(AI756&gt;0,AprCoef/SQRT(AI756),0)</f>
        <v>0.0241725492943028</v>
      </c>
      <c r="AK756" s="24" t="n">
        <f aca="false">AI756*AJ756/365</f>
        <v>25464.8641910758</v>
      </c>
      <c r="AL756" s="24" t="n">
        <f aca="false">AD756</f>
        <v>0</v>
      </c>
      <c r="AM756" s="24" t="n">
        <f aca="false">AK756-AL756</f>
        <v>25464.8641910758</v>
      </c>
      <c r="AN756" s="28" t="str">
        <f aca="false">IF(A756&gt;=Hip3LaunchDate,"YES","")</f>
        <v/>
      </c>
      <c r="AO756" s="28" t="str">
        <f aca="false">IF(A756&lt;Hip4LaunchDate,"pre-launch","live (zero-fee)")</f>
        <v>pre-launch</v>
      </c>
      <c r="AP756" s="20"/>
      <c r="AQ756" s="20"/>
      <c r="AR756" s="20"/>
    </row>
    <row r="757" customFormat="false" ht="15" hidden="false" customHeight="false" outlineLevel="0" collapsed="false">
      <c r="A757" s="18" t="n">
        <v>45818</v>
      </c>
      <c r="B757" s="19" t="n">
        <v>8868062326.58</v>
      </c>
      <c r="C757" s="19" t="n">
        <v>0</v>
      </c>
      <c r="D757" s="19" t="n">
        <v>493501254</v>
      </c>
      <c r="E757" s="21" t="n">
        <f aca="false">B757+C757</f>
        <v>8868062326.58</v>
      </c>
      <c r="F757" s="21" t="n">
        <f aca="false">E757+D757</f>
        <v>9361563580.58</v>
      </c>
      <c r="G757" s="22" t="n">
        <f aca="false">IFERROR(C757/E757,0)</f>
        <v>0</v>
      </c>
      <c r="H757" s="19" t="n">
        <v>2654323</v>
      </c>
      <c r="I757" s="19" t="n">
        <v>115467</v>
      </c>
      <c r="J757" s="19" t="n">
        <v>83094</v>
      </c>
      <c r="K757" s="21" t="n">
        <f aca="false">H757+I757</f>
        <v>2769790</v>
      </c>
      <c r="L757" s="20"/>
      <c r="M757" s="21" t="n">
        <f aca="false">H757-L757</f>
        <v>2654323</v>
      </c>
      <c r="N757" s="23" t="n">
        <f aca="false">IFERROR(M757/B757*10000,0)</f>
        <v>2.99312623462768</v>
      </c>
      <c r="O757" s="19" t="n">
        <v>2574693</v>
      </c>
      <c r="P757" s="19" t="n">
        <v>112003</v>
      </c>
      <c r="Q757" s="21" t="n">
        <f aca="false">O757+P757</f>
        <v>2686696</v>
      </c>
      <c r="R757" s="22" t="n">
        <f aca="false">IF(A757&lt;HlpChangeDate,HlpSharePre,HlpSharePost)</f>
        <v>0.03</v>
      </c>
      <c r="S757" s="21" t="n">
        <f aca="false">Q757*R757/(1-R757)</f>
        <v>83093.6907216495</v>
      </c>
      <c r="T757" s="19" t="n">
        <v>83094</v>
      </c>
      <c r="U757" s="21" t="n">
        <f aca="false">S757-T757</f>
        <v>-0.309278350527165</v>
      </c>
      <c r="V757" s="21" t="n">
        <f aca="false">Y757-O757*R757/(1-R757)</f>
        <v>0.319587628866429</v>
      </c>
      <c r="W757" s="21" t="n">
        <f aca="false">Z757-P757*R757/(1-R757)</f>
        <v>-0.0103092783501779</v>
      </c>
      <c r="X757" s="21" t="n">
        <f aca="false">S757+V757+W757</f>
        <v>83094</v>
      </c>
      <c r="Y757" s="19" t="n">
        <v>79630</v>
      </c>
      <c r="Z757" s="19" t="n">
        <v>3464</v>
      </c>
      <c r="AA757" s="19" t="n">
        <v>2686696</v>
      </c>
      <c r="AB757" s="29" t="n">
        <v>42.186</v>
      </c>
      <c r="AC757" s="29" t="n">
        <v>40.454</v>
      </c>
      <c r="AD757" s="24" t="n">
        <f aca="false">IFERROR(AA757/AC757,0)</f>
        <v>66413.6055767044</v>
      </c>
      <c r="AE757" s="25" t="n">
        <f aca="false">K757-Q757-X757</f>
        <v>0</v>
      </c>
      <c r="AF757" s="25" t="n">
        <f aca="false">Q757-AA757</f>
        <v>0</v>
      </c>
      <c r="AG757" s="19" t="n">
        <v>2769790.25170898</v>
      </c>
      <c r="AH757" s="26" t="n">
        <f aca="false">IFERROR(AG757/Q757,0)</f>
        <v>1.03092804385349</v>
      </c>
      <c r="AI757" s="27" t="n">
        <v>384650273.224044</v>
      </c>
      <c r="AJ757" s="26" t="n">
        <f aca="false">IF(AI757&gt;0,AprCoef/SQRT(AI757),0)</f>
        <v>0.0241682563633971</v>
      </c>
      <c r="AK757" s="24" t="n">
        <f aca="false">AI757*AJ757/365</f>
        <v>25469.3874343272</v>
      </c>
      <c r="AL757" s="24" t="n">
        <f aca="false">AD757</f>
        <v>66413.6055767044</v>
      </c>
      <c r="AM757" s="24" t="n">
        <f aca="false">AK757-AL757</f>
        <v>-40944.2181423772</v>
      </c>
      <c r="AN757" s="28" t="str">
        <f aca="false">IF(A757&gt;=Hip3LaunchDate,"YES","")</f>
        <v/>
      </c>
      <c r="AO757" s="28" t="str">
        <f aca="false">IF(A757&lt;Hip4LaunchDate,"pre-launch","live (zero-fee)")</f>
        <v>pre-launch</v>
      </c>
      <c r="AP757" s="20"/>
      <c r="AQ757" s="20"/>
      <c r="AR757" s="20"/>
    </row>
    <row r="758" customFormat="false" ht="15" hidden="false" customHeight="false" outlineLevel="0" collapsed="false">
      <c r="A758" s="18" t="n">
        <v>45819</v>
      </c>
      <c r="B758" s="19" t="n">
        <v>8880849385.85</v>
      </c>
      <c r="C758" s="19" t="n">
        <v>0</v>
      </c>
      <c r="D758" s="19" t="n">
        <v>491823654</v>
      </c>
      <c r="E758" s="21" t="n">
        <f aca="false">B758+C758</f>
        <v>8880849385.85</v>
      </c>
      <c r="F758" s="21" t="n">
        <f aca="false">E758+D758</f>
        <v>9372673039.85</v>
      </c>
      <c r="G758" s="22" t="n">
        <f aca="false">IFERROR(C758/E758,0)</f>
        <v>0</v>
      </c>
      <c r="H758" s="19" t="n">
        <v>2653604</v>
      </c>
      <c r="I758" s="19" t="n">
        <v>105920</v>
      </c>
      <c r="J758" s="19" t="n">
        <v>82298</v>
      </c>
      <c r="K758" s="21" t="n">
        <f aca="false">H758+I758</f>
        <v>2759524</v>
      </c>
      <c r="L758" s="20"/>
      <c r="M758" s="21" t="n">
        <f aca="false">H758-L758</f>
        <v>2653604</v>
      </c>
      <c r="N758" s="23" t="n">
        <f aca="false">IFERROR(M758/B758*10000,0)</f>
        <v>2.9880069852643</v>
      </c>
      <c r="O758" s="19" t="n">
        <v>2573996</v>
      </c>
      <c r="P758" s="19" t="n">
        <v>102743</v>
      </c>
      <c r="Q758" s="21" t="n">
        <f aca="false">O758+P758</f>
        <v>2676739</v>
      </c>
      <c r="R758" s="22" t="n">
        <f aca="false">IF(A758&lt;HlpChangeDate,HlpSharePre,HlpSharePost)</f>
        <v>0.03</v>
      </c>
      <c r="S758" s="21" t="n">
        <f aca="false">Q758*R758/(1-R758)</f>
        <v>82785.7422680412</v>
      </c>
      <c r="T758" s="19" t="n">
        <v>82298</v>
      </c>
      <c r="U758" s="21" t="n">
        <f aca="false">S758-T758</f>
        <v>487.742268041242</v>
      </c>
      <c r="V758" s="21" t="n">
        <f aca="false">Y758-O758*R758/(1-R758)</f>
        <v>-0.123711340202135</v>
      </c>
      <c r="W758" s="21" t="n">
        <f aca="false">Z758-P758*R758/(1-R758)</f>
        <v>0.381443298968861</v>
      </c>
      <c r="X758" s="21" t="n">
        <f aca="false">S758+V758+W758</f>
        <v>82786</v>
      </c>
      <c r="Y758" s="19" t="n">
        <v>79608</v>
      </c>
      <c r="Z758" s="19" t="n">
        <v>3178</v>
      </c>
      <c r="AA758" s="19" t="n">
        <v>2676739</v>
      </c>
      <c r="AB758" s="29" t="n">
        <v>41.805</v>
      </c>
      <c r="AC758" s="29" t="n">
        <v>42.156</v>
      </c>
      <c r="AD758" s="24" t="n">
        <f aca="false">IFERROR(AA758/AC758,0)</f>
        <v>63496.0385235791</v>
      </c>
      <c r="AE758" s="25" t="n">
        <f aca="false">K758-Q758-X758</f>
        <v>-1.00000000001455</v>
      </c>
      <c r="AF758" s="25" t="n">
        <f aca="false">Q758-AA758</f>
        <v>0</v>
      </c>
      <c r="AG758" s="19" t="n">
        <v>2743278.61713499</v>
      </c>
      <c r="AH758" s="26" t="n">
        <f aca="false">IFERROR(AG758/Q758,0)</f>
        <v>1.02485846290392</v>
      </c>
      <c r="AI758" s="27" t="n">
        <v>384786885.245902</v>
      </c>
      <c r="AJ758" s="26" t="n">
        <f aca="false">IF(AI758&gt;0,AprCoef/SQRT(AI758),0)</f>
        <v>0.0241639657188923</v>
      </c>
      <c r="AK758" s="24" t="n">
        <f aca="false">AI758*AJ758/365</f>
        <v>25473.9098744146</v>
      </c>
      <c r="AL758" s="24" t="n">
        <f aca="false">AD758</f>
        <v>63496.0385235791</v>
      </c>
      <c r="AM758" s="24" t="n">
        <f aca="false">AK758-AL758</f>
        <v>-38022.1286491645</v>
      </c>
      <c r="AN758" s="28" t="str">
        <f aca="false">IF(A758&gt;=Hip3LaunchDate,"YES","")</f>
        <v/>
      </c>
      <c r="AO758" s="28" t="str">
        <f aca="false">IF(A758&lt;Hip4LaunchDate,"pre-launch","live (zero-fee)")</f>
        <v>pre-launch</v>
      </c>
      <c r="AP758" s="20"/>
      <c r="AQ758" s="20"/>
      <c r="AR758" s="20"/>
    </row>
    <row r="759" customFormat="false" ht="15" hidden="false" customHeight="false" outlineLevel="0" collapsed="false">
      <c r="A759" s="18" t="n">
        <v>45820</v>
      </c>
      <c r="B759" s="19" t="n">
        <v>9859976825.04</v>
      </c>
      <c r="C759" s="19" t="n">
        <v>0</v>
      </c>
      <c r="D759" s="19" t="n">
        <v>499156091</v>
      </c>
      <c r="E759" s="21" t="n">
        <f aca="false">B759+C759</f>
        <v>9859976825.04</v>
      </c>
      <c r="F759" s="21" t="n">
        <f aca="false">E759+D759</f>
        <v>10359132916.04</v>
      </c>
      <c r="G759" s="22" t="n">
        <f aca="false">IFERROR(C759/E759,0)</f>
        <v>0</v>
      </c>
      <c r="H759" s="19" t="n">
        <v>2909648</v>
      </c>
      <c r="I759" s="19" t="n">
        <v>95479</v>
      </c>
      <c r="J759" s="19" t="n">
        <v>90641</v>
      </c>
      <c r="K759" s="21" t="n">
        <f aca="false">H759+I759</f>
        <v>3005127</v>
      </c>
      <c r="L759" s="20"/>
      <c r="M759" s="21" t="n">
        <f aca="false">H759-L759</f>
        <v>2909648</v>
      </c>
      <c r="N759" s="23" t="n">
        <f aca="false">IFERROR(M759/B759*10000,0)</f>
        <v>2.95096839640715</v>
      </c>
      <c r="O759" s="19" t="n">
        <v>2822358</v>
      </c>
      <c r="P759" s="19" t="n">
        <v>92615</v>
      </c>
      <c r="Q759" s="21" t="n">
        <f aca="false">O759+P759</f>
        <v>2914973</v>
      </c>
      <c r="R759" s="22" t="n">
        <f aca="false">IF(A759&lt;HlpChangeDate,HlpSharePre,HlpSharePost)</f>
        <v>0.03</v>
      </c>
      <c r="S759" s="21" t="n">
        <f aca="false">Q759*R759/(1-R759)</f>
        <v>90153.8041237114</v>
      </c>
      <c r="T759" s="19" t="n">
        <v>90641</v>
      </c>
      <c r="U759" s="21" t="n">
        <f aca="false">S759-T759</f>
        <v>-487.19587628865</v>
      </c>
      <c r="V759" s="21" t="n">
        <f aca="false">Y759-O759*R759/(1-R759)</f>
        <v>-0.422680412360933</v>
      </c>
      <c r="W759" s="21" t="n">
        <f aca="false">Z759-P759*R759/(1-R759)</f>
        <v>-0.381443298968861</v>
      </c>
      <c r="X759" s="21" t="n">
        <f aca="false">S759+V759+W759</f>
        <v>90153</v>
      </c>
      <c r="Y759" s="19" t="n">
        <v>87289</v>
      </c>
      <c r="Z759" s="19" t="n">
        <v>2864</v>
      </c>
      <c r="AA759" s="19" t="n">
        <v>2914973</v>
      </c>
      <c r="AB759" s="29" t="n">
        <v>40.509</v>
      </c>
      <c r="AC759" s="29" t="n">
        <v>41.621</v>
      </c>
      <c r="AD759" s="24" t="n">
        <f aca="false">IFERROR(AA759/AC759,0)</f>
        <v>70036.1115782898</v>
      </c>
      <c r="AE759" s="25" t="n">
        <f aca="false">K759-Q759-X759</f>
        <v>0.999999999985448</v>
      </c>
      <c r="AF759" s="25" t="n">
        <f aca="false">Q759-AA759</f>
        <v>0</v>
      </c>
      <c r="AG759" s="19" t="n">
        <v>3021373.06398898</v>
      </c>
      <c r="AH759" s="26" t="n">
        <f aca="false">IFERROR(AG759/Q759,0)</f>
        <v>1.03650121767474</v>
      </c>
      <c r="AI759" s="27" t="n">
        <v>384923497.26776</v>
      </c>
      <c r="AJ759" s="26" t="n">
        <f aca="false">IF(AI759&gt;0,AprCoef/SQRT(AI759),0)</f>
        <v>0.0241596773587595</v>
      </c>
      <c r="AK759" s="24" t="n">
        <f aca="false">AI759*AJ759/365</f>
        <v>25478.4315117655</v>
      </c>
      <c r="AL759" s="24" t="n">
        <f aca="false">AD759</f>
        <v>70036.1115782898</v>
      </c>
      <c r="AM759" s="24" t="n">
        <f aca="false">AK759-AL759</f>
        <v>-44557.6800665243</v>
      </c>
      <c r="AN759" s="28" t="str">
        <f aca="false">IF(A759&gt;=Hip3LaunchDate,"YES","")</f>
        <v/>
      </c>
      <c r="AO759" s="28" t="str">
        <f aca="false">IF(A759&lt;Hip4LaunchDate,"pre-launch","live (zero-fee)")</f>
        <v>pre-launch</v>
      </c>
      <c r="AP759" s="20"/>
      <c r="AQ759" s="20"/>
      <c r="AR759" s="20"/>
    </row>
    <row r="760" customFormat="false" ht="15" hidden="false" customHeight="false" outlineLevel="0" collapsed="false">
      <c r="A760" s="18" t="n">
        <v>45821</v>
      </c>
      <c r="B760" s="19" t="n">
        <v>13286056841.77</v>
      </c>
      <c r="C760" s="19" t="n">
        <v>0</v>
      </c>
      <c r="D760" s="19" t="n">
        <v>642044619</v>
      </c>
      <c r="E760" s="21" t="n">
        <f aca="false">B760+C760</f>
        <v>13286056841.77</v>
      </c>
      <c r="F760" s="21" t="n">
        <f aca="false">E760+D760</f>
        <v>13928101460.77</v>
      </c>
      <c r="G760" s="22" t="n">
        <f aca="false">IFERROR(C760/E760,0)</f>
        <v>0</v>
      </c>
      <c r="H760" s="19" t="n">
        <v>3887429</v>
      </c>
      <c r="I760" s="19" t="n">
        <v>148721</v>
      </c>
      <c r="J760" s="19" t="n">
        <v>120410</v>
      </c>
      <c r="K760" s="21" t="n">
        <f aca="false">H760+I760</f>
        <v>4036150</v>
      </c>
      <c r="L760" s="20"/>
      <c r="M760" s="21" t="n">
        <f aca="false">H760-L760</f>
        <v>3887429</v>
      </c>
      <c r="N760" s="23" t="n">
        <f aca="false">IFERROR(M760/B760*10000,0)</f>
        <v>2.92594638597234</v>
      </c>
      <c r="O760" s="19" t="n">
        <v>3770806</v>
      </c>
      <c r="P760" s="19" t="n">
        <v>144260</v>
      </c>
      <c r="Q760" s="21" t="n">
        <f aca="false">O760+P760</f>
        <v>3915066</v>
      </c>
      <c r="R760" s="22" t="n">
        <f aca="false">IF(A760&lt;HlpChangeDate,HlpSharePre,HlpSharePost)</f>
        <v>0.03</v>
      </c>
      <c r="S760" s="21" t="n">
        <f aca="false">Q760*R760/(1-R760)</f>
        <v>121084.515463918</v>
      </c>
      <c r="T760" s="19" t="n">
        <v>120410</v>
      </c>
      <c r="U760" s="21" t="n">
        <f aca="false">S760-T760</f>
        <v>674.515463917531</v>
      </c>
      <c r="V760" s="21" t="n">
        <f aca="false">Y760-O760*R760/(1-R760)</f>
        <v>0.134020618555951</v>
      </c>
      <c r="W760" s="21" t="n">
        <f aca="false">Z760-P760*R760/(1-R760)</f>
        <v>0.350515463916963</v>
      </c>
      <c r="X760" s="21" t="n">
        <f aca="false">S760+V760+W760</f>
        <v>121085</v>
      </c>
      <c r="Y760" s="19" t="n">
        <v>116623</v>
      </c>
      <c r="Z760" s="19" t="n">
        <v>4462</v>
      </c>
      <c r="AA760" s="19" t="n">
        <v>3915066</v>
      </c>
      <c r="AB760" s="29" t="n">
        <v>42.277</v>
      </c>
      <c r="AC760" s="29" t="n">
        <v>40.66175</v>
      </c>
      <c r="AD760" s="24" t="n">
        <f aca="false">IFERROR(AA760/AC760,0)</f>
        <v>96283.7556179948</v>
      </c>
      <c r="AE760" s="25" t="n">
        <f aca="false">K760-Q760-X760</f>
        <v>-1</v>
      </c>
      <c r="AF760" s="25" t="n">
        <f aca="false">Q760-AA760</f>
        <v>0</v>
      </c>
      <c r="AG760" s="19" t="n">
        <v>4013650.87785804</v>
      </c>
      <c r="AH760" s="26" t="n">
        <f aca="false">IFERROR(AG760/Q760,0)</f>
        <v>1.02518089806354</v>
      </c>
      <c r="AI760" s="27" t="n">
        <v>385060109.289618</v>
      </c>
      <c r="AJ760" s="26" t="n">
        <f aca="false">IF(AI760&gt;0,AprCoef/SQRT(AI760),0)</f>
        <v>0.0241553912809724</v>
      </c>
      <c r="AK760" s="24" t="n">
        <f aca="false">AI760*AJ760/365</f>
        <v>25482.9523468074</v>
      </c>
      <c r="AL760" s="24" t="n">
        <f aca="false">AD760</f>
        <v>96283.7556179948</v>
      </c>
      <c r="AM760" s="24" t="n">
        <f aca="false">AK760-AL760</f>
        <v>-70800.8032711874</v>
      </c>
      <c r="AN760" s="28" t="str">
        <f aca="false">IF(A760&gt;=Hip3LaunchDate,"YES","")</f>
        <v/>
      </c>
      <c r="AO760" s="28" t="str">
        <f aca="false">IF(A760&lt;Hip4LaunchDate,"pre-launch","live (zero-fee)")</f>
        <v>pre-launch</v>
      </c>
      <c r="AP760" s="20"/>
      <c r="AQ760" s="20"/>
      <c r="AR760" s="20"/>
    </row>
    <row r="761" customFormat="false" ht="15" hidden="false" customHeight="false" outlineLevel="0" collapsed="false">
      <c r="A761" s="18" t="n">
        <v>45822</v>
      </c>
      <c r="B761" s="19" t="n">
        <v>4490469119.64</v>
      </c>
      <c r="C761" s="19" t="n">
        <v>0</v>
      </c>
      <c r="D761" s="19" t="n">
        <v>223313776</v>
      </c>
      <c r="E761" s="21" t="n">
        <f aca="false">B761+C761</f>
        <v>4490469119.64</v>
      </c>
      <c r="F761" s="21" t="n">
        <f aca="false">E761+D761</f>
        <v>4713782895.64</v>
      </c>
      <c r="G761" s="22" t="n">
        <f aca="false">IFERROR(C761/E761,0)</f>
        <v>0</v>
      </c>
      <c r="H761" s="19" t="n">
        <v>1261527</v>
      </c>
      <c r="I761" s="19" t="n">
        <v>53146</v>
      </c>
      <c r="J761" s="19" t="n">
        <v>39815</v>
      </c>
      <c r="K761" s="21" t="n">
        <f aca="false">H761+I761</f>
        <v>1314673</v>
      </c>
      <c r="L761" s="20"/>
      <c r="M761" s="21" t="n">
        <f aca="false">H761-L761</f>
        <v>1261527</v>
      </c>
      <c r="N761" s="23" t="n">
        <f aca="false">IFERROR(M761/B761*10000,0)</f>
        <v>2.80934344806526</v>
      </c>
      <c r="O761" s="19" t="n">
        <v>1223682</v>
      </c>
      <c r="P761" s="19" t="n">
        <v>51552</v>
      </c>
      <c r="Q761" s="21" t="n">
        <f aca="false">O761+P761</f>
        <v>1275234</v>
      </c>
      <c r="R761" s="22" t="n">
        <f aca="false">IF(A761&lt;HlpChangeDate,HlpSharePre,HlpSharePost)</f>
        <v>0.03</v>
      </c>
      <c r="S761" s="21" t="n">
        <f aca="false">Q761*R761/(1-R761)</f>
        <v>39440.2268041237</v>
      </c>
      <c r="T761" s="19" t="n">
        <v>39815</v>
      </c>
      <c r="U761" s="21" t="n">
        <f aca="false">S761-T761</f>
        <v>-374.773195876289</v>
      </c>
      <c r="V761" s="21" t="n">
        <f aca="false">Y761-O761*R761/(1-R761)</f>
        <v>0.164948453610123</v>
      </c>
      <c r="W761" s="21" t="n">
        <f aca="false">Z761-P761*R761/(1-R761)</f>
        <v>-0.391752577319494</v>
      </c>
      <c r="X761" s="21" t="n">
        <f aca="false">S761+V761+W761</f>
        <v>39440</v>
      </c>
      <c r="Y761" s="19" t="n">
        <v>37846</v>
      </c>
      <c r="Z761" s="19" t="n">
        <v>1594</v>
      </c>
      <c r="AA761" s="19" t="n">
        <v>1275234</v>
      </c>
      <c r="AB761" s="29" t="n">
        <v>40.107</v>
      </c>
      <c r="AC761" s="29" t="n">
        <v>40.9635</v>
      </c>
      <c r="AD761" s="24" t="n">
        <f aca="false">IFERROR(AA761/AC761,0)</f>
        <v>31130.9824599949</v>
      </c>
      <c r="AE761" s="25" t="n">
        <f aca="false">K761-Q761-X761</f>
        <v>-1</v>
      </c>
      <c r="AF761" s="25" t="n">
        <f aca="false">Q761-AA761</f>
        <v>0</v>
      </c>
      <c r="AG761" s="19" t="n">
        <v>1327158.17796999</v>
      </c>
      <c r="AH761" s="26" t="n">
        <f aca="false">IFERROR(AG761/Q761,0)</f>
        <v>1.04071737263121</v>
      </c>
      <c r="AI761" s="27" t="n">
        <v>385196721.311475</v>
      </c>
      <c r="AJ761" s="26" t="n">
        <f aca="false">IF(AI761&gt;0,AprCoef/SQRT(AI761),0)</f>
        <v>0.0241511074835072</v>
      </c>
      <c r="AK761" s="24" t="n">
        <f aca="false">AI761*AJ761/365</f>
        <v>25487.4723799671</v>
      </c>
      <c r="AL761" s="24" t="n">
        <f aca="false">AD761</f>
        <v>31130.9824599949</v>
      </c>
      <c r="AM761" s="24" t="n">
        <f aca="false">AK761-AL761</f>
        <v>-5643.51008002773</v>
      </c>
      <c r="AN761" s="28" t="str">
        <f aca="false">IF(A761&gt;=Hip3LaunchDate,"YES","")</f>
        <v/>
      </c>
      <c r="AO761" s="28" t="str">
        <f aca="false">IF(A761&lt;Hip4LaunchDate,"pre-launch","live (zero-fee)")</f>
        <v>pre-launch</v>
      </c>
      <c r="AP761" s="20"/>
      <c r="AQ761" s="20"/>
      <c r="AR761" s="20"/>
    </row>
    <row r="762" customFormat="false" ht="15" hidden="false" customHeight="false" outlineLevel="0" collapsed="false">
      <c r="A762" s="18" t="n">
        <v>45823</v>
      </c>
      <c r="B762" s="19" t="n">
        <v>4120559320.64</v>
      </c>
      <c r="C762" s="19" t="n">
        <v>0</v>
      </c>
      <c r="D762" s="19" t="n">
        <v>208088792</v>
      </c>
      <c r="E762" s="21" t="n">
        <f aca="false">B762+C762</f>
        <v>4120559320.64</v>
      </c>
      <c r="F762" s="21" t="n">
        <f aca="false">E762+D762</f>
        <v>4328648112.64</v>
      </c>
      <c r="G762" s="22" t="n">
        <f aca="false">IFERROR(C762/E762,0)</f>
        <v>0</v>
      </c>
      <c r="H762" s="19" t="n">
        <v>1158797</v>
      </c>
      <c r="I762" s="19" t="n">
        <v>39647</v>
      </c>
      <c r="J762" s="19" t="n">
        <v>36254</v>
      </c>
      <c r="K762" s="21" t="n">
        <f aca="false">H762+I762</f>
        <v>1198444</v>
      </c>
      <c r="L762" s="20"/>
      <c r="M762" s="21" t="n">
        <f aca="false">H762-L762</f>
        <v>1158797</v>
      </c>
      <c r="N762" s="23" t="n">
        <f aca="false">IFERROR(M762/B762*10000,0)</f>
        <v>2.81223229622142</v>
      </c>
      <c r="O762" s="19" t="n">
        <v>1124033</v>
      </c>
      <c r="P762" s="19" t="n">
        <v>38458</v>
      </c>
      <c r="Q762" s="21" t="n">
        <f aca="false">O762+P762</f>
        <v>1162491</v>
      </c>
      <c r="R762" s="22" t="n">
        <f aca="false">IF(A762&lt;HlpChangeDate,HlpSharePre,HlpSharePost)</f>
        <v>0.03</v>
      </c>
      <c r="S762" s="21" t="n">
        <f aca="false">Q762*R762/(1-R762)</f>
        <v>35953.3298969072</v>
      </c>
      <c r="T762" s="19" t="n">
        <v>36254</v>
      </c>
      <c r="U762" s="21" t="n">
        <f aca="false">S762-T762</f>
        <v>-300.670103092787</v>
      </c>
      <c r="V762" s="21" t="n">
        <f aca="false">Y762-O762*R762/(1-R762)</f>
        <v>0.0927835051552393</v>
      </c>
      <c r="W762" s="21" t="n">
        <f aca="false">Z762-P762*R762/(1-R762)</f>
        <v>-0.422680412371165</v>
      </c>
      <c r="X762" s="21" t="n">
        <f aca="false">S762+V762+W762</f>
        <v>35953</v>
      </c>
      <c r="Y762" s="19" t="n">
        <v>34764</v>
      </c>
      <c r="Z762" s="19" t="n">
        <v>1189</v>
      </c>
      <c r="AA762" s="19" t="n">
        <v>1162491</v>
      </c>
      <c r="AB762" s="29" t="n">
        <v>41.166</v>
      </c>
      <c r="AC762" s="29" t="n">
        <v>40.5925</v>
      </c>
      <c r="AD762" s="24" t="n">
        <f aca="false">IFERROR(AA762/AC762,0)</f>
        <v>28638.0735357517</v>
      </c>
      <c r="AE762" s="25" t="n">
        <f aca="false">K762-Q762-X762</f>
        <v>0</v>
      </c>
      <c r="AF762" s="25" t="n">
        <f aca="false">Q762-AA762</f>
        <v>0</v>
      </c>
      <c r="AG762" s="19" t="n">
        <v>1208458.29068899</v>
      </c>
      <c r="AH762" s="26" t="n">
        <f aca="false">IFERROR(AG762/Q762,0)</f>
        <v>1.03954206156348</v>
      </c>
      <c r="AI762" s="27" t="n">
        <v>385333333.333333</v>
      </c>
      <c r="AJ762" s="26" t="n">
        <f aca="false">IF(AI762&gt;0,AprCoef/SQRT(AI762),0)</f>
        <v>0.0241468259643426</v>
      </c>
      <c r="AK762" s="24" t="n">
        <f aca="false">AI762*AJ762/365</f>
        <v>25491.9916116713</v>
      </c>
      <c r="AL762" s="24" t="n">
        <f aca="false">AD762</f>
        <v>28638.0735357517</v>
      </c>
      <c r="AM762" s="24" t="n">
        <f aca="false">AK762-AL762</f>
        <v>-3146.08192408042</v>
      </c>
      <c r="AN762" s="28" t="str">
        <f aca="false">IF(A762&gt;=Hip3LaunchDate,"YES","")</f>
        <v/>
      </c>
      <c r="AO762" s="28" t="str">
        <f aca="false">IF(A762&lt;Hip4LaunchDate,"pre-launch","live (zero-fee)")</f>
        <v>pre-launch</v>
      </c>
      <c r="AP762" s="20"/>
      <c r="AQ762" s="20"/>
      <c r="AR762" s="20"/>
    </row>
    <row r="763" customFormat="false" ht="15" hidden="false" customHeight="false" outlineLevel="0" collapsed="false">
      <c r="A763" s="18" t="n">
        <v>45824</v>
      </c>
      <c r="B763" s="19" t="n">
        <v>9910445108.15</v>
      </c>
      <c r="C763" s="19" t="n">
        <v>0</v>
      </c>
      <c r="D763" s="19" t="n">
        <v>500000932</v>
      </c>
      <c r="E763" s="21" t="n">
        <f aca="false">B763+C763</f>
        <v>9910445108.15</v>
      </c>
      <c r="F763" s="21" t="n">
        <f aca="false">E763+D763</f>
        <v>10410446040.15</v>
      </c>
      <c r="G763" s="22" t="n">
        <f aca="false">IFERROR(C763/E763,0)</f>
        <v>0</v>
      </c>
      <c r="H763" s="19" t="n">
        <v>2838831</v>
      </c>
      <c r="I763" s="19" t="n">
        <v>103884</v>
      </c>
      <c r="J763" s="19" t="n">
        <v>86131</v>
      </c>
      <c r="K763" s="21" t="n">
        <f aca="false">H763+I763</f>
        <v>2942715</v>
      </c>
      <c r="L763" s="20"/>
      <c r="M763" s="21" t="n">
        <f aca="false">H763-L763</f>
        <v>2838831</v>
      </c>
      <c r="N763" s="23" t="n">
        <f aca="false">IFERROR(M763/B763*10000,0)</f>
        <v>2.86448385417669</v>
      </c>
      <c r="O763" s="19" t="n">
        <v>2753666</v>
      </c>
      <c r="P763" s="19" t="n">
        <v>100767</v>
      </c>
      <c r="Q763" s="21" t="n">
        <f aca="false">O763+P763</f>
        <v>2854433</v>
      </c>
      <c r="R763" s="22" t="n">
        <f aca="false">IF(A763&lt;HlpChangeDate,HlpSharePre,HlpSharePost)</f>
        <v>0.03</v>
      </c>
      <c r="S763" s="21" t="n">
        <f aca="false">Q763*R763/(1-R763)</f>
        <v>88281.4329896907</v>
      </c>
      <c r="T763" s="19" t="n">
        <v>86131</v>
      </c>
      <c r="U763" s="21" t="n">
        <f aca="false">S763-T763</f>
        <v>2150.43298969071</v>
      </c>
      <c r="V763" s="21" t="n">
        <f aca="false">Y763-O763*R763/(1-R763)</f>
        <v>0.0721649484621594</v>
      </c>
      <c r="W763" s="21" t="n">
        <f aca="false">Z763-P763*R763/(1-R763)</f>
        <v>0.494845360824911</v>
      </c>
      <c r="X763" s="21" t="n">
        <f aca="false">S763+V763+W763</f>
        <v>88282</v>
      </c>
      <c r="Y763" s="19" t="n">
        <v>85165</v>
      </c>
      <c r="Z763" s="19" t="n">
        <v>3117</v>
      </c>
      <c r="AA763" s="19" t="n">
        <v>2854433</v>
      </c>
      <c r="AB763" s="29" t="n">
        <v>41.899</v>
      </c>
      <c r="AC763" s="29" t="n">
        <v>42.375</v>
      </c>
      <c r="AD763" s="24" t="n">
        <f aca="false">IFERROR(AA763/AC763,0)</f>
        <v>67361.2507374631</v>
      </c>
      <c r="AE763" s="25" t="n">
        <f aca="false">K763-Q763-X763</f>
        <v>0</v>
      </c>
      <c r="AF763" s="25" t="n">
        <f aca="false">Q763-AA763</f>
        <v>0</v>
      </c>
      <c r="AG763" s="19" t="n">
        <v>2871026.65891701</v>
      </c>
      <c r="AH763" s="26" t="n">
        <f aca="false">IFERROR(AG763/Q763,0)</f>
        <v>1.00581329423988</v>
      </c>
      <c r="AI763" s="27" t="n">
        <v>385469945.355191</v>
      </c>
      <c r="AJ763" s="26" t="n">
        <f aca="false">IF(AI763&gt;0,AprCoef/SQRT(AI763),0)</f>
        <v>0.0241425467214598</v>
      </c>
      <c r="AK763" s="24" t="n">
        <f aca="false">AI763*AJ763/365</f>
        <v>25496.5100423459</v>
      </c>
      <c r="AL763" s="24" t="n">
        <f aca="false">AD763</f>
        <v>67361.2507374631</v>
      </c>
      <c r="AM763" s="24" t="n">
        <f aca="false">AK763-AL763</f>
        <v>-41864.7406951172</v>
      </c>
      <c r="AN763" s="28" t="str">
        <f aca="false">IF(A763&gt;=Hip3LaunchDate,"YES","")</f>
        <v/>
      </c>
      <c r="AO763" s="28" t="str">
        <f aca="false">IF(A763&lt;Hip4LaunchDate,"pre-launch","live (zero-fee)")</f>
        <v>pre-launch</v>
      </c>
      <c r="AP763" s="20"/>
      <c r="AQ763" s="20"/>
      <c r="AR763" s="20"/>
    </row>
    <row r="764" customFormat="false" ht="15" hidden="false" customHeight="false" outlineLevel="0" collapsed="false">
      <c r="A764" s="18" t="n">
        <v>45825</v>
      </c>
      <c r="B764" s="19" t="n">
        <v>11324625683.56</v>
      </c>
      <c r="C764" s="19" t="n">
        <v>0</v>
      </c>
      <c r="D764" s="19" t="n">
        <v>481779486</v>
      </c>
      <c r="E764" s="21" t="n">
        <f aca="false">B764+C764</f>
        <v>11324625683.56</v>
      </c>
      <c r="F764" s="21" t="n">
        <f aca="false">E764+D764</f>
        <v>11806405169.56</v>
      </c>
      <c r="G764" s="22" t="n">
        <f aca="false">IFERROR(C764/E764,0)</f>
        <v>0</v>
      </c>
      <c r="H764" s="19" t="n">
        <v>3268752</v>
      </c>
      <c r="I764" s="19" t="n">
        <v>119116</v>
      </c>
      <c r="J764" s="19" t="n">
        <v>103787</v>
      </c>
      <c r="K764" s="21" t="n">
        <f aca="false">H764+I764</f>
        <v>3387868</v>
      </c>
      <c r="L764" s="20"/>
      <c r="M764" s="21" t="n">
        <f aca="false">H764-L764</f>
        <v>3268752</v>
      </c>
      <c r="N764" s="23" t="n">
        <f aca="false">IFERROR(M764/B764*10000,0)</f>
        <v>2.88641063407973</v>
      </c>
      <c r="O764" s="19" t="n">
        <v>3170689</v>
      </c>
      <c r="P764" s="19" t="n">
        <v>115542</v>
      </c>
      <c r="Q764" s="21" t="n">
        <f aca="false">O764+P764</f>
        <v>3286231</v>
      </c>
      <c r="R764" s="22" t="n">
        <f aca="false">IF(A764&lt;HlpChangeDate,HlpSharePre,HlpSharePost)</f>
        <v>0.03</v>
      </c>
      <c r="S764" s="21" t="n">
        <f aca="false">Q764*R764/(1-R764)</f>
        <v>101636.010309278</v>
      </c>
      <c r="T764" s="19" t="n">
        <v>103787</v>
      </c>
      <c r="U764" s="21" t="n">
        <f aca="false">S764-T764</f>
        <v>-2150.98969072166</v>
      </c>
      <c r="V764" s="21" t="n">
        <f aca="false">Y764-O764*R764/(1-R764)</f>
        <v>0.45360824742238</v>
      </c>
      <c r="W764" s="21" t="n">
        <f aca="false">Z764-P764*R764/(1-R764)</f>
        <v>-0.463917525773013</v>
      </c>
      <c r="X764" s="21" t="n">
        <f aca="false">S764+V764+W764</f>
        <v>101636</v>
      </c>
      <c r="Y764" s="19" t="n">
        <v>98063</v>
      </c>
      <c r="Z764" s="19" t="n">
        <v>3573</v>
      </c>
      <c r="AA764" s="19" t="n">
        <v>3286231</v>
      </c>
      <c r="AB764" s="29" t="n">
        <v>39.98</v>
      </c>
      <c r="AC764" s="29" t="n">
        <v>40.90975</v>
      </c>
      <c r="AD764" s="24" t="n">
        <f aca="false">IFERROR(AA764/AC764,0)</f>
        <v>80328.7969249384</v>
      </c>
      <c r="AE764" s="25" t="n">
        <f aca="false">K764-Q764-X764</f>
        <v>1.00000000001455</v>
      </c>
      <c r="AF764" s="25" t="n">
        <f aca="false">Q764-AA764</f>
        <v>0</v>
      </c>
      <c r="AG764" s="19" t="n">
        <v>3459555.47643501</v>
      </c>
      <c r="AH764" s="26" t="n">
        <f aca="false">IFERROR(AG764/Q764,0)</f>
        <v>1.05274263325828</v>
      </c>
      <c r="AI764" s="27" t="n">
        <v>385606557.377049</v>
      </c>
      <c r="AJ764" s="26" t="n">
        <f aca="false">IF(AI764&gt;0,AprCoef/SQRT(AI764),0)</f>
        <v>0.0241382697528426</v>
      </c>
      <c r="AK764" s="24" t="n">
        <f aca="false">AI764*AJ764/365</f>
        <v>25501.027672417</v>
      </c>
      <c r="AL764" s="24" t="n">
        <f aca="false">AD764</f>
        <v>80328.7969249384</v>
      </c>
      <c r="AM764" s="24" t="n">
        <f aca="false">AK764-AL764</f>
        <v>-54827.7692525214</v>
      </c>
      <c r="AN764" s="28" t="str">
        <f aca="false">IF(A764&gt;=Hip3LaunchDate,"YES","")</f>
        <v/>
      </c>
      <c r="AO764" s="28" t="str">
        <f aca="false">IF(A764&lt;Hip4LaunchDate,"pre-launch","live (zero-fee)")</f>
        <v>pre-launch</v>
      </c>
      <c r="AP764" s="20"/>
      <c r="AQ764" s="20"/>
      <c r="AR764" s="20"/>
    </row>
    <row r="765" customFormat="false" ht="15" hidden="false" customHeight="false" outlineLevel="0" collapsed="false">
      <c r="A765" s="18" t="n">
        <v>45826</v>
      </c>
      <c r="B765" s="19" t="n">
        <v>7999530032.93</v>
      </c>
      <c r="C765" s="19" t="n">
        <v>0</v>
      </c>
      <c r="D765" s="19" t="n">
        <v>420606916</v>
      </c>
      <c r="E765" s="21" t="n">
        <f aca="false">B765+C765</f>
        <v>7999530032.93</v>
      </c>
      <c r="F765" s="21" t="n">
        <f aca="false">E765+D765</f>
        <v>8420136948.93</v>
      </c>
      <c r="G765" s="22" t="n">
        <f aca="false">IFERROR(C765/E765,0)</f>
        <v>0</v>
      </c>
      <c r="H765" s="19" t="n">
        <v>2288124</v>
      </c>
      <c r="I765" s="19" t="n">
        <v>88887</v>
      </c>
      <c r="J765" s="19" t="n">
        <v>71154</v>
      </c>
      <c r="K765" s="21" t="n">
        <f aca="false">H765+I765</f>
        <v>2377011</v>
      </c>
      <c r="L765" s="20"/>
      <c r="M765" s="21" t="n">
        <f aca="false">H765-L765</f>
        <v>2288124</v>
      </c>
      <c r="N765" s="23" t="n">
        <f aca="false">IFERROR(M765/B765*10000,0)</f>
        <v>2.86032303220434</v>
      </c>
      <c r="O765" s="19" t="n">
        <v>2219481</v>
      </c>
      <c r="P765" s="19" t="n">
        <v>86220</v>
      </c>
      <c r="Q765" s="21" t="n">
        <f aca="false">O765+P765</f>
        <v>2305701</v>
      </c>
      <c r="R765" s="22" t="n">
        <f aca="false">IF(A765&lt;HlpChangeDate,HlpSharePre,HlpSharePost)</f>
        <v>0.03</v>
      </c>
      <c r="S765" s="21" t="n">
        <f aca="false">Q765*R765/(1-R765)</f>
        <v>71310.3402061856</v>
      </c>
      <c r="T765" s="19" t="n">
        <v>71154</v>
      </c>
      <c r="U765" s="21" t="n">
        <f aca="false">S765-T765</f>
        <v>156.340206185574</v>
      </c>
      <c r="V765" s="21" t="n">
        <f aca="false">Y765-O765*R765/(1-R765)</f>
        <v>0.257731958772638</v>
      </c>
      <c r="W765" s="21" t="n">
        <f aca="false">Z765-P765*R765/(1-R765)</f>
        <v>0.402061855670127</v>
      </c>
      <c r="X765" s="21" t="n">
        <f aca="false">S765+V765+W765</f>
        <v>71311</v>
      </c>
      <c r="Y765" s="19" t="n">
        <v>68644</v>
      </c>
      <c r="Z765" s="19" t="n">
        <v>2667</v>
      </c>
      <c r="AA765" s="19" t="n">
        <v>2305701</v>
      </c>
      <c r="AB765" s="29" t="n">
        <v>39.45</v>
      </c>
      <c r="AC765" s="29" t="n">
        <v>39.52</v>
      </c>
      <c r="AD765" s="24" t="n">
        <f aca="false">IFERROR(AA765/AC765,0)</f>
        <v>58342.6366396761</v>
      </c>
      <c r="AE765" s="25" t="n">
        <f aca="false">K765-Q765-X765</f>
        <v>-1.00000000001455</v>
      </c>
      <c r="AF765" s="25" t="n">
        <f aca="false">Q765-AA765</f>
        <v>0</v>
      </c>
      <c r="AG765" s="19" t="n">
        <v>2371798.70942998</v>
      </c>
      <c r="AH765" s="26" t="n">
        <f aca="false">IFERROR(AG765/Q765,0)</f>
        <v>1.02866707757423</v>
      </c>
      <c r="AI765" s="27" t="n">
        <v>385743169.398907</v>
      </c>
      <c r="AJ765" s="26" t="n">
        <f aca="false">IF(AI765&gt;0,AprCoef/SQRT(AI765),0)</f>
        <v>0.0241339950564773</v>
      </c>
      <c r="AK765" s="24" t="n">
        <f aca="false">AI765*AJ765/365</f>
        <v>25505.5445023099</v>
      </c>
      <c r="AL765" s="24" t="n">
        <f aca="false">AD765</f>
        <v>58342.6366396761</v>
      </c>
      <c r="AM765" s="24" t="n">
        <f aca="false">AK765-AL765</f>
        <v>-32837.0921373663</v>
      </c>
      <c r="AN765" s="28" t="str">
        <f aca="false">IF(A765&gt;=Hip3LaunchDate,"YES","")</f>
        <v/>
      </c>
      <c r="AO765" s="28" t="str">
        <f aca="false">IF(A765&lt;Hip4LaunchDate,"pre-launch","live (zero-fee)")</f>
        <v>pre-launch</v>
      </c>
      <c r="AP765" s="20"/>
      <c r="AQ765" s="20"/>
      <c r="AR765" s="20"/>
    </row>
    <row r="766" customFormat="false" ht="15" hidden="false" customHeight="false" outlineLevel="0" collapsed="false">
      <c r="A766" s="18" t="n">
        <v>45827</v>
      </c>
      <c r="B766" s="19" t="n">
        <v>5309706181.65</v>
      </c>
      <c r="C766" s="19" t="n">
        <v>0</v>
      </c>
      <c r="D766" s="19" t="n">
        <v>309275966</v>
      </c>
      <c r="E766" s="21" t="n">
        <f aca="false">B766+C766</f>
        <v>5309706181.65</v>
      </c>
      <c r="F766" s="21" t="n">
        <f aca="false">E766+D766</f>
        <v>5618982147.65</v>
      </c>
      <c r="G766" s="22" t="n">
        <f aca="false">IFERROR(C766/E766,0)</f>
        <v>0</v>
      </c>
      <c r="H766" s="19" t="n">
        <v>1469442</v>
      </c>
      <c r="I766" s="19" t="n">
        <v>73911</v>
      </c>
      <c r="J766" s="19" t="n">
        <v>46457</v>
      </c>
      <c r="K766" s="21" t="n">
        <f aca="false">H766+I766</f>
        <v>1543353</v>
      </c>
      <c r="L766" s="20"/>
      <c r="M766" s="21" t="n">
        <f aca="false">H766-L766</f>
        <v>1469442</v>
      </c>
      <c r="N766" s="23" t="n">
        <f aca="false">IFERROR(M766/B766*10000,0)</f>
        <v>2.76746386660395</v>
      </c>
      <c r="O766" s="19" t="n">
        <v>1425358</v>
      </c>
      <c r="P766" s="19" t="n">
        <v>71693</v>
      </c>
      <c r="Q766" s="21" t="n">
        <f aca="false">O766+P766</f>
        <v>1497051</v>
      </c>
      <c r="R766" s="22" t="n">
        <f aca="false">IF(A766&lt;HlpChangeDate,HlpSharePre,HlpSharePost)</f>
        <v>0.03</v>
      </c>
      <c r="S766" s="21" t="n">
        <f aca="false">Q766*R766/(1-R766)</f>
        <v>46300.5463917526</v>
      </c>
      <c r="T766" s="19" t="n">
        <v>46457</v>
      </c>
      <c r="U766" s="21" t="n">
        <f aca="false">S766-T766</f>
        <v>-156.453608247422</v>
      </c>
      <c r="V766" s="21" t="n">
        <f aca="false">Y766-O766*R766/(1-R766)</f>
        <v>-0.23711340205773</v>
      </c>
      <c r="W766" s="21" t="n">
        <f aca="false">Z766-P766*R766/(1-R766)</f>
        <v>-0.309278350515342</v>
      </c>
      <c r="X766" s="21" t="n">
        <f aca="false">S766+V766+W766</f>
        <v>46300</v>
      </c>
      <c r="Y766" s="19" t="n">
        <v>44083</v>
      </c>
      <c r="Z766" s="19" t="n">
        <v>2217</v>
      </c>
      <c r="AA766" s="19" t="n">
        <v>1497051</v>
      </c>
      <c r="AB766" s="29" t="n">
        <v>36.872</v>
      </c>
      <c r="AC766" s="29" t="n">
        <v>38.016</v>
      </c>
      <c r="AD766" s="24" t="n">
        <f aca="false">IFERROR(AA766/AC766,0)</f>
        <v>39379.4981060606</v>
      </c>
      <c r="AE766" s="25" t="n">
        <f aca="false">K766-Q766-X766</f>
        <v>1.99999999999272</v>
      </c>
      <c r="AF766" s="25" t="n">
        <f aca="false">Q766-AA766</f>
        <v>0</v>
      </c>
      <c r="AG766" s="19" t="n">
        <v>1548564.77939302</v>
      </c>
      <c r="AH766" s="26" t="n">
        <f aca="false">IFERROR(AG766/Q766,0)</f>
        <v>1.03441016998954</v>
      </c>
      <c r="AI766" s="27" t="n">
        <v>385879781.420765</v>
      </c>
      <c r="AJ766" s="26" t="n">
        <f aca="false">IF(AI766&gt;0,AprCoef/SQRT(AI766),0)</f>
        <v>0.0241297226303524</v>
      </c>
      <c r="AK766" s="24" t="n">
        <f aca="false">AI766*AJ766/365</f>
        <v>25510.0605324495</v>
      </c>
      <c r="AL766" s="24" t="n">
        <f aca="false">AD766</f>
        <v>39379.4981060606</v>
      </c>
      <c r="AM766" s="24" t="n">
        <f aca="false">AK766-AL766</f>
        <v>-13869.4375736111</v>
      </c>
      <c r="AN766" s="28" t="str">
        <f aca="false">IF(A766&gt;=Hip3LaunchDate,"YES","")</f>
        <v/>
      </c>
      <c r="AO766" s="28" t="str">
        <f aca="false">IF(A766&lt;Hip4LaunchDate,"pre-launch","live (zero-fee)")</f>
        <v>pre-launch</v>
      </c>
      <c r="AP766" s="20"/>
      <c r="AQ766" s="20"/>
      <c r="AR766" s="20"/>
    </row>
    <row r="767" customFormat="false" ht="15" hidden="false" customHeight="false" outlineLevel="0" collapsed="false">
      <c r="A767" s="18" t="n">
        <v>45828</v>
      </c>
      <c r="B767" s="19" t="n">
        <v>8984765570.03</v>
      </c>
      <c r="C767" s="19" t="n">
        <v>0</v>
      </c>
      <c r="D767" s="19" t="n">
        <v>390870684</v>
      </c>
      <c r="E767" s="21" t="n">
        <f aca="false">B767+C767</f>
        <v>8984765570.03</v>
      </c>
      <c r="F767" s="21" t="n">
        <f aca="false">E767+D767</f>
        <v>9375636254.03</v>
      </c>
      <c r="G767" s="22" t="n">
        <f aca="false">IFERROR(C767/E767,0)</f>
        <v>0</v>
      </c>
      <c r="H767" s="19" t="n">
        <v>2544445</v>
      </c>
      <c r="I767" s="19" t="n">
        <v>93536</v>
      </c>
      <c r="J767" s="19" t="n">
        <v>79000</v>
      </c>
      <c r="K767" s="21" t="n">
        <f aca="false">H767+I767</f>
        <v>2637981</v>
      </c>
      <c r="L767" s="20"/>
      <c r="M767" s="21" t="n">
        <f aca="false">H767-L767</f>
        <v>2544445</v>
      </c>
      <c r="N767" s="23" t="n">
        <f aca="false">IFERROR(M767/B767*10000,0)</f>
        <v>2.83195480190086</v>
      </c>
      <c r="O767" s="19" t="n">
        <v>2468112</v>
      </c>
      <c r="P767" s="19" t="n">
        <v>90730</v>
      </c>
      <c r="Q767" s="21" t="n">
        <f aca="false">O767+P767</f>
        <v>2558842</v>
      </c>
      <c r="R767" s="22" t="n">
        <f aca="false">IF(A767&lt;HlpChangeDate,HlpSharePre,HlpSharePost)</f>
        <v>0.03</v>
      </c>
      <c r="S767" s="21" t="n">
        <f aca="false">Q767*R767/(1-R767)</f>
        <v>79139.4432989691</v>
      </c>
      <c r="T767" s="19" t="n">
        <v>79000</v>
      </c>
      <c r="U767" s="21" t="n">
        <f aca="false">S767-T767</f>
        <v>139.443298969069</v>
      </c>
      <c r="V767" s="21" t="n">
        <f aca="false">Y767-O767*R767/(1-R767)</f>
        <v>-0.360824742267141</v>
      </c>
      <c r="W767" s="21" t="n">
        <f aca="false">Z767-P767*R767/(1-R767)</f>
        <v>-0.0824742268041518</v>
      </c>
      <c r="X767" s="21" t="n">
        <f aca="false">S767+V767+W767</f>
        <v>79139</v>
      </c>
      <c r="Y767" s="19" t="n">
        <v>76333</v>
      </c>
      <c r="Z767" s="19" t="n">
        <v>2806</v>
      </c>
      <c r="AA767" s="19" t="n">
        <v>2558842</v>
      </c>
      <c r="AB767" s="29" t="n">
        <v>33.338</v>
      </c>
      <c r="AC767" s="29" t="n">
        <v>35.29225</v>
      </c>
      <c r="AD767" s="24" t="n">
        <f aca="false">IFERROR(AA767/AC767,0)</f>
        <v>72504.3600223845</v>
      </c>
      <c r="AE767" s="25" t="n">
        <f aca="false">K767-Q767-X767</f>
        <v>0</v>
      </c>
      <c r="AF767" s="25" t="n">
        <f aca="false">Q767-AA767</f>
        <v>0</v>
      </c>
      <c r="AG767" s="19" t="n">
        <v>2633335.578888</v>
      </c>
      <c r="AH767" s="26" t="n">
        <f aca="false">IFERROR(AG767/Q767,0)</f>
        <v>1.02911222298524</v>
      </c>
      <c r="AI767" s="27" t="n">
        <v>386016393.442623</v>
      </c>
      <c r="AJ767" s="26" t="n">
        <f aca="false">IF(AI767&gt;0,AprCoef/SQRT(AI767),0)</f>
        <v>0.0241254524724593</v>
      </c>
      <c r="AK767" s="24" t="n">
        <f aca="false">AI767*AJ767/365</f>
        <v>25514.5757632607</v>
      </c>
      <c r="AL767" s="24" t="n">
        <f aca="false">AD767</f>
        <v>72504.3600223845</v>
      </c>
      <c r="AM767" s="24" t="n">
        <f aca="false">AK767-AL767</f>
        <v>-46989.7842591238</v>
      </c>
      <c r="AN767" s="28" t="str">
        <f aca="false">IF(A767&gt;=Hip3LaunchDate,"YES","")</f>
        <v/>
      </c>
      <c r="AO767" s="28" t="str">
        <f aca="false">IF(A767&lt;Hip4LaunchDate,"pre-launch","live (zero-fee)")</f>
        <v>pre-launch</v>
      </c>
      <c r="AP767" s="20"/>
      <c r="AQ767" s="20"/>
      <c r="AR767" s="20"/>
    </row>
    <row r="768" customFormat="false" ht="15" hidden="false" customHeight="false" outlineLevel="0" collapsed="false">
      <c r="A768" s="18" t="n">
        <v>45829</v>
      </c>
      <c r="B768" s="19" t="n">
        <v>5853561717.66</v>
      </c>
      <c r="C768" s="19" t="n">
        <v>0</v>
      </c>
      <c r="D768" s="19" t="n">
        <v>325856019</v>
      </c>
      <c r="E768" s="21" t="n">
        <f aca="false">B768+C768</f>
        <v>5853561717.66</v>
      </c>
      <c r="F768" s="21" t="n">
        <f aca="false">E768+D768</f>
        <v>6179417736.66</v>
      </c>
      <c r="G768" s="22" t="n">
        <f aca="false">IFERROR(C768/E768,0)</f>
        <v>0</v>
      </c>
      <c r="H768" s="19" t="n">
        <v>1614659</v>
      </c>
      <c r="I768" s="19" t="n">
        <v>69112</v>
      </c>
      <c r="J768" s="19" t="n">
        <v>50652</v>
      </c>
      <c r="K768" s="21" t="n">
        <f aca="false">H768+I768</f>
        <v>1683771</v>
      </c>
      <c r="L768" s="20"/>
      <c r="M768" s="21" t="n">
        <f aca="false">H768-L768</f>
        <v>1614659</v>
      </c>
      <c r="N768" s="23" t="n">
        <f aca="false">IFERROR(M768/B768*10000,0)</f>
        <v>2.75842141568035</v>
      </c>
      <c r="O768" s="19" t="n">
        <v>1566219</v>
      </c>
      <c r="P768" s="19" t="n">
        <v>67039</v>
      </c>
      <c r="Q768" s="21" t="n">
        <f aca="false">O768+P768</f>
        <v>1633258</v>
      </c>
      <c r="R768" s="22" t="n">
        <f aca="false">IF(A768&lt;HlpChangeDate,HlpSharePre,HlpSharePost)</f>
        <v>0.03</v>
      </c>
      <c r="S768" s="21" t="n">
        <f aca="false">Q768*R768/(1-R768)</f>
        <v>50513.1340206186</v>
      </c>
      <c r="T768" s="19" t="n">
        <v>50652</v>
      </c>
      <c r="U768" s="21" t="n">
        <f aca="false">S768-T768</f>
        <v>-138.865979381444</v>
      </c>
      <c r="V768" s="21" t="n">
        <f aca="false">Y768-O768*R768/(1-R768)</f>
        <v>0.23711340205773</v>
      </c>
      <c r="W768" s="21" t="n">
        <f aca="false">Z768-P768*R768/(1-R768)</f>
        <v>-0.371134020618229</v>
      </c>
      <c r="X768" s="21" t="n">
        <f aca="false">S768+V768+W768</f>
        <v>50513</v>
      </c>
      <c r="Y768" s="19" t="n">
        <v>48440</v>
      </c>
      <c r="Z768" s="19" t="n">
        <v>2073</v>
      </c>
      <c r="AA768" s="19" t="n">
        <v>1633258</v>
      </c>
      <c r="AB768" s="29" t="n">
        <v>34.396</v>
      </c>
      <c r="AC768" s="29" t="n">
        <v>33.5625</v>
      </c>
      <c r="AD768" s="24" t="n">
        <f aca="false">IFERROR(AA768/AC768,0)</f>
        <v>48663.1806331471</v>
      </c>
      <c r="AE768" s="25" t="n">
        <f aca="false">K768-Q768-X768</f>
        <v>0</v>
      </c>
      <c r="AF768" s="25" t="n">
        <f aca="false">Q768-AA768</f>
        <v>0</v>
      </c>
      <c r="AG768" s="19" t="n">
        <v>1688416.55875599</v>
      </c>
      <c r="AH768" s="26" t="n">
        <f aca="false">IFERROR(AG768/Q768,0)</f>
        <v>1.03377210382928</v>
      </c>
      <c r="AI768" s="27" t="n">
        <v>386153005.464481</v>
      </c>
      <c r="AJ768" s="26" t="n">
        <f aca="false">IF(AI768&gt;0,AprCoef/SQRT(AI768),0)</f>
        <v>0.0241211845807916</v>
      </c>
      <c r="AK768" s="24" t="n">
        <f aca="false">AI768*AJ768/365</f>
        <v>25519.0901951676</v>
      </c>
      <c r="AL768" s="24" t="n">
        <f aca="false">AD768</f>
        <v>48663.1806331471</v>
      </c>
      <c r="AM768" s="24" t="n">
        <f aca="false">AK768-AL768</f>
        <v>-23144.0904379795</v>
      </c>
      <c r="AN768" s="28" t="str">
        <f aca="false">IF(A768&gt;=Hip3LaunchDate,"YES","")</f>
        <v/>
      </c>
      <c r="AO768" s="28" t="str">
        <f aca="false">IF(A768&lt;Hip4LaunchDate,"pre-launch","live (zero-fee)")</f>
        <v>pre-launch</v>
      </c>
      <c r="AP768" s="20"/>
      <c r="AQ768" s="20"/>
      <c r="AR768" s="20"/>
    </row>
    <row r="769" customFormat="false" ht="15" hidden="false" customHeight="false" outlineLevel="0" collapsed="false">
      <c r="A769" s="18" t="n">
        <v>45830</v>
      </c>
      <c r="B769" s="19" t="n">
        <v>12754870645.15</v>
      </c>
      <c r="C769" s="19" t="n">
        <v>0</v>
      </c>
      <c r="D769" s="19" t="n">
        <v>428910072</v>
      </c>
      <c r="E769" s="21" t="n">
        <f aca="false">B769+C769</f>
        <v>12754870645.15</v>
      </c>
      <c r="F769" s="21" t="n">
        <f aca="false">E769+D769</f>
        <v>13183780717.15</v>
      </c>
      <c r="G769" s="22" t="n">
        <f aca="false">IFERROR(C769/E769,0)</f>
        <v>0</v>
      </c>
      <c r="H769" s="19" t="n">
        <v>3587131</v>
      </c>
      <c r="I769" s="19" t="n">
        <v>92755</v>
      </c>
      <c r="J769" s="19" t="n">
        <v>110397</v>
      </c>
      <c r="K769" s="21" t="n">
        <f aca="false">H769+I769</f>
        <v>3679886</v>
      </c>
      <c r="L769" s="20"/>
      <c r="M769" s="21" t="n">
        <f aca="false">H769-L769</f>
        <v>3587131</v>
      </c>
      <c r="N769" s="23" t="n">
        <f aca="false">IFERROR(M769/B769*10000,0)</f>
        <v>2.81236172423591</v>
      </c>
      <c r="O769" s="19" t="n">
        <v>3479517</v>
      </c>
      <c r="P769" s="19" t="n">
        <v>89973</v>
      </c>
      <c r="Q769" s="21" t="n">
        <f aca="false">O769+P769</f>
        <v>3569490</v>
      </c>
      <c r="R769" s="22" t="n">
        <f aca="false">IF(A769&lt;HlpChangeDate,HlpSharePre,HlpSharePost)</f>
        <v>0.03</v>
      </c>
      <c r="S769" s="21" t="n">
        <f aca="false">Q769*R769/(1-R769)</f>
        <v>110396.597938144</v>
      </c>
      <c r="T769" s="19" t="n">
        <v>110397</v>
      </c>
      <c r="U769" s="21" t="n">
        <f aca="false">S769-T769</f>
        <v>-0.402061855667853</v>
      </c>
      <c r="V769" s="21" t="n">
        <f aca="false">Y769-O769*R769/(1-R769)</f>
        <v>0.0721649484621594</v>
      </c>
      <c r="W769" s="21" t="n">
        <f aca="false">Z769-P769*R769/(1-R769)</f>
        <v>0.329896907216153</v>
      </c>
      <c r="X769" s="21" t="n">
        <f aca="false">S769+V769+W769</f>
        <v>110397</v>
      </c>
      <c r="Y769" s="19" t="n">
        <v>107614</v>
      </c>
      <c r="Z769" s="19" t="n">
        <v>2783</v>
      </c>
      <c r="AA769" s="19" t="n">
        <v>3569490</v>
      </c>
      <c r="AB769" s="29" t="n">
        <v>35.706</v>
      </c>
      <c r="AC769" s="29" t="n">
        <v>34.40575</v>
      </c>
      <c r="AD769" s="24" t="n">
        <f aca="false">IFERROR(AA769/AC769,0)</f>
        <v>103746.902770612</v>
      </c>
      <c r="AE769" s="25" t="n">
        <f aca="false">K769-Q769-X769</f>
        <v>-1.00000000001455</v>
      </c>
      <c r="AF769" s="25" t="n">
        <f aca="false">Q769-AA769</f>
        <v>0</v>
      </c>
      <c r="AG769" s="19" t="n">
        <v>3679886.16893297</v>
      </c>
      <c r="AH769" s="26" t="n">
        <f aca="false">IFERROR(AG769/Q769,0)</f>
        <v>1.03092771486486</v>
      </c>
      <c r="AI769" s="27" t="n">
        <v>386289617.486339</v>
      </c>
      <c r="AJ769" s="26" t="n">
        <f aca="false">IF(AI769&gt;0,AprCoef/SQRT(AI769),0)</f>
        <v>0.0241169189533456</v>
      </c>
      <c r="AK769" s="24" t="n">
        <f aca="false">AI769*AJ769/365</f>
        <v>25523.6038285942</v>
      </c>
      <c r="AL769" s="24" t="n">
        <f aca="false">AD769</f>
        <v>103746.902770612</v>
      </c>
      <c r="AM769" s="24" t="n">
        <f aca="false">AK769-AL769</f>
        <v>-78223.2989420183</v>
      </c>
      <c r="AN769" s="28" t="str">
        <f aca="false">IF(A769&gt;=Hip3LaunchDate,"YES","")</f>
        <v/>
      </c>
      <c r="AO769" s="28" t="str">
        <f aca="false">IF(A769&lt;Hip4LaunchDate,"pre-launch","live (zero-fee)")</f>
        <v>pre-launch</v>
      </c>
      <c r="AP769" s="20"/>
      <c r="AQ769" s="20"/>
      <c r="AR769" s="20"/>
    </row>
    <row r="770" customFormat="false" ht="15" hidden="false" customHeight="false" outlineLevel="0" collapsed="false">
      <c r="A770" s="18" t="n">
        <v>45831</v>
      </c>
      <c r="B770" s="19" t="n">
        <v>13808379727.88</v>
      </c>
      <c r="C770" s="19" t="n">
        <v>0</v>
      </c>
      <c r="D770" s="19" t="n">
        <v>521103467</v>
      </c>
      <c r="E770" s="21" t="n">
        <f aca="false">B770+C770</f>
        <v>13808379727.88</v>
      </c>
      <c r="F770" s="21" t="n">
        <f aca="false">E770+D770</f>
        <v>14329483194.88</v>
      </c>
      <c r="G770" s="22" t="n">
        <f aca="false">IFERROR(C770/E770,0)</f>
        <v>0</v>
      </c>
      <c r="H770" s="19" t="n">
        <v>3981981</v>
      </c>
      <c r="I770" s="19" t="n">
        <v>106972</v>
      </c>
      <c r="J770" s="19" t="n">
        <v>121961</v>
      </c>
      <c r="K770" s="21" t="n">
        <f aca="false">H770+I770</f>
        <v>4088953</v>
      </c>
      <c r="L770" s="20"/>
      <c r="M770" s="21" t="n">
        <f aca="false">H770-L770</f>
        <v>3981981</v>
      </c>
      <c r="N770" s="23" t="n">
        <f aca="false">IFERROR(M770/B770*10000,0)</f>
        <v>2.88374239300512</v>
      </c>
      <c r="O770" s="19" t="n">
        <v>3862521</v>
      </c>
      <c r="P770" s="19" t="n">
        <v>103763</v>
      </c>
      <c r="Q770" s="21" t="n">
        <f aca="false">O770+P770</f>
        <v>3966284</v>
      </c>
      <c r="R770" s="22" t="n">
        <f aca="false">IF(A770&lt;HlpChangeDate,HlpSharePre,HlpSharePost)</f>
        <v>0.03</v>
      </c>
      <c r="S770" s="21" t="n">
        <f aca="false">Q770*R770/(1-R770)</f>
        <v>122668.577319588</v>
      </c>
      <c r="T770" s="19" t="n">
        <v>121961</v>
      </c>
      <c r="U770" s="21" t="n">
        <f aca="false">S770-T770</f>
        <v>707.577319587625</v>
      </c>
      <c r="V770" s="21" t="n">
        <f aca="false">Y770-O770*R770/(1-R770)</f>
        <v>-0.412371134007117</v>
      </c>
      <c r="W770" s="21" t="n">
        <f aca="false">Z770-P770*R770/(1-R770)</f>
        <v>-0.164948453608304</v>
      </c>
      <c r="X770" s="21" t="n">
        <f aca="false">S770+V770+W770</f>
        <v>122668</v>
      </c>
      <c r="Y770" s="19" t="n">
        <v>119459</v>
      </c>
      <c r="Z770" s="19" t="n">
        <v>3209</v>
      </c>
      <c r="AA770" s="19" t="n">
        <v>3966284</v>
      </c>
      <c r="AB770" s="29" t="n">
        <v>38.221</v>
      </c>
      <c r="AC770" s="29" t="n">
        <v>36.43</v>
      </c>
      <c r="AD770" s="24" t="n">
        <f aca="false">IFERROR(AA770/AC770,0)</f>
        <v>108874.114740598</v>
      </c>
      <c r="AE770" s="25" t="n">
        <f aca="false">K770-Q770-X770</f>
        <v>0.999999999985448</v>
      </c>
      <c r="AF770" s="25" t="n">
        <f aca="false">Q770-AA770</f>
        <v>0</v>
      </c>
      <c r="AG770" s="19" t="n">
        <v>4065354.77078998</v>
      </c>
      <c r="AH770" s="26" t="n">
        <f aca="false">IFERROR(AG770/Q770,0)</f>
        <v>1.02497823423385</v>
      </c>
      <c r="AI770" s="27" t="n">
        <v>386426229.508197</v>
      </c>
      <c r="AJ770" s="26" t="n">
        <f aca="false">IF(AI770&gt;0,AprCoef/SQRT(AI770),0)</f>
        <v>0.0241126555881198</v>
      </c>
      <c r="AK770" s="24" t="n">
        <f aca="false">AI770*AJ770/365</f>
        <v>25528.1166639641</v>
      </c>
      <c r="AL770" s="24" t="n">
        <f aca="false">AD770</f>
        <v>108874.114740598</v>
      </c>
      <c r="AM770" s="24" t="n">
        <f aca="false">AK770-AL770</f>
        <v>-83345.9980766344</v>
      </c>
      <c r="AN770" s="28" t="str">
        <f aca="false">IF(A770&gt;=Hip3LaunchDate,"YES","")</f>
        <v/>
      </c>
      <c r="AO770" s="28" t="str">
        <f aca="false">IF(A770&lt;Hip4LaunchDate,"pre-launch","live (zero-fee)")</f>
        <v>pre-launch</v>
      </c>
      <c r="AP770" s="20"/>
      <c r="AQ770" s="20"/>
      <c r="AR770" s="20"/>
    </row>
    <row r="771" customFormat="false" ht="15" hidden="false" customHeight="false" outlineLevel="0" collapsed="false">
      <c r="A771" s="18" t="n">
        <v>45832</v>
      </c>
      <c r="B771" s="19" t="n">
        <v>7562435082.96</v>
      </c>
      <c r="C771" s="19" t="n">
        <v>0</v>
      </c>
      <c r="D771" s="19" t="n">
        <v>337608363</v>
      </c>
      <c r="E771" s="21" t="n">
        <f aca="false">B771+C771</f>
        <v>7562435082.96</v>
      </c>
      <c r="F771" s="21" t="n">
        <f aca="false">E771+D771</f>
        <v>7900043445.96</v>
      </c>
      <c r="G771" s="22" t="n">
        <f aca="false">IFERROR(C771/E771,0)</f>
        <v>0</v>
      </c>
      <c r="H771" s="19" t="n">
        <v>2155847</v>
      </c>
      <c r="I771" s="19" t="n">
        <v>75574</v>
      </c>
      <c r="J771" s="19" t="n">
        <v>67359</v>
      </c>
      <c r="K771" s="21" t="n">
        <f aca="false">H771+I771</f>
        <v>2231421</v>
      </c>
      <c r="L771" s="20"/>
      <c r="M771" s="21" t="n">
        <f aca="false">H771-L771</f>
        <v>2155847</v>
      </c>
      <c r="N771" s="23" t="n">
        <f aca="false">IFERROR(M771/B771*10000,0)</f>
        <v>2.85073124774009</v>
      </c>
      <c r="O771" s="19" t="n">
        <v>2091172</v>
      </c>
      <c r="P771" s="19" t="n">
        <v>73307</v>
      </c>
      <c r="Q771" s="21" t="n">
        <f aca="false">O771+P771</f>
        <v>2164479</v>
      </c>
      <c r="R771" s="22" t="n">
        <f aca="false">IF(A771&lt;HlpChangeDate,HlpSharePre,HlpSharePost)</f>
        <v>0.03</v>
      </c>
      <c r="S771" s="21" t="n">
        <f aca="false">Q771*R771/(1-R771)</f>
        <v>66942.6494845361</v>
      </c>
      <c r="T771" s="19" t="n">
        <v>67359</v>
      </c>
      <c r="U771" s="21" t="n">
        <f aca="false">S771-T771</f>
        <v>-416.350515463913</v>
      </c>
      <c r="V771" s="21" t="n">
        <f aca="false">Y771-O771*R771/(1-R771)</f>
        <v>-0.422680412368209</v>
      </c>
      <c r="W771" s="21" t="n">
        <f aca="false">Z771-P771*R771/(1-R771)</f>
        <v>-0.226804123711645</v>
      </c>
      <c r="X771" s="21" t="n">
        <f aca="false">S771+V771+W771</f>
        <v>66942</v>
      </c>
      <c r="Y771" s="19" t="n">
        <v>64675</v>
      </c>
      <c r="Z771" s="19" t="n">
        <v>2267</v>
      </c>
      <c r="AA771" s="19" t="n">
        <v>2164479</v>
      </c>
      <c r="AB771" s="29" t="n">
        <v>37.513</v>
      </c>
      <c r="AC771" s="29" t="n">
        <v>37.7485</v>
      </c>
      <c r="AD771" s="24" t="n">
        <f aca="false">IFERROR(AA771/AC771,0)</f>
        <v>57339.4704425341</v>
      </c>
      <c r="AE771" s="25" t="n">
        <f aca="false">K771-Q771-X771</f>
        <v>0</v>
      </c>
      <c r="AF771" s="25" t="n">
        <f aca="false">Q771-AA771</f>
        <v>0</v>
      </c>
      <c r="AG771" s="19" t="n">
        <v>2245297.24233306</v>
      </c>
      <c r="AH771" s="26" t="n">
        <f aca="false">IFERROR(AG771/Q771,0)</f>
        <v>1.03733842755372</v>
      </c>
      <c r="AI771" s="27" t="n">
        <v>386562841.530055</v>
      </c>
      <c r="AJ771" s="26" t="n">
        <f aca="false">IF(AI771&gt;0,AprCoef/SQRT(AI771),0)</f>
        <v>0.0241083944831155</v>
      </c>
      <c r="AK771" s="24" t="n">
        <f aca="false">AI771*AJ771/365</f>
        <v>25532.6287017003</v>
      </c>
      <c r="AL771" s="24" t="n">
        <f aca="false">AD771</f>
        <v>57339.4704425341</v>
      </c>
      <c r="AM771" s="24" t="n">
        <f aca="false">AK771-AL771</f>
        <v>-31806.8417408338</v>
      </c>
      <c r="AN771" s="28" t="str">
        <f aca="false">IF(A771&gt;=Hip3LaunchDate,"YES","")</f>
        <v/>
      </c>
      <c r="AO771" s="28" t="str">
        <f aca="false">IF(A771&lt;Hip4LaunchDate,"pre-launch","live (zero-fee)")</f>
        <v>pre-launch</v>
      </c>
      <c r="AP771" s="20"/>
      <c r="AQ771" s="20"/>
      <c r="AR771" s="20"/>
    </row>
    <row r="772" customFormat="false" ht="15" hidden="false" customHeight="false" outlineLevel="0" collapsed="false">
      <c r="A772" s="18" t="n">
        <v>45833</v>
      </c>
      <c r="B772" s="19" t="n">
        <v>7112711274.39</v>
      </c>
      <c r="C772" s="19" t="n">
        <v>0</v>
      </c>
      <c r="D772" s="19" t="n">
        <v>303321363</v>
      </c>
      <c r="E772" s="21" t="n">
        <f aca="false">B772+C772</f>
        <v>7112711274.39</v>
      </c>
      <c r="F772" s="21" t="n">
        <f aca="false">E772+D772</f>
        <v>7416032637.39</v>
      </c>
      <c r="G772" s="22" t="n">
        <f aca="false">IFERROR(C772/E772,0)</f>
        <v>0</v>
      </c>
      <c r="H772" s="19" t="n">
        <v>2042066</v>
      </c>
      <c r="I772" s="19" t="n">
        <v>66347</v>
      </c>
      <c r="J772" s="19" t="n">
        <v>63309</v>
      </c>
      <c r="K772" s="21" t="n">
        <f aca="false">H772+I772</f>
        <v>2108413</v>
      </c>
      <c r="L772" s="20"/>
      <c r="M772" s="21" t="n">
        <f aca="false">H772-L772</f>
        <v>2042066</v>
      </c>
      <c r="N772" s="23" t="n">
        <f aca="false">IFERROR(M772/B772*10000,0)</f>
        <v>2.87100926949285</v>
      </c>
      <c r="O772" s="19" t="n">
        <v>1980804</v>
      </c>
      <c r="P772" s="19" t="n">
        <v>64357</v>
      </c>
      <c r="Q772" s="21" t="n">
        <f aca="false">O772+P772</f>
        <v>2045161</v>
      </c>
      <c r="R772" s="22" t="n">
        <f aca="false">IF(A772&lt;HlpChangeDate,HlpSharePre,HlpSharePost)</f>
        <v>0.03</v>
      </c>
      <c r="S772" s="21" t="n">
        <f aca="false">Q772*R772/(1-R772)</f>
        <v>63252.4020618557</v>
      </c>
      <c r="T772" s="19" t="n">
        <v>63309</v>
      </c>
      <c r="U772" s="21" t="n">
        <f aca="false">S772-T772</f>
        <v>-56.5979381443322</v>
      </c>
      <c r="V772" s="21" t="n">
        <f aca="false">Y772-O772*R772/(1-R772)</f>
        <v>0.0206185567076318</v>
      </c>
      <c r="W772" s="21" t="n">
        <f aca="false">Z772-P772*R772/(1-R772)</f>
        <v>-0.422680412371165</v>
      </c>
      <c r="X772" s="21" t="n">
        <f aca="false">S772+V772+W772</f>
        <v>63252</v>
      </c>
      <c r="Y772" s="19" t="n">
        <v>61262</v>
      </c>
      <c r="Z772" s="19" t="n">
        <v>1990</v>
      </c>
      <c r="AA772" s="19" t="n">
        <v>2045161</v>
      </c>
      <c r="AB772" s="29" t="n">
        <v>37.009</v>
      </c>
      <c r="AC772" s="29" t="n">
        <v>37.58175</v>
      </c>
      <c r="AD772" s="24" t="n">
        <f aca="false">IFERROR(AA772/AC772,0)</f>
        <v>54418.9932613569</v>
      </c>
      <c r="AE772" s="25" t="n">
        <f aca="false">K772-Q772-X772</f>
        <v>0</v>
      </c>
      <c r="AF772" s="25" t="n">
        <f aca="false">Q772-AA772</f>
        <v>0</v>
      </c>
      <c r="AG772" s="19" t="n">
        <v>2110314.77525199</v>
      </c>
      <c r="AH772" s="26" t="n">
        <f aca="false">IFERROR(AG772/Q772,0)</f>
        <v>1.0318575286992</v>
      </c>
      <c r="AI772" s="27" t="n">
        <v>386699453.551913</v>
      </c>
      <c r="AJ772" s="26" t="n">
        <f aca="false">IF(AI772&gt;0,AprCoef/SQRT(AI772),0)</f>
        <v>0.0241041356363362</v>
      </c>
      <c r="AK772" s="24" t="n">
        <f aca="false">AI772*AJ772/365</f>
        <v>25537.1399422257</v>
      </c>
      <c r="AL772" s="24" t="n">
        <f aca="false">AD772</f>
        <v>54418.9932613569</v>
      </c>
      <c r="AM772" s="24" t="n">
        <f aca="false">AK772-AL772</f>
        <v>-28881.8533191312</v>
      </c>
      <c r="AN772" s="28" t="str">
        <f aca="false">IF(A772&gt;=Hip3LaunchDate,"YES","")</f>
        <v/>
      </c>
      <c r="AO772" s="28" t="str">
        <f aca="false">IF(A772&lt;Hip4LaunchDate,"pre-launch","live (zero-fee)")</f>
        <v>pre-launch</v>
      </c>
      <c r="AP772" s="20"/>
      <c r="AQ772" s="20"/>
      <c r="AR772" s="20"/>
    </row>
    <row r="773" customFormat="false" ht="15" hidden="false" customHeight="false" outlineLevel="0" collapsed="false">
      <c r="A773" s="18" t="n">
        <v>45834</v>
      </c>
      <c r="B773" s="19" t="n">
        <v>6054093572.7</v>
      </c>
      <c r="C773" s="19" t="n">
        <v>0</v>
      </c>
      <c r="D773" s="19" t="n">
        <v>253266297</v>
      </c>
      <c r="E773" s="21" t="n">
        <f aca="false">B773+C773</f>
        <v>6054093572.7</v>
      </c>
      <c r="F773" s="21" t="n">
        <f aca="false">E773+D773</f>
        <v>6307359869.7</v>
      </c>
      <c r="G773" s="22" t="n">
        <f aca="false">IFERROR(C773/E773,0)</f>
        <v>0</v>
      </c>
      <c r="H773" s="19" t="n">
        <v>1688508</v>
      </c>
      <c r="I773" s="19" t="n">
        <v>54006</v>
      </c>
      <c r="J773" s="19" t="n">
        <v>50839</v>
      </c>
      <c r="K773" s="21" t="n">
        <f aca="false">H773+I773</f>
        <v>1742514</v>
      </c>
      <c r="L773" s="20"/>
      <c r="M773" s="21" t="n">
        <f aca="false">H773-L773</f>
        <v>1688508</v>
      </c>
      <c r="N773" s="23" t="n">
        <f aca="false">IFERROR(M773/B773*10000,0)</f>
        <v>2.78903518705767</v>
      </c>
      <c r="O773" s="19" t="n">
        <v>1637853</v>
      </c>
      <c r="P773" s="19" t="n">
        <v>52385</v>
      </c>
      <c r="Q773" s="21" t="n">
        <f aca="false">O773+P773</f>
        <v>1690238</v>
      </c>
      <c r="R773" s="22" t="n">
        <f aca="false">IF(A773&lt;HlpChangeDate,HlpSharePre,HlpSharePost)</f>
        <v>0.03</v>
      </c>
      <c r="S773" s="21" t="n">
        <f aca="false">Q773*R773/(1-R773)</f>
        <v>52275.4020618557</v>
      </c>
      <c r="T773" s="19" t="n">
        <v>50839</v>
      </c>
      <c r="U773" s="21" t="n">
        <f aca="false">S773-T773</f>
        <v>1436.40206185567</v>
      </c>
      <c r="V773" s="21" t="n">
        <f aca="false">Y773-O773*R773/(1-R773)</f>
        <v>-0.247422680411546</v>
      </c>
      <c r="W773" s="21" t="n">
        <f aca="false">Z773-P773*R773/(1-R773)</f>
        <v>-0.154639175257671</v>
      </c>
      <c r="X773" s="21" t="n">
        <f aca="false">S773+V773+W773</f>
        <v>52275</v>
      </c>
      <c r="Y773" s="19" t="n">
        <v>50655</v>
      </c>
      <c r="Z773" s="19" t="n">
        <v>1620</v>
      </c>
      <c r="AA773" s="19" t="n">
        <v>1690238</v>
      </c>
      <c r="AB773" s="29" t="n">
        <v>35.76</v>
      </c>
      <c r="AC773" s="29" t="n">
        <v>36.61825</v>
      </c>
      <c r="AD773" s="24" t="n">
        <f aca="false">IFERROR(AA773/AC773,0)</f>
        <v>46158.3500030722</v>
      </c>
      <c r="AE773" s="25" t="n">
        <f aca="false">K773-Q773-X773</f>
        <v>1</v>
      </c>
      <c r="AF773" s="25" t="n">
        <f aca="false">Q773-AA773</f>
        <v>0</v>
      </c>
      <c r="AG773" s="19" t="n">
        <v>1694638.57704097</v>
      </c>
      <c r="AH773" s="26" t="n">
        <f aca="false">IFERROR(AG773/Q773,0)</f>
        <v>1.00260352508994</v>
      </c>
      <c r="AI773" s="27" t="n">
        <v>386836065.573771</v>
      </c>
      <c r="AJ773" s="26" t="n">
        <f aca="false">IF(AI773&gt;0,AprCoef/SQRT(AI773),0)</f>
        <v>0.024099879045788</v>
      </c>
      <c r="AK773" s="24" t="n">
        <f aca="false">AI773*AJ773/365</f>
        <v>25541.6503859627</v>
      </c>
      <c r="AL773" s="24" t="n">
        <f aca="false">AD773</f>
        <v>46158.3500030722</v>
      </c>
      <c r="AM773" s="24" t="n">
        <f aca="false">AK773-AL773</f>
        <v>-20616.6996171095</v>
      </c>
      <c r="AN773" s="28" t="str">
        <f aca="false">IF(A773&gt;=Hip3LaunchDate,"YES","")</f>
        <v/>
      </c>
      <c r="AO773" s="28" t="str">
        <f aca="false">IF(A773&lt;Hip4LaunchDate,"pre-launch","live (zero-fee)")</f>
        <v>pre-launch</v>
      </c>
      <c r="AP773" s="20"/>
      <c r="AQ773" s="20"/>
      <c r="AR773" s="20"/>
    </row>
    <row r="774" customFormat="false" ht="15" hidden="false" customHeight="false" outlineLevel="0" collapsed="false">
      <c r="A774" s="18" t="n">
        <v>45835</v>
      </c>
      <c r="B774" s="19" t="n">
        <v>5468496333.64</v>
      </c>
      <c r="C774" s="19" t="n">
        <v>0</v>
      </c>
      <c r="D774" s="19" t="n">
        <v>170980501</v>
      </c>
      <c r="E774" s="21" t="n">
        <f aca="false">B774+C774</f>
        <v>5468496333.64</v>
      </c>
      <c r="F774" s="21" t="n">
        <f aca="false">E774+D774</f>
        <v>5639476834.64</v>
      </c>
      <c r="G774" s="22" t="n">
        <f aca="false">IFERROR(C774/E774,0)</f>
        <v>0</v>
      </c>
      <c r="H774" s="19" t="n">
        <v>1493863</v>
      </c>
      <c r="I774" s="19" t="n">
        <v>37448</v>
      </c>
      <c r="J774" s="19" t="n">
        <v>47413</v>
      </c>
      <c r="K774" s="21" t="n">
        <f aca="false">H774+I774</f>
        <v>1531311</v>
      </c>
      <c r="L774" s="20"/>
      <c r="M774" s="21" t="n">
        <f aca="false">H774-L774</f>
        <v>1493863</v>
      </c>
      <c r="N774" s="23" t="n">
        <f aca="false">IFERROR(M774/B774*10000,0)</f>
        <v>2.73176191197268</v>
      </c>
      <c r="O774" s="19" t="n">
        <v>1449047</v>
      </c>
      <c r="P774" s="19" t="n">
        <v>36324</v>
      </c>
      <c r="Q774" s="21" t="n">
        <f aca="false">O774+P774</f>
        <v>1485371</v>
      </c>
      <c r="R774" s="22" t="n">
        <f aca="false">IF(A774&lt;HlpChangeDate,HlpSharePre,HlpSharePost)</f>
        <v>0.03</v>
      </c>
      <c r="S774" s="21" t="n">
        <f aca="false">Q774*R774/(1-R774)</f>
        <v>45939.3092783505</v>
      </c>
      <c r="T774" s="19" t="n">
        <v>47413</v>
      </c>
      <c r="U774" s="21" t="n">
        <f aca="false">S774-T774</f>
        <v>-1473.69072164949</v>
      </c>
      <c r="V774" s="21" t="n">
        <f aca="false">Y774-O774*R774/(1-R774)</f>
        <v>0.113402061855595</v>
      </c>
      <c r="W774" s="21" t="n">
        <f aca="false">Z774-P774*R774/(1-R774)</f>
        <v>-0.422680412371165</v>
      </c>
      <c r="X774" s="21" t="n">
        <f aca="false">S774+V774+W774</f>
        <v>45939</v>
      </c>
      <c r="Y774" s="19" t="n">
        <v>44816</v>
      </c>
      <c r="Z774" s="19" t="n">
        <v>1123</v>
      </c>
      <c r="AA774" s="19" t="n">
        <v>1485371</v>
      </c>
      <c r="AB774" s="29" t="n">
        <v>36.611</v>
      </c>
      <c r="AC774" s="29" t="n">
        <v>36.244</v>
      </c>
      <c r="AD774" s="24" t="n">
        <f aca="false">IFERROR(AA774/AC774,0)</f>
        <v>40982.5350402825</v>
      </c>
      <c r="AE774" s="25" t="n">
        <f aca="false">K774-Q774-X774</f>
        <v>1</v>
      </c>
      <c r="AF774" s="25" t="n">
        <f aca="false">Q774-AA774</f>
        <v>0</v>
      </c>
      <c r="AG774" s="19" t="n">
        <v>1580442.01402199</v>
      </c>
      <c r="AH774" s="26" t="n">
        <f aca="false">IFERROR(AG774/Q774,0)</f>
        <v>1.06400489441493</v>
      </c>
      <c r="AI774" s="27" t="n">
        <v>386972677.595628</v>
      </c>
      <c r="AJ774" s="26" t="n">
        <f aca="false">IF(AI774&gt;0,AprCoef/SQRT(AI774),0)</f>
        <v>0.0240956247094795</v>
      </c>
      <c r="AK774" s="24" t="n">
        <f aca="false">AI774*AJ774/365</f>
        <v>25546.1600333334</v>
      </c>
      <c r="AL774" s="24" t="n">
        <f aca="false">AD774</f>
        <v>40982.5350402825</v>
      </c>
      <c r="AM774" s="24" t="n">
        <f aca="false">AK774-AL774</f>
        <v>-15436.3750069491</v>
      </c>
      <c r="AN774" s="28" t="str">
        <f aca="false">IF(A774&gt;=Hip3LaunchDate,"YES","")</f>
        <v/>
      </c>
      <c r="AO774" s="28" t="str">
        <f aca="false">IF(A774&lt;Hip4LaunchDate,"pre-launch","live (zero-fee)")</f>
        <v>pre-launch</v>
      </c>
      <c r="AP774" s="20"/>
      <c r="AQ774" s="20"/>
      <c r="AR774" s="20"/>
    </row>
    <row r="775" customFormat="false" ht="15" hidden="false" customHeight="false" outlineLevel="0" collapsed="false">
      <c r="A775" s="18" t="n">
        <v>45836</v>
      </c>
      <c r="B775" s="19" t="n">
        <v>2029915379.93</v>
      </c>
      <c r="C775" s="19" t="n">
        <v>0</v>
      </c>
      <c r="D775" s="19" t="n">
        <v>127382868</v>
      </c>
      <c r="E775" s="21" t="n">
        <f aca="false">B775+C775</f>
        <v>2029915379.93</v>
      </c>
      <c r="F775" s="21" t="n">
        <f aca="false">E775+D775</f>
        <v>2157298247.93</v>
      </c>
      <c r="G775" s="22" t="n">
        <f aca="false">IFERROR(C775/E775,0)</f>
        <v>0</v>
      </c>
      <c r="H775" s="19" t="n">
        <v>592089</v>
      </c>
      <c r="I775" s="19" t="n">
        <v>28957</v>
      </c>
      <c r="J775" s="19" t="n">
        <v>18632</v>
      </c>
      <c r="K775" s="21" t="n">
        <f aca="false">H775+I775</f>
        <v>621046</v>
      </c>
      <c r="L775" s="20"/>
      <c r="M775" s="21" t="n">
        <f aca="false">H775-L775</f>
        <v>592089</v>
      </c>
      <c r="N775" s="23" t="n">
        <f aca="false">IFERROR(M775/B775*10000,0)</f>
        <v>2.91681616807306</v>
      </c>
      <c r="O775" s="19" t="n">
        <v>574326</v>
      </c>
      <c r="P775" s="19" t="n">
        <v>28089</v>
      </c>
      <c r="Q775" s="21" t="n">
        <f aca="false">O775+P775</f>
        <v>602415</v>
      </c>
      <c r="R775" s="22" t="n">
        <f aca="false">IF(A775&lt;HlpChangeDate,HlpSharePre,HlpSharePost)</f>
        <v>0.03</v>
      </c>
      <c r="S775" s="21" t="n">
        <f aca="false">Q775*R775/(1-R775)</f>
        <v>18631.3917525773</v>
      </c>
      <c r="T775" s="19" t="n">
        <v>18632</v>
      </c>
      <c r="U775" s="21" t="n">
        <f aca="false">S775-T775</f>
        <v>-0.608247422678687</v>
      </c>
      <c r="V775" s="21" t="n">
        <f aca="false">Y775-O775*R775/(1-R775)</f>
        <v>0.340206185566785</v>
      </c>
      <c r="W775" s="21" t="n">
        <f aca="false">Z775-P775*R775/(1-R775)</f>
        <v>0.26804123711338</v>
      </c>
      <c r="X775" s="21" t="n">
        <f aca="false">S775+V775+W775</f>
        <v>18632</v>
      </c>
      <c r="Y775" s="19" t="n">
        <v>17763</v>
      </c>
      <c r="Z775" s="19" t="n">
        <v>869</v>
      </c>
      <c r="AA775" s="19" t="n">
        <v>602415</v>
      </c>
      <c r="AB775" s="29" t="n">
        <v>37.813</v>
      </c>
      <c r="AC775" s="29" t="n">
        <v>37.13725</v>
      </c>
      <c r="AD775" s="24" t="n">
        <f aca="false">IFERROR(AA775/AC775,0)</f>
        <v>16221.3141791597</v>
      </c>
      <c r="AE775" s="25" t="n">
        <f aca="false">K775-Q775-X775</f>
        <v>-1</v>
      </c>
      <c r="AF775" s="25" t="n">
        <f aca="false">Q775-AA775</f>
        <v>0</v>
      </c>
      <c r="AG775" s="19" t="n">
        <v>621074.148685038</v>
      </c>
      <c r="AH775" s="26" t="n">
        <f aca="false">IFERROR(AG775/Q775,0)</f>
        <v>1.03097391114935</v>
      </c>
      <c r="AI775" s="27" t="n">
        <v>387109289.617486</v>
      </c>
      <c r="AJ775" s="26" t="n">
        <f aca="false">IF(AI775&gt;0,AprCoef/SQRT(AI775),0)</f>
        <v>0.0240913726254217</v>
      </c>
      <c r="AK775" s="24" t="n">
        <f aca="false">AI775*AJ775/365</f>
        <v>25550.6688847594</v>
      </c>
      <c r="AL775" s="24" t="n">
        <f aca="false">AD775</f>
        <v>16221.3141791597</v>
      </c>
      <c r="AM775" s="24" t="n">
        <f aca="false">AK775-AL775</f>
        <v>9329.35470559963</v>
      </c>
      <c r="AN775" s="28" t="str">
        <f aca="false">IF(A775&gt;=Hip3LaunchDate,"YES","")</f>
        <v/>
      </c>
      <c r="AO775" s="28" t="str">
        <f aca="false">IF(A775&lt;Hip4LaunchDate,"pre-launch","live (zero-fee)")</f>
        <v>pre-launch</v>
      </c>
      <c r="AP775" s="20"/>
      <c r="AQ775" s="20"/>
      <c r="AR775" s="20"/>
    </row>
    <row r="776" customFormat="false" ht="15" hidden="false" customHeight="false" outlineLevel="0" collapsed="false">
      <c r="A776" s="18" t="n">
        <v>45837</v>
      </c>
      <c r="B776" s="19" t="n">
        <v>3690353142.09</v>
      </c>
      <c r="C776" s="19" t="n">
        <v>0</v>
      </c>
      <c r="D776" s="19" t="n">
        <v>199996202</v>
      </c>
      <c r="E776" s="21" t="n">
        <f aca="false">B776+C776</f>
        <v>3690353142.09</v>
      </c>
      <c r="F776" s="21" t="n">
        <f aca="false">E776+D776</f>
        <v>3890349344.09</v>
      </c>
      <c r="G776" s="22" t="n">
        <f aca="false">IFERROR(C776/E776,0)</f>
        <v>0</v>
      </c>
      <c r="H776" s="19" t="n">
        <v>1087636</v>
      </c>
      <c r="I776" s="19" t="n">
        <v>47224</v>
      </c>
      <c r="J776" s="19" t="n">
        <v>33911</v>
      </c>
      <c r="K776" s="21" t="n">
        <f aca="false">H776+I776</f>
        <v>1134860</v>
      </c>
      <c r="L776" s="20"/>
      <c r="M776" s="21" t="n">
        <f aca="false">H776-L776</f>
        <v>1087636</v>
      </c>
      <c r="N776" s="23" t="n">
        <f aca="false">IFERROR(M776/B776*10000,0)</f>
        <v>2.94724097700858</v>
      </c>
      <c r="O776" s="19" t="n">
        <v>1055007</v>
      </c>
      <c r="P776" s="19" t="n">
        <v>45808</v>
      </c>
      <c r="Q776" s="21" t="n">
        <f aca="false">O776+P776</f>
        <v>1100815</v>
      </c>
      <c r="R776" s="22" t="n">
        <f aca="false">IF(A776&lt;HlpChangeDate,HlpSharePre,HlpSharePost)</f>
        <v>0.03</v>
      </c>
      <c r="S776" s="21" t="n">
        <f aca="false">Q776*R776/(1-R776)</f>
        <v>34045.824742268</v>
      </c>
      <c r="T776" s="19" t="n">
        <v>33911</v>
      </c>
      <c r="U776" s="21" t="n">
        <f aca="false">S776-T776</f>
        <v>134.824742268036</v>
      </c>
      <c r="V776" s="21" t="n">
        <f aca="false">Y776-O776*R776/(1-R776)</f>
        <v>-0.0824742268050613</v>
      </c>
      <c r="W776" s="21" t="n">
        <f aca="false">Z776-P776*R776/(1-R776)</f>
        <v>0.257731958762861</v>
      </c>
      <c r="X776" s="21" t="n">
        <f aca="false">S776+V776+W776</f>
        <v>34046</v>
      </c>
      <c r="Y776" s="19" t="n">
        <v>32629</v>
      </c>
      <c r="Z776" s="19" t="n">
        <v>1417</v>
      </c>
      <c r="AA776" s="19" t="n">
        <v>1100815</v>
      </c>
      <c r="AB776" s="29" t="n">
        <v>39.759</v>
      </c>
      <c r="AC776" s="29" t="n">
        <v>38.722</v>
      </c>
      <c r="AD776" s="24" t="n">
        <f aca="false">IFERROR(AA776/AC776,0)</f>
        <v>28428.671039719</v>
      </c>
      <c r="AE776" s="25" t="n">
        <f aca="false">K776-Q776-X776</f>
        <v>-0.999999999992724</v>
      </c>
      <c r="AF776" s="25" t="n">
        <f aca="false">Q776-AA776</f>
        <v>0</v>
      </c>
      <c r="AG776" s="19" t="n">
        <v>1130372.08480001</v>
      </c>
      <c r="AH776" s="26" t="n">
        <f aca="false">IFERROR(AG776/Q776,0)</f>
        <v>1.02685018354583</v>
      </c>
      <c r="AI776" s="27" t="n">
        <v>387245901.639344</v>
      </c>
      <c r="AJ776" s="26" t="n">
        <f aca="false">IF(AI776&gt;0,AprCoef/SQRT(AI776),0)</f>
        <v>0.0240871227916281</v>
      </c>
      <c r="AK776" s="24" t="n">
        <f aca="false">AI776*AJ776/365</f>
        <v>25555.176940662</v>
      </c>
      <c r="AL776" s="24" t="n">
        <f aca="false">AD776</f>
        <v>28428.671039719</v>
      </c>
      <c r="AM776" s="24" t="n">
        <f aca="false">AK776-AL776</f>
        <v>-2873.49409905707</v>
      </c>
      <c r="AN776" s="28" t="str">
        <f aca="false">IF(A776&gt;=Hip3LaunchDate,"YES","")</f>
        <v/>
      </c>
      <c r="AO776" s="28" t="str">
        <f aca="false">IF(A776&lt;Hip4LaunchDate,"pre-launch","live (zero-fee)")</f>
        <v>pre-launch</v>
      </c>
      <c r="AP776" s="20"/>
      <c r="AQ776" s="20"/>
      <c r="AR776" s="20"/>
    </row>
    <row r="777" customFormat="false" ht="15" hidden="false" customHeight="false" outlineLevel="0" collapsed="false">
      <c r="A777" s="18" t="n">
        <v>45838</v>
      </c>
      <c r="B777" s="19" t="n">
        <v>6117167590.46</v>
      </c>
      <c r="C777" s="19" t="n">
        <v>0</v>
      </c>
      <c r="D777" s="19" t="n">
        <v>277804580</v>
      </c>
      <c r="E777" s="21" t="n">
        <f aca="false">B777+C777</f>
        <v>6117167590.46</v>
      </c>
      <c r="F777" s="21" t="n">
        <f aca="false">E777+D777</f>
        <v>6394972170.46</v>
      </c>
      <c r="G777" s="22" t="n">
        <f aca="false">IFERROR(C777/E777,0)</f>
        <v>0</v>
      </c>
      <c r="H777" s="19" t="n">
        <v>1758684</v>
      </c>
      <c r="I777" s="19" t="n">
        <v>60735</v>
      </c>
      <c r="J777" s="19" t="n">
        <v>54913</v>
      </c>
      <c r="K777" s="21" t="n">
        <f aca="false">H777+I777</f>
        <v>1819419</v>
      </c>
      <c r="L777" s="20"/>
      <c r="M777" s="21" t="n">
        <f aca="false">H777-L777</f>
        <v>1758684</v>
      </c>
      <c r="N777" s="23" t="n">
        <f aca="false">IFERROR(M777/B777*10000,0)</f>
        <v>2.87499724994088</v>
      </c>
      <c r="O777" s="19" t="n">
        <v>1705924</v>
      </c>
      <c r="P777" s="19" t="n">
        <v>58913</v>
      </c>
      <c r="Q777" s="21" t="n">
        <f aca="false">O777+P777</f>
        <v>1764837</v>
      </c>
      <c r="R777" s="22" t="n">
        <f aca="false">IF(A777&lt;HlpChangeDate,HlpSharePre,HlpSharePost)</f>
        <v>0.03</v>
      </c>
      <c r="S777" s="21" t="n">
        <f aca="false">Q777*R777/(1-R777)</f>
        <v>54582.587628866</v>
      </c>
      <c r="T777" s="19" t="n">
        <v>54913</v>
      </c>
      <c r="U777" s="21" t="n">
        <f aca="false">S777-T777</f>
        <v>-330.412371134022</v>
      </c>
      <c r="V777" s="21" t="n">
        <f aca="false">Y777-O777*R777/(1-R777)</f>
        <v>0.46391752576892</v>
      </c>
      <c r="W777" s="21" t="n">
        <f aca="false">Z777-P777*R777/(1-R777)</f>
        <v>-0.0515463917524812</v>
      </c>
      <c r="X777" s="21" t="n">
        <f aca="false">S777+V777+W777</f>
        <v>54583</v>
      </c>
      <c r="Y777" s="19" t="n">
        <v>52761</v>
      </c>
      <c r="Z777" s="19" t="n">
        <v>1822</v>
      </c>
      <c r="AA777" s="19" t="n">
        <v>1764837</v>
      </c>
      <c r="AB777" s="29" t="n">
        <v>39.571</v>
      </c>
      <c r="AC777" s="29" t="n">
        <v>39.93675</v>
      </c>
      <c r="AD777" s="24" t="n">
        <f aca="false">IFERROR(AA777/AC777,0)</f>
        <v>44190.8017051963</v>
      </c>
      <c r="AE777" s="25" t="n">
        <f aca="false">K777-Q777-X777</f>
        <v>-0.999999999992724</v>
      </c>
      <c r="AF777" s="25" t="n">
        <f aca="false">Q777-AA777</f>
        <v>0</v>
      </c>
      <c r="AG777" s="19" t="n">
        <v>1830442.284477</v>
      </c>
      <c r="AH777" s="26" t="n">
        <f aca="false">IFERROR(AG777/Q777,0)</f>
        <v>1.03717356587435</v>
      </c>
      <c r="AI777" s="27" t="n">
        <v>387382513.661202</v>
      </c>
      <c r="AJ777" s="26" t="n">
        <f aca="false">IF(AI777&gt;0,AprCoef/SQRT(AI777),0)</f>
        <v>0.0240828752061145</v>
      </c>
      <c r="AK777" s="24" t="n">
        <f aca="false">AI777*AJ777/365</f>
        <v>25559.6842014621</v>
      </c>
      <c r="AL777" s="24" t="n">
        <f aca="false">AD777</f>
        <v>44190.8017051963</v>
      </c>
      <c r="AM777" s="24" t="n">
        <f aca="false">AK777-AL777</f>
        <v>-18631.1175037342</v>
      </c>
      <c r="AN777" s="28" t="str">
        <f aca="false">IF(A777&gt;=Hip3LaunchDate,"YES","")</f>
        <v/>
      </c>
      <c r="AO777" s="28" t="str">
        <f aca="false">IF(A777&lt;Hip4LaunchDate,"pre-launch","live (zero-fee)")</f>
        <v>pre-launch</v>
      </c>
      <c r="AP777" s="20"/>
      <c r="AQ777" s="20"/>
      <c r="AR777" s="20"/>
    </row>
    <row r="778" customFormat="false" ht="15" hidden="false" customHeight="false" outlineLevel="0" collapsed="false">
      <c r="A778" s="18" t="n">
        <v>45839</v>
      </c>
      <c r="B778" s="19" t="n">
        <v>6136377450.13</v>
      </c>
      <c r="C778" s="19" t="n">
        <v>0</v>
      </c>
      <c r="D778" s="19" t="n">
        <v>249646512</v>
      </c>
      <c r="E778" s="21" t="n">
        <f aca="false">B778+C778</f>
        <v>6136377450.13</v>
      </c>
      <c r="F778" s="21" t="n">
        <f aca="false">E778+D778</f>
        <v>6386023962.13</v>
      </c>
      <c r="G778" s="22" t="n">
        <f aca="false">IFERROR(C778/E778,0)</f>
        <v>0</v>
      </c>
      <c r="H778" s="19" t="n">
        <v>1759654</v>
      </c>
      <c r="I778" s="19" t="n">
        <v>56869</v>
      </c>
      <c r="J778" s="19" t="n">
        <v>54496</v>
      </c>
      <c r="K778" s="21" t="n">
        <f aca="false">H778+I778</f>
        <v>1816523</v>
      </c>
      <c r="L778" s="20"/>
      <c r="M778" s="21" t="n">
        <f aca="false">H778-L778</f>
        <v>1759654</v>
      </c>
      <c r="N778" s="23" t="n">
        <f aca="false">IFERROR(M778/B778*10000,0)</f>
        <v>2.86757784099921</v>
      </c>
      <c r="O778" s="19" t="n">
        <v>1706865</v>
      </c>
      <c r="P778" s="19" t="n">
        <v>55162</v>
      </c>
      <c r="Q778" s="21" t="n">
        <f aca="false">O778+P778</f>
        <v>1762027</v>
      </c>
      <c r="R778" s="22" t="n">
        <f aca="false">IF(A778&lt;HlpChangeDate,HlpSharePre,HlpSharePost)</f>
        <v>0.03</v>
      </c>
      <c r="S778" s="21" t="n">
        <f aca="false">Q778*R778/(1-R778)</f>
        <v>54495.6804123711</v>
      </c>
      <c r="T778" s="19" t="n">
        <v>54496</v>
      </c>
      <c r="U778" s="21" t="n">
        <f aca="false">S778-T778</f>
        <v>-0.319587628866429</v>
      </c>
      <c r="V778" s="21" t="n">
        <f aca="false">Y778-O778*R778/(1-R778)</f>
        <v>0.360824742267141</v>
      </c>
      <c r="W778" s="21" t="n">
        <f aca="false">Z778-P778*R778/(1-R778)</f>
        <v>-0.0412371134020759</v>
      </c>
      <c r="X778" s="21" t="n">
        <f aca="false">S778+V778+W778</f>
        <v>54496</v>
      </c>
      <c r="Y778" s="19" t="n">
        <v>52790</v>
      </c>
      <c r="Z778" s="19" t="n">
        <v>1706</v>
      </c>
      <c r="AA778" s="19" t="n">
        <v>1762027</v>
      </c>
      <c r="AB778" s="29" t="n">
        <v>36.882</v>
      </c>
      <c r="AC778" s="29" t="n">
        <v>38.252</v>
      </c>
      <c r="AD778" s="24" t="n">
        <f aca="false">IFERROR(AA778/AC778,0)</f>
        <v>46063.6568022587</v>
      </c>
      <c r="AE778" s="25" t="n">
        <f aca="false">K778-Q778-X778</f>
        <v>0</v>
      </c>
      <c r="AF778" s="25" t="n">
        <f aca="false">Q778-AA778</f>
        <v>0</v>
      </c>
      <c r="AG778" s="19" t="n">
        <v>1816522.98768997</v>
      </c>
      <c r="AH778" s="26" t="n">
        <f aca="false">IFERROR(AG778/Q778,0)</f>
        <v>1.03092800944025</v>
      </c>
      <c r="AI778" s="27" t="n">
        <v>387519125.68306</v>
      </c>
      <c r="AJ778" s="26" t="n">
        <f aca="false">IF(AI778&gt;0,AprCoef/SQRT(AI778),0)</f>
        <v>0.0240786298668993</v>
      </c>
      <c r="AK778" s="24" t="n">
        <f aca="false">AI778*AJ778/365</f>
        <v>25564.1906675803</v>
      </c>
      <c r="AL778" s="24" t="n">
        <f aca="false">AD778</f>
        <v>46063.6568022587</v>
      </c>
      <c r="AM778" s="24" t="n">
        <f aca="false">AK778-AL778</f>
        <v>-20499.4661346784</v>
      </c>
      <c r="AN778" s="28" t="str">
        <f aca="false">IF(A778&gt;=Hip3LaunchDate,"YES","")</f>
        <v/>
      </c>
      <c r="AO778" s="28" t="str">
        <f aca="false">IF(A778&lt;Hip4LaunchDate,"pre-launch","live (zero-fee)")</f>
        <v>pre-launch</v>
      </c>
      <c r="AP778" s="20"/>
      <c r="AQ778" s="20"/>
      <c r="AR778" s="20"/>
    </row>
    <row r="779" customFormat="false" ht="15" hidden="false" customHeight="false" outlineLevel="0" collapsed="false">
      <c r="A779" s="18" t="n">
        <v>45840</v>
      </c>
      <c r="B779" s="19" t="n">
        <v>8708461911.89</v>
      </c>
      <c r="C779" s="19" t="n">
        <v>0</v>
      </c>
      <c r="D779" s="19" t="n">
        <v>292172889</v>
      </c>
      <c r="E779" s="21" t="n">
        <f aca="false">B779+C779</f>
        <v>8708461911.89</v>
      </c>
      <c r="F779" s="21" t="n">
        <f aca="false">E779+D779</f>
        <v>9000634800.89</v>
      </c>
      <c r="G779" s="22" t="n">
        <f aca="false">IFERROR(C779/E779,0)</f>
        <v>0</v>
      </c>
      <c r="H779" s="19" t="n">
        <v>2555402</v>
      </c>
      <c r="I779" s="19" t="n">
        <v>60148</v>
      </c>
      <c r="J779" s="19" t="n">
        <v>77981</v>
      </c>
      <c r="K779" s="21" t="n">
        <f aca="false">H779+I779</f>
        <v>2615550</v>
      </c>
      <c r="L779" s="20"/>
      <c r="M779" s="21" t="n">
        <f aca="false">H779-L779</f>
        <v>2555402</v>
      </c>
      <c r="N779" s="23" t="n">
        <f aca="false">IFERROR(M779/B779*10000,0)</f>
        <v>2.9343895923929</v>
      </c>
      <c r="O779" s="19" t="n">
        <v>2478740</v>
      </c>
      <c r="P779" s="19" t="n">
        <v>58343</v>
      </c>
      <c r="Q779" s="21" t="n">
        <f aca="false">O779+P779</f>
        <v>2537083</v>
      </c>
      <c r="R779" s="22" t="n">
        <f aca="false">IF(A779&lt;HlpChangeDate,HlpSharePre,HlpSharePost)</f>
        <v>0.03</v>
      </c>
      <c r="S779" s="21" t="n">
        <f aca="false">Q779*R779/(1-R779)</f>
        <v>78466.4845360825</v>
      </c>
      <c r="T779" s="19" t="n">
        <v>77981</v>
      </c>
      <c r="U779" s="21" t="n">
        <f aca="false">S779-T779</f>
        <v>485.484536082469</v>
      </c>
      <c r="V779" s="21" t="n">
        <f aca="false">Y779-O779*R779/(1-R779)</f>
        <v>-0.0618556701083435</v>
      </c>
      <c r="W779" s="21" t="n">
        <f aca="false">Z779-P779*R779/(1-R779)</f>
        <v>-0.422680412371165</v>
      </c>
      <c r="X779" s="21" t="n">
        <f aca="false">S779+V779+W779</f>
        <v>78466</v>
      </c>
      <c r="Y779" s="19" t="n">
        <v>76662</v>
      </c>
      <c r="Z779" s="19" t="n">
        <v>1804</v>
      </c>
      <c r="AA779" s="19" t="n">
        <v>2537083</v>
      </c>
      <c r="AB779" s="29" t="n">
        <v>39.906</v>
      </c>
      <c r="AC779" s="29" t="n">
        <v>38.50225</v>
      </c>
      <c r="AD779" s="24" t="n">
        <f aca="false">IFERROR(AA779/AC779,0)</f>
        <v>65894.4087683187</v>
      </c>
      <c r="AE779" s="25" t="n">
        <f aca="false">K779-Q779-X779</f>
        <v>1.00000000001455</v>
      </c>
      <c r="AF779" s="25" t="n">
        <f aca="false">Q779-AA779</f>
        <v>0</v>
      </c>
      <c r="AG779" s="19" t="n">
        <v>2599353.00095201</v>
      </c>
      <c r="AH779" s="26" t="n">
        <f aca="false">IFERROR(AG779/Q779,0)</f>
        <v>1.02454393528001</v>
      </c>
      <c r="AI779" s="27" t="n">
        <v>387655737.704918</v>
      </c>
      <c r="AJ779" s="26" t="n">
        <f aca="false">IF(AI779&gt;0,AprCoef/SQRT(AI779),0)</f>
        <v>0.0240743867720033</v>
      </c>
      <c r="AK779" s="24" t="n">
        <f aca="false">AI779*AJ779/365</f>
        <v>25568.6963394368</v>
      </c>
      <c r="AL779" s="24" t="n">
        <f aca="false">AD779</f>
        <v>65894.4087683187</v>
      </c>
      <c r="AM779" s="24" t="n">
        <f aca="false">AK779-AL779</f>
        <v>-40325.7124288819</v>
      </c>
      <c r="AN779" s="28" t="str">
        <f aca="false">IF(A779&gt;=Hip3LaunchDate,"YES","")</f>
        <v/>
      </c>
      <c r="AO779" s="28" t="str">
        <f aca="false">IF(A779&lt;Hip4LaunchDate,"pre-launch","live (zero-fee)")</f>
        <v>pre-launch</v>
      </c>
      <c r="AP779" s="20"/>
      <c r="AQ779" s="20"/>
      <c r="AR779" s="20"/>
    </row>
    <row r="780" customFormat="false" ht="15" hidden="false" customHeight="false" outlineLevel="0" collapsed="false">
      <c r="A780" s="18" t="n">
        <v>45841</v>
      </c>
      <c r="B780" s="19" t="n">
        <v>6251465096.54</v>
      </c>
      <c r="C780" s="19" t="n">
        <v>0</v>
      </c>
      <c r="D780" s="19" t="n">
        <v>229236296</v>
      </c>
      <c r="E780" s="21" t="n">
        <f aca="false">B780+C780</f>
        <v>6251465096.54</v>
      </c>
      <c r="F780" s="21" t="n">
        <f aca="false">E780+D780</f>
        <v>6480701392.54</v>
      </c>
      <c r="G780" s="22" t="n">
        <f aca="false">IFERROR(C780/E780,0)</f>
        <v>0</v>
      </c>
      <c r="H780" s="19" t="n">
        <v>1860095</v>
      </c>
      <c r="I780" s="19" t="n">
        <v>51268</v>
      </c>
      <c r="J780" s="19" t="n">
        <v>57341</v>
      </c>
      <c r="K780" s="21" t="n">
        <f aca="false">H780+I780</f>
        <v>1911363</v>
      </c>
      <c r="L780" s="20"/>
      <c r="M780" s="21" t="n">
        <f aca="false">H780-L780</f>
        <v>1860095</v>
      </c>
      <c r="N780" s="23" t="n">
        <f aca="false">IFERROR(M780/B780*10000,0)</f>
        <v>2.97545450750338</v>
      </c>
      <c r="O780" s="19" t="n">
        <v>1804292</v>
      </c>
      <c r="P780" s="19" t="n">
        <v>49730</v>
      </c>
      <c r="Q780" s="21" t="n">
        <f aca="false">O780+P780</f>
        <v>1854022</v>
      </c>
      <c r="R780" s="22" t="n">
        <f aca="false">IF(A780&lt;HlpChangeDate,HlpSharePre,HlpSharePost)</f>
        <v>0.03</v>
      </c>
      <c r="S780" s="21" t="n">
        <f aca="false">Q780*R780/(1-R780)</f>
        <v>57340.8865979381</v>
      </c>
      <c r="T780" s="19" t="n">
        <v>57341</v>
      </c>
      <c r="U780" s="21" t="n">
        <f aca="false">S780-T780</f>
        <v>-0.113402061855595</v>
      </c>
      <c r="V780" s="21" t="n">
        <f aca="false">Y780-O780*R780/(1-R780)</f>
        <v>0.154639175263583</v>
      </c>
      <c r="W780" s="21" t="n">
        <f aca="false">Z780-P780*R780/(1-R780)</f>
        <v>-0.0412371134020759</v>
      </c>
      <c r="X780" s="21" t="n">
        <f aca="false">S780+V780+W780</f>
        <v>57341</v>
      </c>
      <c r="Y780" s="19" t="n">
        <v>55803</v>
      </c>
      <c r="Z780" s="19" t="n">
        <v>1538</v>
      </c>
      <c r="AA780" s="19" t="n">
        <v>1854022</v>
      </c>
      <c r="AB780" s="29" t="n">
        <v>40.254</v>
      </c>
      <c r="AC780" s="29" t="n">
        <v>40.254</v>
      </c>
      <c r="AD780" s="24" t="n">
        <f aca="false">IFERROR(AA780/AC780,0)</f>
        <v>46058.0811844786</v>
      </c>
      <c r="AE780" s="25" t="n">
        <f aca="false">K780-Q780-X780</f>
        <v>0</v>
      </c>
      <c r="AF780" s="25" t="n">
        <f aca="false">Q780-AA780</f>
        <v>0</v>
      </c>
      <c r="AG780" s="19" t="n">
        <v>1818105.43212599</v>
      </c>
      <c r="AH780" s="26" t="n">
        <f aca="false">IFERROR(AG780/Q780,0)</f>
        <v>0.980627755294158</v>
      </c>
      <c r="AI780" s="27" t="n">
        <v>387792349.726776</v>
      </c>
      <c r="AJ780" s="26" t="n">
        <f aca="false">IF(AI780&gt;0,AprCoef/SQRT(AI780),0)</f>
        <v>0.0240701459194498</v>
      </c>
      <c r="AK780" s="24" t="n">
        <f aca="false">AI780*AJ780/365</f>
        <v>25573.2012174515</v>
      </c>
      <c r="AL780" s="24" t="n">
        <f aca="false">AD780</f>
        <v>46058.0811844786</v>
      </c>
      <c r="AM780" s="24" t="n">
        <f aca="false">AK780-AL780</f>
        <v>-20484.8799670271</v>
      </c>
      <c r="AN780" s="28" t="str">
        <f aca="false">IF(A780&gt;=Hip3LaunchDate,"YES","")</f>
        <v/>
      </c>
      <c r="AO780" s="28" t="str">
        <f aca="false">IF(A780&lt;Hip4LaunchDate,"pre-launch","live (zero-fee)")</f>
        <v>pre-launch</v>
      </c>
      <c r="AP780" s="20"/>
      <c r="AQ780" s="20"/>
      <c r="AR780" s="20"/>
    </row>
    <row r="781" customFormat="false" ht="15" hidden="false" customHeight="false" outlineLevel="0" collapsed="false">
      <c r="A781" s="18" t="n">
        <v>45842</v>
      </c>
      <c r="B781" s="19" t="n">
        <v>5865755226.17</v>
      </c>
      <c r="C781" s="19" t="n">
        <v>0</v>
      </c>
      <c r="D781" s="19" t="n">
        <v>221169152</v>
      </c>
      <c r="E781" s="21" t="n">
        <f aca="false">B781+C781</f>
        <v>5865755226.17</v>
      </c>
      <c r="F781" s="21" t="n">
        <f aca="false">E781+D781</f>
        <v>6086924378.17</v>
      </c>
      <c r="G781" s="22" t="n">
        <f aca="false">IFERROR(C781/E781,0)</f>
        <v>0</v>
      </c>
      <c r="H781" s="19" t="n">
        <v>1606429</v>
      </c>
      <c r="I781" s="19" t="n">
        <v>49787</v>
      </c>
      <c r="J781" s="19" t="n">
        <v>49686</v>
      </c>
      <c r="K781" s="21" t="n">
        <f aca="false">H781+I781</f>
        <v>1656216</v>
      </c>
      <c r="L781" s="20"/>
      <c r="M781" s="21" t="n">
        <f aca="false">H781-L781</f>
        <v>1606429</v>
      </c>
      <c r="N781" s="23" t="n">
        <f aca="false">IFERROR(M781/B781*10000,0)</f>
        <v>2.73865672545103</v>
      </c>
      <c r="O781" s="19" t="n">
        <v>1558236</v>
      </c>
      <c r="P781" s="19" t="n">
        <v>48293</v>
      </c>
      <c r="Q781" s="21" t="n">
        <f aca="false">O781+P781</f>
        <v>1606529</v>
      </c>
      <c r="R781" s="22" t="n">
        <f aca="false">IF(A781&lt;HlpChangeDate,HlpSharePre,HlpSharePost)</f>
        <v>0.03</v>
      </c>
      <c r="S781" s="21" t="n">
        <f aca="false">Q781*R781/(1-R781)</f>
        <v>49686.4639175258</v>
      </c>
      <c r="T781" s="19" t="n">
        <v>49686</v>
      </c>
      <c r="U781" s="21" t="n">
        <f aca="false">S781-T781</f>
        <v>0.46391752576892</v>
      </c>
      <c r="V781" s="21" t="n">
        <f aca="false">Y781-O781*R781/(1-R781)</f>
        <v>0.134020618555951</v>
      </c>
      <c r="W781" s="21" t="n">
        <f aca="false">Z781-P781*R781/(1-R781)</f>
        <v>0.402061855670127</v>
      </c>
      <c r="X781" s="21" t="n">
        <f aca="false">S781+V781+W781</f>
        <v>49687</v>
      </c>
      <c r="Y781" s="19" t="n">
        <v>48193</v>
      </c>
      <c r="Z781" s="19" t="n">
        <v>1494</v>
      </c>
      <c r="AA781" s="19" t="n">
        <v>1606529</v>
      </c>
      <c r="AB781" s="29" t="n">
        <v>39.005</v>
      </c>
      <c r="AC781" s="29" t="n">
        <v>39.31825</v>
      </c>
      <c r="AD781" s="24" t="n">
        <f aca="false">IFERROR(AA781/AC781,0)</f>
        <v>40859.6262549834</v>
      </c>
      <c r="AE781" s="25" t="n">
        <f aca="false">K781-Q781-X781</f>
        <v>0</v>
      </c>
      <c r="AF781" s="25" t="n">
        <f aca="false">Q781-AA781</f>
        <v>0</v>
      </c>
      <c r="AG781" s="19" t="n">
        <v>1755190.41929305</v>
      </c>
      <c r="AH781" s="26" t="n">
        <f aca="false">IFERROR(AG781/Q781,0)</f>
        <v>1.09253578322772</v>
      </c>
      <c r="AI781" s="27" t="n">
        <v>387928961.748634</v>
      </c>
      <c r="AJ781" s="26" t="n">
        <f aca="false">IF(AI781&gt;0,AprCoef/SQRT(AI781),0)</f>
        <v>0.0240659073072644</v>
      </c>
      <c r="AK781" s="24" t="n">
        <f aca="false">AI781*AJ781/365</f>
        <v>25577.7053020436</v>
      </c>
      <c r="AL781" s="24" t="n">
        <f aca="false">AD781</f>
        <v>40859.6262549834</v>
      </c>
      <c r="AM781" s="24" t="n">
        <f aca="false">AK781-AL781</f>
        <v>-15281.9209529397</v>
      </c>
      <c r="AN781" s="28" t="str">
        <f aca="false">IF(A781&gt;=Hip3LaunchDate,"YES","")</f>
        <v/>
      </c>
      <c r="AO781" s="28" t="str">
        <f aca="false">IF(A781&lt;Hip4LaunchDate,"pre-launch","live (zero-fee)")</f>
        <v>pre-launch</v>
      </c>
      <c r="AP781" s="20"/>
      <c r="AQ781" s="20"/>
      <c r="AR781" s="20"/>
    </row>
    <row r="782" customFormat="false" ht="15" hidden="false" customHeight="false" outlineLevel="0" collapsed="false">
      <c r="A782" s="18" t="n">
        <v>45843</v>
      </c>
      <c r="B782" s="19" t="n">
        <v>2451950269.53</v>
      </c>
      <c r="C782" s="19" t="n">
        <v>0</v>
      </c>
      <c r="D782" s="19" t="n">
        <v>128067841</v>
      </c>
      <c r="E782" s="21" t="n">
        <f aca="false">B782+C782</f>
        <v>2451950269.53</v>
      </c>
      <c r="F782" s="21" t="n">
        <f aca="false">E782+D782</f>
        <v>2580018110.53</v>
      </c>
      <c r="G782" s="22" t="n">
        <f aca="false">IFERROR(C782/E782,0)</f>
        <v>0</v>
      </c>
      <c r="H782" s="19" t="n">
        <v>708810</v>
      </c>
      <c r="I782" s="19" t="n">
        <v>29379</v>
      </c>
      <c r="J782" s="19" t="n">
        <v>22460</v>
      </c>
      <c r="K782" s="21" t="n">
        <f aca="false">H782+I782</f>
        <v>738189</v>
      </c>
      <c r="L782" s="20"/>
      <c r="M782" s="21" t="n">
        <f aca="false">H782-L782</f>
        <v>708810</v>
      </c>
      <c r="N782" s="23" t="n">
        <f aca="false">IFERROR(M782/B782*10000,0)</f>
        <v>2.89080088127508</v>
      </c>
      <c r="O782" s="19" t="n">
        <v>687546</v>
      </c>
      <c r="P782" s="19" t="n">
        <v>28497</v>
      </c>
      <c r="Q782" s="21" t="n">
        <f aca="false">O782+P782</f>
        <v>716043</v>
      </c>
      <c r="R782" s="22" t="n">
        <f aca="false">IF(A782&lt;HlpChangeDate,HlpSharePre,HlpSharePost)</f>
        <v>0.03</v>
      </c>
      <c r="S782" s="21" t="n">
        <f aca="false">Q782*R782/(1-R782)</f>
        <v>22145.6597938144</v>
      </c>
      <c r="T782" s="19" t="n">
        <v>22460</v>
      </c>
      <c r="U782" s="21" t="n">
        <f aca="false">S782-T782</f>
        <v>-314.340206185567</v>
      </c>
      <c r="V782" s="21" t="n">
        <f aca="false">Y782-O782*R782/(1-R782)</f>
        <v>-0.309278350516252</v>
      </c>
      <c r="W782" s="21" t="n">
        <f aca="false">Z782-P782*R782/(1-R782)</f>
        <v>-0.350515463917532</v>
      </c>
      <c r="X782" s="21" t="n">
        <f aca="false">S782+V782+W782</f>
        <v>22145</v>
      </c>
      <c r="Y782" s="19" t="n">
        <v>21264</v>
      </c>
      <c r="Z782" s="19" t="n">
        <v>881</v>
      </c>
      <c r="AA782" s="19" t="n">
        <v>716043</v>
      </c>
      <c r="AB782" s="29" t="n">
        <v>39.141</v>
      </c>
      <c r="AC782" s="29" t="n">
        <v>39.00375</v>
      </c>
      <c r="AD782" s="24" t="n">
        <f aca="false">IFERROR(AA782/AC782,0)</f>
        <v>18358.311700798</v>
      </c>
      <c r="AE782" s="25" t="n">
        <f aca="false">K782-Q782-X782</f>
        <v>1</v>
      </c>
      <c r="AF782" s="25" t="n">
        <f aca="false">Q782-AA782</f>
        <v>0</v>
      </c>
      <c r="AG782" s="19" t="n">
        <v>748668.44867295</v>
      </c>
      <c r="AH782" s="26" t="n">
        <f aca="false">IFERROR(AG782/Q782,0)</f>
        <v>1.04556353273889</v>
      </c>
      <c r="AI782" s="27" t="n">
        <v>388065573.770492</v>
      </c>
      <c r="AJ782" s="26" t="n">
        <f aca="false">IF(AI782&gt;0,AprCoef/SQRT(AI782),0)</f>
        <v>0.0240616709334753</v>
      </c>
      <c r="AK782" s="24" t="n">
        <f aca="false">AI782*AJ782/365</f>
        <v>25582.2085936324</v>
      </c>
      <c r="AL782" s="24" t="n">
        <f aca="false">AD782</f>
        <v>18358.311700798</v>
      </c>
      <c r="AM782" s="24" t="n">
        <f aca="false">AK782-AL782</f>
        <v>7223.89689283444</v>
      </c>
      <c r="AN782" s="28" t="str">
        <f aca="false">IF(A782&gt;=Hip3LaunchDate,"YES","")</f>
        <v/>
      </c>
      <c r="AO782" s="28" t="str">
        <f aca="false">IF(A782&lt;Hip4LaunchDate,"pre-launch","live (zero-fee)")</f>
        <v>pre-launch</v>
      </c>
      <c r="AP782" s="20"/>
      <c r="AQ782" s="20"/>
      <c r="AR782" s="20"/>
    </row>
    <row r="783" customFormat="false" ht="15" hidden="false" customHeight="false" outlineLevel="0" collapsed="false">
      <c r="A783" s="18" t="n">
        <v>45844</v>
      </c>
      <c r="B783" s="19" t="n">
        <v>4289662636.72</v>
      </c>
      <c r="C783" s="19" t="n">
        <v>0</v>
      </c>
      <c r="D783" s="19" t="n">
        <v>135062039</v>
      </c>
      <c r="E783" s="21" t="n">
        <f aca="false">B783+C783</f>
        <v>4289662636.72</v>
      </c>
      <c r="F783" s="21" t="n">
        <f aca="false">E783+D783</f>
        <v>4424724675.72</v>
      </c>
      <c r="G783" s="22" t="n">
        <f aca="false">IFERROR(C783/E783,0)</f>
        <v>0</v>
      </c>
      <c r="H783" s="19" t="n">
        <v>1227214</v>
      </c>
      <c r="I783" s="19" t="n">
        <v>26841</v>
      </c>
      <c r="J783" s="19" t="n">
        <v>37405</v>
      </c>
      <c r="K783" s="21" t="n">
        <f aca="false">H783+I783</f>
        <v>1254055</v>
      </c>
      <c r="L783" s="20"/>
      <c r="M783" s="21" t="n">
        <f aca="false">H783-L783</f>
        <v>1227214</v>
      </c>
      <c r="N783" s="23" t="n">
        <f aca="false">IFERROR(M783/B783*10000,0)</f>
        <v>2.86086367141068</v>
      </c>
      <c r="O783" s="19" t="n">
        <v>1190398</v>
      </c>
      <c r="P783" s="19" t="n">
        <v>26036</v>
      </c>
      <c r="Q783" s="21" t="n">
        <f aca="false">O783+P783</f>
        <v>1216434</v>
      </c>
      <c r="R783" s="22" t="n">
        <f aca="false">IF(A783&lt;HlpChangeDate,HlpSharePre,HlpSharePost)</f>
        <v>0.03</v>
      </c>
      <c r="S783" s="21" t="n">
        <f aca="false">Q783*R783/(1-R783)</f>
        <v>37621.6701030928</v>
      </c>
      <c r="T783" s="19" t="n">
        <v>37405</v>
      </c>
      <c r="U783" s="21" t="n">
        <f aca="false">S783-T783</f>
        <v>216.67010309278</v>
      </c>
      <c r="V783" s="21" t="n">
        <f aca="false">Y783-O783*R783/(1-R783)</f>
        <v>-0.432989690714749</v>
      </c>
      <c r="W783" s="21" t="n">
        <f aca="false">Z783-P783*R783/(1-R783)</f>
        <v>-0.237113402061823</v>
      </c>
      <c r="X783" s="21" t="n">
        <f aca="false">S783+V783+W783</f>
        <v>37621</v>
      </c>
      <c r="Y783" s="19" t="n">
        <v>36816</v>
      </c>
      <c r="Z783" s="19" t="n">
        <v>805</v>
      </c>
      <c r="AA783" s="19" t="n">
        <v>1216434</v>
      </c>
      <c r="AB783" s="29" t="n">
        <v>39.851</v>
      </c>
      <c r="AC783" s="29" t="n">
        <v>39.42425</v>
      </c>
      <c r="AD783" s="24" t="n">
        <f aca="false">IFERROR(AA783/AC783,0)</f>
        <v>30854.9687058092</v>
      </c>
      <c r="AE783" s="25" t="n">
        <f aca="false">K783-Q783-X783</f>
        <v>0</v>
      </c>
      <c r="AF783" s="25" t="n">
        <f aca="false">Q783-AA783</f>
        <v>0</v>
      </c>
      <c r="AG783" s="19" t="n">
        <v>1246827.29323602</v>
      </c>
      <c r="AH783" s="26" t="n">
        <f aca="false">IFERROR(AG783/Q783,0)</f>
        <v>1.02498556702297</v>
      </c>
      <c r="AI783" s="27" t="n">
        <v>388202185.79235</v>
      </c>
      <c r="AJ783" s="26" t="n">
        <f aca="false">IF(AI783&gt;0,AprCoef/SQRT(AI783),0)</f>
        <v>0.024057436796113</v>
      </c>
      <c r="AK783" s="24" t="n">
        <f aca="false">AI783*AJ783/365</f>
        <v>25586.7110926366</v>
      </c>
      <c r="AL783" s="24" t="n">
        <f aca="false">AD783</f>
        <v>30854.9687058092</v>
      </c>
      <c r="AM783" s="24" t="n">
        <f aca="false">AK783-AL783</f>
        <v>-5268.25761317266</v>
      </c>
      <c r="AN783" s="28" t="str">
        <f aca="false">IF(A783&gt;=Hip3LaunchDate,"YES","")</f>
        <v/>
      </c>
      <c r="AO783" s="28" t="str">
        <f aca="false">IF(A783&lt;Hip4LaunchDate,"pre-launch","live (zero-fee)")</f>
        <v>pre-launch</v>
      </c>
      <c r="AP783" s="20"/>
      <c r="AQ783" s="20"/>
      <c r="AR783" s="20"/>
    </row>
    <row r="784" customFormat="false" ht="15" hidden="false" customHeight="false" outlineLevel="0" collapsed="false">
      <c r="A784" s="18" t="n">
        <v>45845</v>
      </c>
      <c r="B784" s="19" t="n">
        <v>5322409239.84</v>
      </c>
      <c r="C784" s="19" t="n">
        <v>0</v>
      </c>
      <c r="D784" s="19" t="n">
        <v>200536259</v>
      </c>
      <c r="E784" s="21" t="n">
        <f aca="false">B784+C784</f>
        <v>5322409239.84</v>
      </c>
      <c r="F784" s="21" t="n">
        <f aca="false">E784+D784</f>
        <v>5522945498.84</v>
      </c>
      <c r="G784" s="22" t="n">
        <f aca="false">IFERROR(C784/E784,0)</f>
        <v>0</v>
      </c>
      <c r="H784" s="19" t="n">
        <v>1561368</v>
      </c>
      <c r="I784" s="19" t="n">
        <v>48359</v>
      </c>
      <c r="J784" s="19" t="n">
        <v>48509</v>
      </c>
      <c r="K784" s="21" t="n">
        <f aca="false">H784+I784</f>
        <v>1609727</v>
      </c>
      <c r="L784" s="20"/>
      <c r="M784" s="21" t="n">
        <f aca="false">H784-L784</f>
        <v>1561368</v>
      </c>
      <c r="N784" s="23" t="n">
        <f aca="false">IFERROR(M784/B784*10000,0)</f>
        <v>2.93357374384638</v>
      </c>
      <c r="O784" s="19" t="n">
        <v>1514527</v>
      </c>
      <c r="P784" s="19" t="n">
        <v>46909</v>
      </c>
      <c r="Q784" s="21" t="n">
        <f aca="false">O784+P784</f>
        <v>1561436</v>
      </c>
      <c r="R784" s="22" t="n">
        <f aca="false">IF(A784&lt;HlpChangeDate,HlpSharePre,HlpSharePost)</f>
        <v>0.03</v>
      </c>
      <c r="S784" s="21" t="n">
        <f aca="false">Q784*R784/(1-R784)</f>
        <v>48291.8350515464</v>
      </c>
      <c r="T784" s="19" t="n">
        <v>48509</v>
      </c>
      <c r="U784" s="21" t="n">
        <f aca="false">S784-T784</f>
        <v>-217.164948453603</v>
      </c>
      <c r="V784" s="21" t="n">
        <f aca="false">Y784-O784*R784/(1-R784)</f>
        <v>-0.0412371134007117</v>
      </c>
      <c r="W784" s="21" t="n">
        <f aca="false">Z784-P784*R784/(1-R784)</f>
        <v>0.20618556701038</v>
      </c>
      <c r="X784" s="21" t="n">
        <f aca="false">S784+V784+W784</f>
        <v>48292</v>
      </c>
      <c r="Y784" s="19" t="n">
        <v>46841</v>
      </c>
      <c r="Z784" s="19" t="n">
        <v>1451</v>
      </c>
      <c r="AA784" s="19" t="n">
        <v>1561436</v>
      </c>
      <c r="AB784" s="29" t="n">
        <v>38.557</v>
      </c>
      <c r="AC784" s="29" t="n">
        <v>39.143</v>
      </c>
      <c r="AD784" s="24" t="n">
        <f aca="false">IFERROR(AA784/AC784,0)</f>
        <v>39890.5551439593</v>
      </c>
      <c r="AE784" s="25" t="n">
        <f aca="false">K784-Q784-X784</f>
        <v>-1.00000000000728</v>
      </c>
      <c r="AF784" s="25" t="n">
        <f aca="false">Q784-AA784</f>
        <v>0</v>
      </c>
      <c r="AG784" s="19" t="n">
        <v>1616955.678572</v>
      </c>
      <c r="AH784" s="26" t="n">
        <f aca="false">IFERROR(AG784/Q784,0)</f>
        <v>1.03555680704941</v>
      </c>
      <c r="AI784" s="27" t="n">
        <v>388338797.814208</v>
      </c>
      <c r="AJ784" s="26" t="n">
        <f aca="false">IF(AI784&gt;0,AprCoef/SQRT(AI784),0)</f>
        <v>0.0240532048932104</v>
      </c>
      <c r="AK784" s="24" t="n">
        <f aca="false">AI784*AJ784/365</f>
        <v>25591.2127994744</v>
      </c>
      <c r="AL784" s="24" t="n">
        <f aca="false">AD784</f>
        <v>39890.5551439593</v>
      </c>
      <c r="AM784" s="24" t="n">
        <f aca="false">AK784-AL784</f>
        <v>-14299.3423444849</v>
      </c>
      <c r="AN784" s="28" t="str">
        <f aca="false">IF(A784&gt;=Hip3LaunchDate,"YES","")</f>
        <v/>
      </c>
      <c r="AO784" s="28" t="str">
        <f aca="false">IF(A784&lt;Hip4LaunchDate,"pre-launch","live (zero-fee)")</f>
        <v>pre-launch</v>
      </c>
      <c r="AP784" s="20"/>
      <c r="AQ784" s="20"/>
      <c r="AR784" s="20"/>
    </row>
    <row r="785" customFormat="false" ht="15" hidden="false" customHeight="false" outlineLevel="0" collapsed="false">
      <c r="A785" s="18" t="n">
        <v>45846</v>
      </c>
      <c r="B785" s="19" t="n">
        <v>5320747621.8</v>
      </c>
      <c r="C785" s="19" t="n">
        <v>0</v>
      </c>
      <c r="D785" s="19" t="n">
        <v>248230529</v>
      </c>
      <c r="E785" s="21" t="n">
        <f aca="false">B785+C785</f>
        <v>5320747621.8</v>
      </c>
      <c r="F785" s="21" t="n">
        <f aca="false">E785+D785</f>
        <v>5568978150.8</v>
      </c>
      <c r="G785" s="22" t="n">
        <f aca="false">IFERROR(C785/E785,0)</f>
        <v>0</v>
      </c>
      <c r="H785" s="19" t="n">
        <v>1586779</v>
      </c>
      <c r="I785" s="19" t="n">
        <v>58482</v>
      </c>
      <c r="J785" s="19" t="n">
        <v>49358</v>
      </c>
      <c r="K785" s="21" t="n">
        <f aca="false">H785+I785</f>
        <v>1645261</v>
      </c>
      <c r="L785" s="20"/>
      <c r="M785" s="21" t="n">
        <f aca="false">H785-L785</f>
        <v>1586779</v>
      </c>
      <c r="N785" s="23" t="n">
        <f aca="false">IFERROR(M785/B785*10000,0)</f>
        <v>2.98224819666075</v>
      </c>
      <c r="O785" s="19" t="n">
        <v>1539176</v>
      </c>
      <c r="P785" s="19" t="n">
        <v>56727</v>
      </c>
      <c r="Q785" s="21" t="n">
        <f aca="false">O785+P785</f>
        <v>1595903</v>
      </c>
      <c r="R785" s="22" t="n">
        <f aca="false">IF(A785&lt;HlpChangeDate,HlpSharePre,HlpSharePost)</f>
        <v>0.03</v>
      </c>
      <c r="S785" s="21" t="n">
        <f aca="false">Q785*R785/(1-R785)</f>
        <v>49357.824742268</v>
      </c>
      <c r="T785" s="19" t="n">
        <v>49358</v>
      </c>
      <c r="U785" s="21" t="n">
        <f aca="false">S785-T785</f>
        <v>-0.175257731963939</v>
      </c>
      <c r="V785" s="21" t="n">
        <f aca="false">Y785-O785*R785/(1-R785)</f>
        <v>-0.381443298967497</v>
      </c>
      <c r="W785" s="21" t="n">
        <f aca="false">Z785-P785*R785/(1-R785)</f>
        <v>-0.443298969072202</v>
      </c>
      <c r="X785" s="21" t="n">
        <f aca="false">S785+V785+W785</f>
        <v>49357</v>
      </c>
      <c r="Y785" s="19" t="n">
        <v>47603</v>
      </c>
      <c r="Z785" s="19" t="n">
        <v>1754</v>
      </c>
      <c r="AA785" s="19" t="n">
        <v>1595903</v>
      </c>
      <c r="AB785" s="29" t="n">
        <v>38.834</v>
      </c>
      <c r="AC785" s="29" t="n">
        <v>38.368</v>
      </c>
      <c r="AD785" s="24" t="n">
        <f aca="false">IFERROR(AA785/AC785,0)</f>
        <v>41594.6361551293</v>
      </c>
      <c r="AE785" s="25" t="n">
        <f aca="false">K785-Q785-X785</f>
        <v>1</v>
      </c>
      <c r="AF785" s="25" t="n">
        <f aca="false">Q785-AA785</f>
        <v>0</v>
      </c>
      <c r="AG785" s="19" t="n">
        <v>1645260.724078</v>
      </c>
      <c r="AH785" s="26" t="n">
        <f aca="false">IFERROR(AG785/Q785,0)</f>
        <v>1.03092777197486</v>
      </c>
      <c r="AI785" s="27" t="n">
        <v>388475409.836066</v>
      </c>
      <c r="AJ785" s="26" t="n">
        <f aca="false">IF(AI785&gt;0,AprCoef/SQRT(AI785),0)</f>
        <v>0.0240489752228031</v>
      </c>
      <c r="AK785" s="24" t="n">
        <f aca="false">AI785*AJ785/365</f>
        <v>25595.7137145639</v>
      </c>
      <c r="AL785" s="24" t="n">
        <f aca="false">AD785</f>
        <v>41594.6361551293</v>
      </c>
      <c r="AM785" s="24" t="n">
        <f aca="false">AK785-AL785</f>
        <v>-15998.9224405654</v>
      </c>
      <c r="AN785" s="28" t="str">
        <f aca="false">IF(A785&gt;=Hip3LaunchDate,"YES","")</f>
        <v/>
      </c>
      <c r="AO785" s="28" t="str">
        <f aca="false">IF(A785&lt;Hip4LaunchDate,"pre-launch","live (zero-fee)")</f>
        <v>pre-launch</v>
      </c>
      <c r="AP785" s="20"/>
      <c r="AQ785" s="20"/>
      <c r="AR785" s="20"/>
    </row>
    <row r="786" customFormat="false" ht="15" hidden="false" customHeight="false" outlineLevel="0" collapsed="false">
      <c r="A786" s="18" t="n">
        <v>45847</v>
      </c>
      <c r="B786" s="19" t="n">
        <v>8668787164.75</v>
      </c>
      <c r="C786" s="19" t="n">
        <v>0</v>
      </c>
      <c r="D786" s="19" t="n">
        <v>298577873</v>
      </c>
      <c r="E786" s="21" t="n">
        <f aca="false">B786+C786</f>
        <v>8668787164.75</v>
      </c>
      <c r="F786" s="21" t="n">
        <f aca="false">E786+D786</f>
        <v>8967365037.75</v>
      </c>
      <c r="G786" s="22" t="n">
        <f aca="false">IFERROR(C786/E786,0)</f>
        <v>0</v>
      </c>
      <c r="H786" s="19" t="n">
        <v>2647959</v>
      </c>
      <c r="I786" s="19" t="n">
        <v>67974</v>
      </c>
      <c r="J786" s="19" t="n">
        <v>81478</v>
      </c>
      <c r="K786" s="21" t="n">
        <f aca="false">H786+I786</f>
        <v>2715933</v>
      </c>
      <c r="L786" s="20"/>
      <c r="M786" s="21" t="n">
        <f aca="false">H786-L786</f>
        <v>2647959</v>
      </c>
      <c r="N786" s="23" t="n">
        <f aca="false">IFERROR(M786/B786*10000,0)</f>
        <v>3.05458993245033</v>
      </c>
      <c r="O786" s="19" t="n">
        <v>2568521</v>
      </c>
      <c r="P786" s="19" t="n">
        <v>65935</v>
      </c>
      <c r="Q786" s="21" t="n">
        <f aca="false">O786+P786</f>
        <v>2634456</v>
      </c>
      <c r="R786" s="22" t="n">
        <f aca="false">IF(A786&lt;HlpChangeDate,HlpSharePre,HlpSharePost)</f>
        <v>0.03</v>
      </c>
      <c r="S786" s="21" t="n">
        <f aca="false">Q786*R786/(1-R786)</f>
        <v>81478.0206185567</v>
      </c>
      <c r="T786" s="19" t="n">
        <v>81478</v>
      </c>
      <c r="U786" s="21" t="n">
        <f aca="false">S786-T786</f>
        <v>0.0206185566930799</v>
      </c>
      <c r="V786" s="21" t="n">
        <f aca="false">Y786-O786*R786/(1-R786)</f>
        <v>0.20618556701811</v>
      </c>
      <c r="W786" s="21" t="n">
        <f aca="false">Z786-P786*R786/(1-R786)</f>
        <v>-0.226804123711418</v>
      </c>
      <c r="X786" s="21" t="n">
        <f aca="false">S786+V786+W786</f>
        <v>81478</v>
      </c>
      <c r="Y786" s="19" t="n">
        <v>79439</v>
      </c>
      <c r="Z786" s="19" t="n">
        <v>2039</v>
      </c>
      <c r="AA786" s="19" t="n">
        <v>2634456</v>
      </c>
      <c r="AB786" s="29" t="n">
        <v>40.689</v>
      </c>
      <c r="AC786" s="29" t="n">
        <v>39.83525</v>
      </c>
      <c r="AD786" s="24" t="n">
        <f aca="false">IFERROR(AA786/AC786,0)</f>
        <v>66133.7885415555</v>
      </c>
      <c r="AE786" s="25" t="n">
        <f aca="false">K786-Q786-X786</f>
        <v>-1</v>
      </c>
      <c r="AF786" s="25" t="n">
        <f aca="false">Q786-AA786</f>
        <v>0</v>
      </c>
      <c r="AG786" s="19" t="n">
        <v>2715933.66085899</v>
      </c>
      <c r="AH786" s="26" t="n">
        <f aca="false">IFERROR(AG786/Q786,0)</f>
        <v>1.03092769849221</v>
      </c>
      <c r="AI786" s="27" t="n">
        <v>388612021.857924</v>
      </c>
      <c r="AJ786" s="26" t="n">
        <f aca="false">IF(AI786&gt;0,AprCoef/SQRT(AI786),0)</f>
        <v>0.0240447477829287</v>
      </c>
      <c r="AK786" s="24" t="n">
        <f aca="false">AI786*AJ786/365</f>
        <v>25600.2138383226</v>
      </c>
      <c r="AL786" s="24" t="n">
        <f aca="false">AD786</f>
        <v>66133.7885415555</v>
      </c>
      <c r="AM786" s="24" t="n">
        <f aca="false">AK786-AL786</f>
        <v>-40533.574703233</v>
      </c>
      <c r="AN786" s="28" t="str">
        <f aca="false">IF(A786&gt;=Hip3LaunchDate,"YES","")</f>
        <v/>
      </c>
      <c r="AO786" s="28" t="str">
        <f aca="false">IF(A786&lt;Hip4LaunchDate,"pre-launch","live (zero-fee)")</f>
        <v>pre-launch</v>
      </c>
      <c r="AP786" s="20"/>
      <c r="AQ786" s="20"/>
      <c r="AR786" s="20"/>
    </row>
    <row r="787" customFormat="false" ht="15" hidden="false" customHeight="false" outlineLevel="0" collapsed="false">
      <c r="A787" s="18" t="n">
        <v>45848</v>
      </c>
      <c r="B787" s="19" t="n">
        <v>10991694982.2</v>
      </c>
      <c r="C787" s="19" t="n">
        <v>0</v>
      </c>
      <c r="D787" s="19" t="n">
        <v>408100683</v>
      </c>
      <c r="E787" s="21" t="n">
        <f aca="false">B787+C787</f>
        <v>10991694982.2</v>
      </c>
      <c r="F787" s="21" t="n">
        <f aca="false">E787+D787</f>
        <v>11399795665.2</v>
      </c>
      <c r="G787" s="22" t="n">
        <f aca="false">IFERROR(C787/E787,0)</f>
        <v>0</v>
      </c>
      <c r="H787" s="19" t="n">
        <v>3383736</v>
      </c>
      <c r="I787" s="19" t="n">
        <v>94024</v>
      </c>
      <c r="J787" s="19" t="n">
        <v>103506</v>
      </c>
      <c r="K787" s="21" t="n">
        <f aca="false">H787+I787</f>
        <v>3477760</v>
      </c>
      <c r="L787" s="20"/>
      <c r="M787" s="21" t="n">
        <f aca="false">H787-L787</f>
        <v>3383736</v>
      </c>
      <c r="N787" s="23" t="n">
        <f aca="false">IFERROR(M787/B787*10000,0)</f>
        <v>3.07844786948659</v>
      </c>
      <c r="O787" s="19" t="n">
        <v>3282224</v>
      </c>
      <c r="P787" s="19" t="n">
        <v>91203</v>
      </c>
      <c r="Q787" s="21" t="n">
        <f aca="false">O787+P787</f>
        <v>3373427</v>
      </c>
      <c r="R787" s="22" t="n">
        <f aca="false">IF(A787&lt;HlpChangeDate,HlpSharePre,HlpSharePost)</f>
        <v>0.03</v>
      </c>
      <c r="S787" s="21" t="n">
        <f aca="false">Q787*R787/(1-R787)</f>
        <v>104332.793814433</v>
      </c>
      <c r="T787" s="19" t="n">
        <v>103506</v>
      </c>
      <c r="U787" s="21" t="n">
        <f aca="false">S787-T787</f>
        <v>826.793814432996</v>
      </c>
      <c r="V787" s="21" t="n">
        <f aca="false">Y787-O787*R787/(1-R787)</f>
        <v>-0.0824742268014234</v>
      </c>
      <c r="W787" s="21" t="n">
        <f aca="false">Z787-P787*R787/(1-R787)</f>
        <v>0.288659793814531</v>
      </c>
      <c r="X787" s="21" t="n">
        <f aca="false">S787+V787+W787</f>
        <v>104333</v>
      </c>
      <c r="Y787" s="19" t="n">
        <v>101512</v>
      </c>
      <c r="Z787" s="19" t="n">
        <v>2821</v>
      </c>
      <c r="AA787" s="19" t="n">
        <v>3373427</v>
      </c>
      <c r="AB787" s="29" t="n">
        <v>43.788</v>
      </c>
      <c r="AC787" s="29" t="n">
        <v>42.251</v>
      </c>
      <c r="AD787" s="24" t="n">
        <f aca="false">IFERROR(AA787/AC787,0)</f>
        <v>79842.5362713309</v>
      </c>
      <c r="AE787" s="25" t="n">
        <f aca="false">K787-Q787-X787</f>
        <v>0</v>
      </c>
      <c r="AF787" s="25" t="n">
        <f aca="false">Q787-AA787</f>
        <v>0</v>
      </c>
      <c r="AG787" s="19" t="n">
        <v>3450198.97847605</v>
      </c>
      <c r="AH787" s="26" t="n">
        <f aca="false">IFERROR(AG787/Q787,0)</f>
        <v>1.02275785973019</v>
      </c>
      <c r="AI787" s="27" t="n">
        <v>388748633.879781</v>
      </c>
      <c r="AJ787" s="26" t="n">
        <f aca="false">IF(AI787&gt;0,AprCoef/SQRT(AI787),0)</f>
        <v>0.0240405225716275</v>
      </c>
      <c r="AK787" s="24" t="n">
        <f aca="false">AI787*AJ787/365</f>
        <v>25604.7131711678</v>
      </c>
      <c r="AL787" s="24" t="n">
        <f aca="false">AD787</f>
        <v>79842.5362713309</v>
      </c>
      <c r="AM787" s="24" t="n">
        <f aca="false">AK787-AL787</f>
        <v>-54237.8231001631</v>
      </c>
      <c r="AN787" s="28" t="str">
        <f aca="false">IF(A787&gt;=Hip3LaunchDate,"YES","")</f>
        <v/>
      </c>
      <c r="AO787" s="28" t="str">
        <f aca="false">IF(A787&lt;Hip4LaunchDate,"pre-launch","live (zero-fee)")</f>
        <v>pre-launch</v>
      </c>
      <c r="AP787" s="20"/>
      <c r="AQ787" s="20"/>
      <c r="AR787" s="20"/>
    </row>
    <row r="788" customFormat="false" ht="15" hidden="false" customHeight="false" outlineLevel="0" collapsed="false">
      <c r="A788" s="18" t="n">
        <v>45849</v>
      </c>
      <c r="B788" s="19" t="n">
        <v>12433064594.49</v>
      </c>
      <c r="C788" s="19" t="n">
        <v>0</v>
      </c>
      <c r="D788" s="19" t="n">
        <v>470323564</v>
      </c>
      <c r="E788" s="21" t="n">
        <f aca="false">B788+C788</f>
        <v>12433064594.49</v>
      </c>
      <c r="F788" s="21" t="n">
        <f aca="false">E788+D788</f>
        <v>12903388158.49</v>
      </c>
      <c r="G788" s="22" t="n">
        <f aca="false">IFERROR(C788/E788,0)</f>
        <v>0</v>
      </c>
      <c r="H788" s="19" t="n">
        <v>3718240</v>
      </c>
      <c r="I788" s="19" t="n">
        <v>108458</v>
      </c>
      <c r="J788" s="19" t="n">
        <v>115349</v>
      </c>
      <c r="K788" s="21" t="n">
        <f aca="false">H788+I788</f>
        <v>3826698</v>
      </c>
      <c r="L788" s="20"/>
      <c r="M788" s="21" t="n">
        <f aca="false">H788-L788</f>
        <v>3718240</v>
      </c>
      <c r="N788" s="23" t="n">
        <f aca="false">IFERROR(M788/B788*10000,0)</f>
        <v>2.99060619507102</v>
      </c>
      <c r="O788" s="19" t="n">
        <v>3606693</v>
      </c>
      <c r="P788" s="19" t="n">
        <v>105205</v>
      </c>
      <c r="Q788" s="21" t="n">
        <f aca="false">O788+P788</f>
        <v>3711898</v>
      </c>
      <c r="R788" s="22" t="n">
        <f aca="false">IF(A788&lt;HlpChangeDate,HlpSharePre,HlpSharePost)</f>
        <v>0.03</v>
      </c>
      <c r="S788" s="21" t="n">
        <f aca="false">Q788*R788/(1-R788)</f>
        <v>114800.969072165</v>
      </c>
      <c r="T788" s="19" t="n">
        <v>115349</v>
      </c>
      <c r="U788" s="21" t="n">
        <f aca="false">S788-T788</f>
        <v>-548.030927835047</v>
      </c>
      <c r="V788" s="21" t="n">
        <f aca="false">Y788-O788*R788/(1-R788)</f>
        <v>-0.206185567003558</v>
      </c>
      <c r="W788" s="21" t="n">
        <f aca="false">Z788-P788*R788/(1-R788)</f>
        <v>0.237113402061823</v>
      </c>
      <c r="X788" s="21" t="n">
        <f aca="false">S788+V788+W788</f>
        <v>114801</v>
      </c>
      <c r="Y788" s="19" t="n">
        <v>111547</v>
      </c>
      <c r="Z788" s="19" t="n">
        <v>3254</v>
      </c>
      <c r="AA788" s="19" t="n">
        <v>3711898</v>
      </c>
      <c r="AB788" s="29" t="n">
        <v>46.301</v>
      </c>
      <c r="AC788" s="29" t="n">
        <v>45.01275</v>
      </c>
      <c r="AD788" s="24" t="n">
        <f aca="false">IFERROR(AA788/AC788,0)</f>
        <v>82463.2576325597</v>
      </c>
      <c r="AE788" s="25" t="n">
        <f aca="false">K788-Q788-X788</f>
        <v>-1.00000000001455</v>
      </c>
      <c r="AF788" s="25" t="n">
        <f aca="false">Q788-AA788</f>
        <v>0</v>
      </c>
      <c r="AG788" s="19" t="n">
        <v>3844957.19537896</v>
      </c>
      <c r="AH788" s="26" t="n">
        <f aca="false">IFERROR(AG788/Q788,0)</f>
        <v>1.03584667342124</v>
      </c>
      <c r="AI788" s="27" t="n">
        <v>388885245.901639</v>
      </c>
      <c r="AJ788" s="26" t="n">
        <f aca="false">IF(AI788&gt;0,AprCoef/SQRT(AI788),0)</f>
        <v>0.0240362995869421</v>
      </c>
      <c r="AK788" s="24" t="n">
        <f aca="false">AI788*AJ788/365</f>
        <v>25609.2117135163</v>
      </c>
      <c r="AL788" s="24" t="n">
        <f aca="false">AD788</f>
        <v>82463.2576325597</v>
      </c>
      <c r="AM788" s="24" t="n">
        <f aca="false">AK788-AL788</f>
        <v>-56854.0459190433</v>
      </c>
      <c r="AN788" s="28" t="str">
        <f aca="false">IF(A788&gt;=Hip3LaunchDate,"YES","")</f>
        <v/>
      </c>
      <c r="AO788" s="28" t="str">
        <f aca="false">IF(A788&lt;Hip4LaunchDate,"pre-launch","live (zero-fee)")</f>
        <v>pre-launch</v>
      </c>
      <c r="AP788" s="20"/>
      <c r="AQ788" s="20"/>
      <c r="AR788" s="20"/>
    </row>
    <row r="789" customFormat="false" ht="15" hidden="false" customHeight="false" outlineLevel="0" collapsed="false">
      <c r="A789" s="18" t="n">
        <v>45850</v>
      </c>
      <c r="B789" s="19" t="n">
        <v>5486400795.63</v>
      </c>
      <c r="C789" s="19" t="n">
        <v>0</v>
      </c>
      <c r="D789" s="19" t="n">
        <v>306157655</v>
      </c>
      <c r="E789" s="21" t="n">
        <f aca="false">B789+C789</f>
        <v>5486400795.63</v>
      </c>
      <c r="F789" s="21" t="n">
        <f aca="false">E789+D789</f>
        <v>5792558450.63</v>
      </c>
      <c r="G789" s="22" t="n">
        <f aca="false">IFERROR(C789/E789,0)</f>
        <v>0</v>
      </c>
      <c r="H789" s="19" t="n">
        <v>1694005</v>
      </c>
      <c r="I789" s="19" t="n">
        <v>76542</v>
      </c>
      <c r="J789" s="19" t="n">
        <v>53395</v>
      </c>
      <c r="K789" s="21" t="n">
        <f aca="false">H789+I789</f>
        <v>1770547</v>
      </c>
      <c r="L789" s="20"/>
      <c r="M789" s="21" t="n">
        <f aca="false">H789-L789</f>
        <v>1694005</v>
      </c>
      <c r="N789" s="23" t="n">
        <f aca="false">IFERROR(M789/B789*10000,0)</f>
        <v>3.0876435446519</v>
      </c>
      <c r="O789" s="19" t="n">
        <v>1643185</v>
      </c>
      <c r="P789" s="19" t="n">
        <v>74246</v>
      </c>
      <c r="Q789" s="21" t="n">
        <f aca="false">O789+P789</f>
        <v>1717431</v>
      </c>
      <c r="R789" s="22" t="n">
        <f aca="false">IF(A789&lt;HlpChangeDate,HlpSharePre,HlpSharePost)</f>
        <v>0.03</v>
      </c>
      <c r="S789" s="21" t="n">
        <f aca="false">Q789*R789/(1-R789)</f>
        <v>53116.4226804124</v>
      </c>
      <c r="T789" s="19" t="n">
        <v>53395</v>
      </c>
      <c r="U789" s="21" t="n">
        <f aca="false">S789-T789</f>
        <v>-278.577319587625</v>
      </c>
      <c r="V789" s="21" t="n">
        <f aca="false">Y789-O789*R789/(1-R789)</f>
        <v>-0.154639175256307</v>
      </c>
      <c r="W789" s="21" t="n">
        <f aca="false">Z789-P789*R789/(1-R789)</f>
        <v>-0.268041237113721</v>
      </c>
      <c r="X789" s="21" t="n">
        <f aca="false">S789+V789+W789</f>
        <v>53116</v>
      </c>
      <c r="Y789" s="19" t="n">
        <v>50820</v>
      </c>
      <c r="Z789" s="19" t="n">
        <v>2296</v>
      </c>
      <c r="AA789" s="19" t="n">
        <v>1717431</v>
      </c>
      <c r="AB789" s="29" t="n">
        <v>47.099</v>
      </c>
      <c r="AC789" s="29" t="n">
        <v>46.45575</v>
      </c>
      <c r="AD789" s="24" t="n">
        <f aca="false">IFERROR(AA789/AC789,0)</f>
        <v>36969.1803490418</v>
      </c>
      <c r="AE789" s="25" t="n">
        <f aca="false">K789-Q789-X789</f>
        <v>0</v>
      </c>
      <c r="AF789" s="25" t="n">
        <f aca="false">Q789-AA789</f>
        <v>0</v>
      </c>
      <c r="AG789" s="19" t="n">
        <v>1779849.63624799</v>
      </c>
      <c r="AH789" s="26" t="n">
        <f aca="false">IFERROR(AG789/Q789,0)</f>
        <v>1.03634418864455</v>
      </c>
      <c r="AI789" s="27" t="n">
        <v>389021857.923497</v>
      </c>
      <c r="AJ789" s="26" t="n">
        <f aca="false">IF(AI789&gt;0,AprCoef/SQRT(AI789),0)</f>
        <v>0.0240320788269177</v>
      </c>
      <c r="AK789" s="24" t="n">
        <f aca="false">AI789*AJ789/365</f>
        <v>25613.7094657848</v>
      </c>
      <c r="AL789" s="24" t="n">
        <f aca="false">AD789</f>
        <v>36969.1803490418</v>
      </c>
      <c r="AM789" s="24" t="n">
        <f aca="false">AK789-AL789</f>
        <v>-11355.470883257</v>
      </c>
      <c r="AN789" s="28" t="str">
        <f aca="false">IF(A789&gt;=Hip3LaunchDate,"YES","")</f>
        <v/>
      </c>
      <c r="AO789" s="28" t="str">
        <f aca="false">IF(A789&lt;Hip4LaunchDate,"pre-launch","live (zero-fee)")</f>
        <v>pre-launch</v>
      </c>
      <c r="AP789" s="20"/>
      <c r="AQ789" s="20"/>
      <c r="AR789" s="20"/>
    </row>
    <row r="790" customFormat="false" ht="15" hidden="false" customHeight="false" outlineLevel="0" collapsed="false">
      <c r="A790" s="18" t="n">
        <v>45851</v>
      </c>
      <c r="B790" s="19" t="n">
        <v>6412427250.74</v>
      </c>
      <c r="C790" s="19" t="n">
        <v>0</v>
      </c>
      <c r="D790" s="19" t="n">
        <v>302499066</v>
      </c>
      <c r="E790" s="21" t="n">
        <f aca="false">B790+C790</f>
        <v>6412427250.74</v>
      </c>
      <c r="F790" s="21" t="n">
        <f aca="false">E790+D790</f>
        <v>6714926316.74</v>
      </c>
      <c r="G790" s="22" t="n">
        <f aca="false">IFERROR(C790/E790,0)</f>
        <v>0</v>
      </c>
      <c r="H790" s="19" t="n">
        <v>1940257</v>
      </c>
      <c r="I790" s="19" t="n">
        <v>70779</v>
      </c>
      <c r="J790" s="19" t="n">
        <v>59679</v>
      </c>
      <c r="K790" s="21" t="n">
        <f aca="false">H790+I790</f>
        <v>2011036</v>
      </c>
      <c r="L790" s="20"/>
      <c r="M790" s="21" t="n">
        <f aca="false">H790-L790</f>
        <v>1940257</v>
      </c>
      <c r="N790" s="23" t="n">
        <f aca="false">IFERROR(M790/B790*10000,0)</f>
        <v>3.0257762375021</v>
      </c>
      <c r="O790" s="19" t="n">
        <v>1882049</v>
      </c>
      <c r="P790" s="19" t="n">
        <v>68655</v>
      </c>
      <c r="Q790" s="21" t="n">
        <f aca="false">O790+P790</f>
        <v>1950704</v>
      </c>
      <c r="R790" s="22" t="n">
        <f aca="false">IF(A790&lt;HlpChangeDate,HlpSharePre,HlpSharePost)</f>
        <v>0.03</v>
      </c>
      <c r="S790" s="21" t="n">
        <f aca="false">Q790*R790/(1-R790)</f>
        <v>60331.0515463918</v>
      </c>
      <c r="T790" s="19" t="n">
        <v>59679</v>
      </c>
      <c r="U790" s="21" t="n">
        <f aca="false">S790-T790</f>
        <v>652.051546391747</v>
      </c>
      <c r="V790" s="21" t="n">
        <f aca="false">Y790-O790*R790/(1-R790)</f>
        <v>0.298969072158798</v>
      </c>
      <c r="W790" s="21" t="n">
        <f aca="false">Z790-P790*R790/(1-R790)</f>
        <v>-0.350515463917873</v>
      </c>
      <c r="X790" s="21" t="n">
        <f aca="false">S790+V790+W790</f>
        <v>60331</v>
      </c>
      <c r="Y790" s="19" t="n">
        <v>58208</v>
      </c>
      <c r="Z790" s="19" t="n">
        <v>2123</v>
      </c>
      <c r="AA790" s="19" t="n">
        <v>1950704</v>
      </c>
      <c r="AB790" s="29" t="n">
        <v>48.919</v>
      </c>
      <c r="AC790" s="29" t="n">
        <v>48.0475</v>
      </c>
      <c r="AD790" s="24" t="n">
        <f aca="false">IFERROR(AA790/AC790,0)</f>
        <v>40599.4900879338</v>
      </c>
      <c r="AE790" s="25" t="n">
        <f aca="false">K790-Q790-X790</f>
        <v>1.00000000001455</v>
      </c>
      <c r="AF790" s="25" t="n">
        <f aca="false">Q790-AA790</f>
        <v>0</v>
      </c>
      <c r="AG790" s="19" t="n">
        <v>1989306.77231401</v>
      </c>
      <c r="AH790" s="26" t="n">
        <f aca="false">IFERROR(AG790/Q790,0)</f>
        <v>1.01978914910412</v>
      </c>
      <c r="AI790" s="27" t="n">
        <v>389158469.945355</v>
      </c>
      <c r="AJ790" s="26" t="n">
        <f aca="false">IF(AI790&gt;0,AprCoef/SQRT(AI790),0)</f>
        <v>0.0240278602896015</v>
      </c>
      <c r="AK790" s="24" t="n">
        <f aca="false">AI790*AJ790/365</f>
        <v>25618.2064283892</v>
      </c>
      <c r="AL790" s="24" t="n">
        <f aca="false">AD790</f>
        <v>40599.4900879338</v>
      </c>
      <c r="AM790" s="24" t="n">
        <f aca="false">AK790-AL790</f>
        <v>-14981.2836595446</v>
      </c>
      <c r="AN790" s="28" t="str">
        <f aca="false">IF(A790&gt;=Hip3LaunchDate,"YES","")</f>
        <v/>
      </c>
      <c r="AO790" s="28" t="str">
        <f aca="false">IF(A790&lt;Hip4LaunchDate,"pre-launch","live (zero-fee)")</f>
        <v>pre-launch</v>
      </c>
      <c r="AP790" s="20"/>
      <c r="AQ790" s="20"/>
      <c r="AR790" s="20"/>
    </row>
    <row r="791" customFormat="false" ht="15" hidden="false" customHeight="false" outlineLevel="0" collapsed="false">
      <c r="A791" s="18" t="n">
        <v>45852</v>
      </c>
      <c r="B791" s="19" t="n">
        <v>13350737289.8</v>
      </c>
      <c r="C791" s="19" t="n">
        <v>0</v>
      </c>
      <c r="D791" s="19" t="n">
        <v>527347600</v>
      </c>
      <c r="E791" s="21" t="n">
        <f aca="false">B791+C791</f>
        <v>13350737289.8</v>
      </c>
      <c r="F791" s="21" t="n">
        <f aca="false">E791+D791</f>
        <v>13878084889.8</v>
      </c>
      <c r="G791" s="22" t="n">
        <f aca="false">IFERROR(C791/E791,0)</f>
        <v>0</v>
      </c>
      <c r="H791" s="19" t="n">
        <v>3956704</v>
      </c>
      <c r="I791" s="19" t="n">
        <v>121963</v>
      </c>
      <c r="J791" s="19" t="n">
        <v>123012</v>
      </c>
      <c r="K791" s="21" t="n">
        <f aca="false">H791+I791</f>
        <v>4078667</v>
      </c>
      <c r="L791" s="20"/>
      <c r="M791" s="21" t="n">
        <f aca="false">H791-L791</f>
        <v>3956704</v>
      </c>
      <c r="N791" s="23" t="n">
        <f aca="false">IFERROR(M791/B791*10000,0)</f>
        <v>2.96365954487243</v>
      </c>
      <c r="O791" s="19" t="n">
        <v>3838003</v>
      </c>
      <c r="P791" s="19" t="n">
        <v>118304</v>
      </c>
      <c r="Q791" s="21" t="n">
        <f aca="false">O791+P791</f>
        <v>3956307</v>
      </c>
      <c r="R791" s="22" t="n">
        <f aca="false">IF(A791&lt;HlpChangeDate,HlpSharePre,HlpSharePost)</f>
        <v>0.03</v>
      </c>
      <c r="S791" s="21" t="n">
        <f aca="false">Q791*R791/(1-R791)</f>
        <v>122360.010309278</v>
      </c>
      <c r="T791" s="19" t="n">
        <v>123012</v>
      </c>
      <c r="U791" s="21" t="n">
        <f aca="false">S791-T791</f>
        <v>-651.989690721661</v>
      </c>
      <c r="V791" s="21" t="n">
        <f aca="false">Y791-O791*R791/(1-R791)</f>
        <v>-0.123711340202135</v>
      </c>
      <c r="W791" s="21" t="n">
        <f aca="false">Z791-P791*R791/(1-R791)</f>
        <v>0.113402061855595</v>
      </c>
      <c r="X791" s="21" t="n">
        <f aca="false">S791+V791+W791</f>
        <v>122360</v>
      </c>
      <c r="Y791" s="19" t="n">
        <v>118701</v>
      </c>
      <c r="Z791" s="19" t="n">
        <v>3659</v>
      </c>
      <c r="AA791" s="19" t="n">
        <v>3956307</v>
      </c>
      <c r="AB791" s="29" t="n">
        <v>47.553</v>
      </c>
      <c r="AC791" s="29" t="n">
        <v>48.17775</v>
      </c>
      <c r="AD791" s="24" t="n">
        <f aca="false">IFERROR(AA791/AC791,0)</f>
        <v>82118.9657051232</v>
      </c>
      <c r="AE791" s="25" t="n">
        <f aca="false">K791-Q791-X791</f>
        <v>0</v>
      </c>
      <c r="AF791" s="25" t="n">
        <f aca="false">Q791-AA791</f>
        <v>0</v>
      </c>
      <c r="AG791" s="19" t="n">
        <v>4100396.11281604</v>
      </c>
      <c r="AH791" s="26" t="n">
        <f aca="false">IFERROR(AG791/Q791,0)</f>
        <v>1.03642010410619</v>
      </c>
      <c r="AI791" s="27" t="n">
        <v>389295081.967213</v>
      </c>
      <c r="AJ791" s="26" t="n">
        <f aca="false">IF(AI791&gt;0,AprCoef/SQRT(AI791),0)</f>
        <v>0.0240236439730434</v>
      </c>
      <c r="AK791" s="24" t="n">
        <f aca="false">AI791*AJ791/365</f>
        <v>25622.7026017455</v>
      </c>
      <c r="AL791" s="24" t="n">
        <f aca="false">AD791</f>
        <v>82118.9657051232</v>
      </c>
      <c r="AM791" s="24" t="n">
        <f aca="false">AK791-AL791</f>
        <v>-56496.2631033777</v>
      </c>
      <c r="AN791" s="28" t="str">
        <f aca="false">IF(A791&gt;=Hip3LaunchDate,"YES","")</f>
        <v/>
      </c>
      <c r="AO791" s="28" t="str">
        <f aca="false">IF(A791&lt;Hip4LaunchDate,"pre-launch","live (zero-fee)")</f>
        <v>pre-launch</v>
      </c>
      <c r="AP791" s="20"/>
      <c r="AQ791" s="20"/>
      <c r="AR791" s="20"/>
    </row>
    <row r="792" customFormat="false" ht="15" hidden="false" customHeight="false" outlineLevel="0" collapsed="false">
      <c r="A792" s="18" t="n">
        <v>45853</v>
      </c>
      <c r="B792" s="19" t="n">
        <v>17479662857.74</v>
      </c>
      <c r="C792" s="19" t="n">
        <v>0</v>
      </c>
      <c r="D792" s="19" t="n">
        <v>568382607</v>
      </c>
      <c r="E792" s="21" t="n">
        <f aca="false">B792+C792</f>
        <v>17479662857.74</v>
      </c>
      <c r="F792" s="21" t="n">
        <f aca="false">E792+D792</f>
        <v>18048045464.74</v>
      </c>
      <c r="G792" s="22" t="n">
        <f aca="false">IFERROR(C792/E792,0)</f>
        <v>0</v>
      </c>
      <c r="H792" s="19" t="n">
        <v>4932050</v>
      </c>
      <c r="I792" s="19" t="n">
        <v>126425</v>
      </c>
      <c r="J792" s="19" t="n">
        <v>151754</v>
      </c>
      <c r="K792" s="21" t="n">
        <f aca="false">H792+I792</f>
        <v>5058475</v>
      </c>
      <c r="L792" s="20"/>
      <c r="M792" s="21" t="n">
        <f aca="false">H792-L792</f>
        <v>4932050</v>
      </c>
      <c r="N792" s="23" t="n">
        <f aca="false">IFERROR(M792/B792*10000,0)</f>
        <v>2.82159332256004</v>
      </c>
      <c r="O792" s="19" t="n">
        <v>4784089</v>
      </c>
      <c r="P792" s="19" t="n">
        <v>122632</v>
      </c>
      <c r="Q792" s="21" t="n">
        <f aca="false">O792+P792</f>
        <v>4906721</v>
      </c>
      <c r="R792" s="22" t="n">
        <f aca="false">IF(A792&lt;HlpChangeDate,HlpSharePre,HlpSharePost)</f>
        <v>0.03</v>
      </c>
      <c r="S792" s="21" t="n">
        <f aca="false">Q792*R792/(1-R792)</f>
        <v>151754.257731959</v>
      </c>
      <c r="T792" s="19" t="n">
        <v>151754</v>
      </c>
      <c r="U792" s="21" t="n">
        <f aca="false">S792-T792</f>
        <v>0.257731958758086</v>
      </c>
      <c r="V792" s="21" t="n">
        <f aca="false">Y792-O792*R792/(1-R792)</f>
        <v>0.484536082483828</v>
      </c>
      <c r="W792" s="21" t="n">
        <f aca="false">Z792-P792*R792/(1-R792)</f>
        <v>0.257731958762633</v>
      </c>
      <c r="X792" s="21" t="n">
        <f aca="false">S792+V792+W792</f>
        <v>151755</v>
      </c>
      <c r="Y792" s="19" t="n">
        <v>147962</v>
      </c>
      <c r="Z792" s="19" t="n">
        <v>3793</v>
      </c>
      <c r="AA792" s="19" t="n">
        <v>4906721</v>
      </c>
      <c r="AB792" s="29" t="n">
        <v>47.83</v>
      </c>
      <c r="AC792" s="29" t="n">
        <v>47.58725</v>
      </c>
      <c r="AD792" s="24" t="n">
        <f aca="false">IFERROR(AA792/AC792,0)</f>
        <v>103109.992697624</v>
      </c>
      <c r="AE792" s="25" t="n">
        <f aca="false">K792-Q792-X792</f>
        <v>-1</v>
      </c>
      <c r="AF792" s="25" t="n">
        <f aca="false">Q792-AA792</f>
        <v>0</v>
      </c>
      <c r="AG792" s="19" t="n">
        <v>5058475.53065896</v>
      </c>
      <c r="AH792" s="26" t="n">
        <f aca="false">IFERROR(AG792/Q792,0)</f>
        <v>1.03092789067464</v>
      </c>
      <c r="AI792" s="27" t="n">
        <v>389431693.989071</v>
      </c>
      <c r="AJ792" s="26" t="n">
        <f aca="false">IF(AI792&gt;0,AprCoef/SQRT(AI792),0)</f>
        <v>0.0240194298752958</v>
      </c>
      <c r="AK792" s="24" t="n">
        <f aca="false">AI792*AJ792/365</f>
        <v>25627.1979862689</v>
      </c>
      <c r="AL792" s="24" t="n">
        <f aca="false">AD792</f>
        <v>103109.992697624</v>
      </c>
      <c r="AM792" s="24" t="n">
        <f aca="false">AK792-AL792</f>
        <v>-77482.794711355</v>
      </c>
      <c r="AN792" s="28" t="str">
        <f aca="false">IF(A792&gt;=Hip3LaunchDate,"YES","")</f>
        <v/>
      </c>
      <c r="AO792" s="28" t="str">
        <f aca="false">IF(A792&lt;Hip4LaunchDate,"pre-launch","live (zero-fee)")</f>
        <v>pre-launch</v>
      </c>
      <c r="AP792" s="20"/>
      <c r="AQ792" s="20"/>
      <c r="AR792" s="20"/>
    </row>
    <row r="793" customFormat="false" ht="15" hidden="false" customHeight="false" outlineLevel="0" collapsed="false">
      <c r="A793" s="18" t="n">
        <v>45854</v>
      </c>
      <c r="B793" s="19" t="n">
        <v>14838264786.44</v>
      </c>
      <c r="C793" s="19" t="n">
        <v>0</v>
      </c>
      <c r="D793" s="19" t="n">
        <v>482934022</v>
      </c>
      <c r="E793" s="21" t="n">
        <f aca="false">B793+C793</f>
        <v>14838264786.44</v>
      </c>
      <c r="F793" s="21" t="n">
        <f aca="false">E793+D793</f>
        <v>15321198808.44</v>
      </c>
      <c r="G793" s="22" t="n">
        <f aca="false">IFERROR(C793/E793,0)</f>
        <v>0</v>
      </c>
      <c r="H793" s="19" t="n">
        <v>4375611</v>
      </c>
      <c r="I793" s="19" t="n">
        <v>110036</v>
      </c>
      <c r="J793" s="19" t="n">
        <v>134569</v>
      </c>
      <c r="K793" s="21" t="n">
        <f aca="false">H793+I793</f>
        <v>4485647</v>
      </c>
      <c r="L793" s="20"/>
      <c r="M793" s="21" t="n">
        <f aca="false">H793-L793</f>
        <v>4375611</v>
      </c>
      <c r="N793" s="23" t="n">
        <f aca="false">IFERROR(M793/B793*10000,0)</f>
        <v>2.9488697384607</v>
      </c>
      <c r="O793" s="19" t="n">
        <v>4244343</v>
      </c>
      <c r="P793" s="19" t="n">
        <v>106735</v>
      </c>
      <c r="Q793" s="21" t="n">
        <f aca="false">O793+P793</f>
        <v>4351078</v>
      </c>
      <c r="R793" s="22" t="n">
        <f aca="false">IF(A793&lt;HlpChangeDate,HlpSharePre,HlpSharePost)</f>
        <v>0.03</v>
      </c>
      <c r="S793" s="21" t="n">
        <f aca="false">Q793*R793/(1-R793)</f>
        <v>134569.422680412</v>
      </c>
      <c r="T793" s="19" t="n">
        <v>134569</v>
      </c>
      <c r="U793" s="21" t="n">
        <f aca="false">S793-T793</f>
        <v>0.422680412360933</v>
      </c>
      <c r="V793" s="21" t="n">
        <f aca="false">Y793-O793*R793/(1-R793)</f>
        <v>-0.340206185559509</v>
      </c>
      <c r="W793" s="21" t="n">
        <f aca="false">Z793-P793*R793/(1-R793)</f>
        <v>-0.0824742268041518</v>
      </c>
      <c r="X793" s="21" t="n">
        <f aca="false">S793+V793+W793</f>
        <v>134569</v>
      </c>
      <c r="Y793" s="19" t="n">
        <v>131268</v>
      </c>
      <c r="Z793" s="19" t="n">
        <v>3301</v>
      </c>
      <c r="AA793" s="19" t="n">
        <v>4351078</v>
      </c>
      <c r="AB793" s="29" t="n">
        <v>47.044</v>
      </c>
      <c r="AC793" s="29" t="n">
        <v>47.48225</v>
      </c>
      <c r="AD793" s="24" t="n">
        <f aca="false">IFERROR(AA793/AC793,0)</f>
        <v>91635.884988601</v>
      </c>
      <c r="AE793" s="25" t="n">
        <f aca="false">K793-Q793-X793</f>
        <v>0</v>
      </c>
      <c r="AF793" s="25" t="n">
        <f aca="false">Q793-AA793</f>
        <v>0</v>
      </c>
      <c r="AG793" s="19" t="n">
        <v>4485646.68781501</v>
      </c>
      <c r="AH793" s="26" t="n">
        <f aca="false">IFERROR(AG793/Q793,0)</f>
        <v>1.03092766615883</v>
      </c>
      <c r="AI793" s="27" t="n">
        <v>389568306.010929</v>
      </c>
      <c r="AJ793" s="26" t="n">
        <f aca="false">IF(AI793&gt;0,AprCoef/SQRT(AI793),0)</f>
        <v>0.0240152179944131</v>
      </c>
      <c r="AK793" s="24" t="n">
        <f aca="false">AI793*AJ793/365</f>
        <v>25631.6925823745</v>
      </c>
      <c r="AL793" s="24" t="n">
        <f aca="false">AD793</f>
        <v>91635.884988601</v>
      </c>
      <c r="AM793" s="24" t="n">
        <f aca="false">AK793-AL793</f>
        <v>-66004.1924062265</v>
      </c>
      <c r="AN793" s="28" t="str">
        <f aca="false">IF(A793&gt;=Hip3LaunchDate,"YES","")</f>
        <v/>
      </c>
      <c r="AO793" s="28" t="str">
        <f aca="false">IF(A793&lt;Hip4LaunchDate,"pre-launch","live (zero-fee)")</f>
        <v>pre-launch</v>
      </c>
      <c r="AP793" s="20"/>
      <c r="AQ793" s="20"/>
      <c r="AR793" s="20"/>
    </row>
    <row r="794" customFormat="false" ht="15" hidden="false" customHeight="false" outlineLevel="0" collapsed="false">
      <c r="A794" s="18" t="n">
        <v>45855</v>
      </c>
      <c r="B794" s="19" t="n">
        <v>16730826628.91</v>
      </c>
      <c r="C794" s="19" t="n">
        <v>0</v>
      </c>
      <c r="D794" s="19" t="n">
        <v>613486677</v>
      </c>
      <c r="E794" s="21" t="n">
        <f aca="false">B794+C794</f>
        <v>16730826628.91</v>
      </c>
      <c r="F794" s="21" t="n">
        <f aca="false">E794+D794</f>
        <v>17344313305.91</v>
      </c>
      <c r="G794" s="22" t="n">
        <f aca="false">IFERROR(C794/E794,0)</f>
        <v>0</v>
      </c>
      <c r="H794" s="19" t="n">
        <v>4857677</v>
      </c>
      <c r="I794" s="19" t="n">
        <v>141592</v>
      </c>
      <c r="J794" s="19" t="n">
        <v>149978</v>
      </c>
      <c r="K794" s="21" t="n">
        <f aca="false">H794+I794</f>
        <v>4999269</v>
      </c>
      <c r="L794" s="20"/>
      <c r="M794" s="21" t="n">
        <f aca="false">H794-L794</f>
        <v>4857677</v>
      </c>
      <c r="N794" s="23" t="n">
        <f aca="false">IFERROR(M794/B794*10000,0)</f>
        <v>2.9034291656613</v>
      </c>
      <c r="O794" s="19" t="n">
        <v>4711947</v>
      </c>
      <c r="P794" s="19" t="n">
        <v>137344</v>
      </c>
      <c r="Q794" s="21" t="n">
        <f aca="false">O794+P794</f>
        <v>4849291</v>
      </c>
      <c r="R794" s="22" t="n">
        <f aca="false">IF(A794&lt;HlpChangeDate,HlpSharePre,HlpSharePost)</f>
        <v>0.03</v>
      </c>
      <c r="S794" s="21" t="n">
        <f aca="false">Q794*R794/(1-R794)</f>
        <v>149978.072164948</v>
      </c>
      <c r="T794" s="19" t="n">
        <v>149978</v>
      </c>
      <c r="U794" s="21" t="n">
        <f aca="false">S794-T794</f>
        <v>0.0721649484476075</v>
      </c>
      <c r="V794" s="21" t="n">
        <f aca="false">Y794-O794*R794/(1-R794)</f>
        <v>-0.319587628880981</v>
      </c>
      <c r="W794" s="21" t="n">
        <f aca="false">Z794-P794*R794/(1-R794)</f>
        <v>0.247422680412456</v>
      </c>
      <c r="X794" s="21" t="n">
        <f aca="false">S794+V794+W794</f>
        <v>149978</v>
      </c>
      <c r="Y794" s="19" t="n">
        <v>145730</v>
      </c>
      <c r="Z794" s="19" t="n">
        <v>4248</v>
      </c>
      <c r="AA794" s="19" t="n">
        <v>4849291</v>
      </c>
      <c r="AB794" s="29" t="n">
        <v>45.605</v>
      </c>
      <c r="AC794" s="29" t="n">
        <v>46.11875</v>
      </c>
      <c r="AD794" s="24" t="n">
        <f aca="false">IFERROR(AA794/AC794,0)</f>
        <v>105147.92790351</v>
      </c>
      <c r="AE794" s="25" t="n">
        <f aca="false">K794-Q794-X794</f>
        <v>0</v>
      </c>
      <c r="AF794" s="25" t="n">
        <f aca="false">Q794-AA794</f>
        <v>0</v>
      </c>
      <c r="AG794" s="19" t="n">
        <v>4999268.95007801</v>
      </c>
      <c r="AH794" s="26" t="n">
        <f aca="false">IFERROR(AG794/Q794,0)</f>
        <v>1.0309278098753</v>
      </c>
      <c r="AI794" s="27" t="n">
        <v>389704918.032787</v>
      </c>
      <c r="AJ794" s="26" t="n">
        <f aca="false">IF(AI794&gt;0,AprCoef/SQRT(AI794),0)</f>
        <v>0.0240110083284525</v>
      </c>
      <c r="AK794" s="24" t="n">
        <f aca="false">AI794*AJ794/365</f>
        <v>25636.1863904771</v>
      </c>
      <c r="AL794" s="24" t="n">
        <f aca="false">AD794</f>
        <v>105147.92790351</v>
      </c>
      <c r="AM794" s="24" t="n">
        <f aca="false">AK794-AL794</f>
        <v>-79511.7415130328</v>
      </c>
      <c r="AN794" s="28" t="str">
        <f aca="false">IF(A794&gt;=Hip3LaunchDate,"YES","")</f>
        <v/>
      </c>
      <c r="AO794" s="28" t="str">
        <f aca="false">IF(A794&lt;Hip4LaunchDate,"pre-launch","live (zero-fee)")</f>
        <v>pre-launch</v>
      </c>
      <c r="AP794" s="20"/>
      <c r="AQ794" s="20"/>
      <c r="AR794" s="20"/>
    </row>
    <row r="795" customFormat="false" ht="15" hidden="false" customHeight="false" outlineLevel="0" collapsed="false">
      <c r="A795" s="18" t="n">
        <v>45856</v>
      </c>
      <c r="B795" s="19" t="n">
        <v>17860068610.46</v>
      </c>
      <c r="C795" s="19" t="n">
        <v>0</v>
      </c>
      <c r="D795" s="19" t="n">
        <v>516622789</v>
      </c>
      <c r="E795" s="21" t="n">
        <f aca="false">B795+C795</f>
        <v>17860068610.46</v>
      </c>
      <c r="F795" s="21" t="n">
        <f aca="false">E795+D795</f>
        <v>18376691399.46</v>
      </c>
      <c r="G795" s="22" t="n">
        <f aca="false">IFERROR(C795/E795,0)</f>
        <v>0</v>
      </c>
      <c r="H795" s="19" t="n">
        <v>5054755</v>
      </c>
      <c r="I795" s="19" t="n">
        <v>123230</v>
      </c>
      <c r="J795" s="19" t="n">
        <v>153347</v>
      </c>
      <c r="K795" s="21" t="n">
        <f aca="false">H795+I795</f>
        <v>5177985</v>
      </c>
      <c r="L795" s="20"/>
      <c r="M795" s="21" t="n">
        <f aca="false">H795-L795</f>
        <v>5054755</v>
      </c>
      <c r="N795" s="23" t="n">
        <f aca="false">IFERROR(M795/B795*10000,0)</f>
        <v>2.8301990939943</v>
      </c>
      <c r="O795" s="19" t="n">
        <v>4903112</v>
      </c>
      <c r="P795" s="19" t="n">
        <v>119533</v>
      </c>
      <c r="Q795" s="21" t="n">
        <f aca="false">O795+P795</f>
        <v>5022645</v>
      </c>
      <c r="R795" s="22" t="n">
        <f aca="false">IF(A795&lt;HlpChangeDate,HlpSharePre,HlpSharePost)</f>
        <v>0.03</v>
      </c>
      <c r="S795" s="21" t="n">
        <f aca="false">Q795*R795/(1-R795)</f>
        <v>155339.536082474</v>
      </c>
      <c r="T795" s="19" t="n">
        <v>153347</v>
      </c>
      <c r="U795" s="21" t="n">
        <f aca="false">S795-T795</f>
        <v>1992.53608247422</v>
      </c>
      <c r="V795" s="21" t="n">
        <f aca="false">Y795-O795*R795/(1-R795)</f>
        <v>0.360824742267141</v>
      </c>
      <c r="W795" s="21" t="n">
        <f aca="false">Z795-P795*R795/(1-R795)</f>
        <v>0.103092783505417</v>
      </c>
      <c r="X795" s="21" t="n">
        <f aca="false">S795+V795+W795</f>
        <v>155340</v>
      </c>
      <c r="Y795" s="19" t="n">
        <v>151643</v>
      </c>
      <c r="Z795" s="19" t="n">
        <v>3697</v>
      </c>
      <c r="AA795" s="19" t="n">
        <v>5022645</v>
      </c>
      <c r="AB795" s="29" t="n">
        <v>44.348</v>
      </c>
      <c r="AC795" s="29" t="n">
        <v>45.12775</v>
      </c>
      <c r="AD795" s="24" t="n">
        <f aca="false">IFERROR(AA795/AC795,0)</f>
        <v>111298.369628444</v>
      </c>
      <c r="AE795" s="25" t="n">
        <f aca="false">K795-Q795-X795</f>
        <v>0</v>
      </c>
      <c r="AF795" s="25" t="n">
        <f aca="false">Q795-AA795</f>
        <v>0</v>
      </c>
      <c r="AG795" s="19" t="n">
        <v>5111562.051094</v>
      </c>
      <c r="AH795" s="26" t="n">
        <f aca="false">IFERROR(AG795/Q795,0)</f>
        <v>1.0177032322798</v>
      </c>
      <c r="AI795" s="27" t="n">
        <v>389841530.054645</v>
      </c>
      <c r="AJ795" s="26" t="n">
        <f aca="false">IF(AI795&gt;0,AprCoef/SQRT(AI795),0)</f>
        <v>0.0240068008754733</v>
      </c>
      <c r="AK795" s="24" t="n">
        <f aca="false">AI795*AJ795/365</f>
        <v>25640.6794109909</v>
      </c>
      <c r="AL795" s="24" t="n">
        <f aca="false">AD795</f>
        <v>111298.369628444</v>
      </c>
      <c r="AM795" s="24" t="n">
        <f aca="false">AK795-AL795</f>
        <v>-85657.6902174527</v>
      </c>
      <c r="AN795" s="28" t="str">
        <f aca="false">IF(A795&gt;=Hip3LaunchDate,"YES","")</f>
        <v/>
      </c>
      <c r="AO795" s="28" t="str">
        <f aca="false">IF(A795&lt;Hip4LaunchDate,"pre-launch","live (zero-fee)")</f>
        <v>pre-launch</v>
      </c>
      <c r="AP795" s="20"/>
      <c r="AQ795" s="20"/>
      <c r="AR795" s="20"/>
    </row>
    <row r="796" customFormat="false" ht="15" hidden="false" customHeight="false" outlineLevel="0" collapsed="false">
      <c r="A796" s="18" t="n">
        <v>45857</v>
      </c>
      <c r="B796" s="19" t="n">
        <v>5940465680.99</v>
      </c>
      <c r="C796" s="19" t="n">
        <v>0</v>
      </c>
      <c r="D796" s="19" t="n">
        <v>236243594</v>
      </c>
      <c r="E796" s="21" t="n">
        <f aca="false">B796+C796</f>
        <v>5940465680.99</v>
      </c>
      <c r="F796" s="21" t="n">
        <f aca="false">E796+D796</f>
        <v>6176709274.99</v>
      </c>
      <c r="G796" s="22" t="n">
        <f aca="false">IFERROR(C796/E796,0)</f>
        <v>0</v>
      </c>
      <c r="H796" s="19" t="n">
        <v>1678516</v>
      </c>
      <c r="I796" s="19" t="n">
        <v>55845</v>
      </c>
      <c r="J796" s="19" t="n">
        <v>53635</v>
      </c>
      <c r="K796" s="21" t="n">
        <f aca="false">H796+I796</f>
        <v>1734361</v>
      </c>
      <c r="L796" s="20"/>
      <c r="M796" s="21" t="n">
        <f aca="false">H796-L796</f>
        <v>1678516</v>
      </c>
      <c r="N796" s="23" t="n">
        <f aca="false">IFERROR(M796/B796*10000,0)</f>
        <v>2.82556299478574</v>
      </c>
      <c r="O796" s="19" t="n">
        <v>1628160</v>
      </c>
      <c r="P796" s="19" t="n">
        <v>54170</v>
      </c>
      <c r="Q796" s="21" t="n">
        <f aca="false">O796+P796</f>
        <v>1682330</v>
      </c>
      <c r="R796" s="22" t="n">
        <f aca="false">IF(A796&lt;HlpChangeDate,HlpSharePre,HlpSharePost)</f>
        <v>0.03</v>
      </c>
      <c r="S796" s="21" t="n">
        <f aca="false">Q796*R796/(1-R796)</f>
        <v>52030.824742268</v>
      </c>
      <c r="T796" s="19" t="n">
        <v>53635</v>
      </c>
      <c r="U796" s="21" t="n">
        <f aca="false">S796-T796</f>
        <v>-1604.17525773196</v>
      </c>
      <c r="V796" s="21" t="n">
        <f aca="false">Y796-O796*R796/(1-R796)</f>
        <v>-0.46391752576892</v>
      </c>
      <c r="W796" s="21" t="n">
        <f aca="false">Z796-P796*R796/(1-R796)</f>
        <v>-0.360824742268051</v>
      </c>
      <c r="X796" s="21" t="n">
        <f aca="false">S796+V796+W796</f>
        <v>52030</v>
      </c>
      <c r="Y796" s="19" t="n">
        <v>50355</v>
      </c>
      <c r="Z796" s="19" t="n">
        <v>1675</v>
      </c>
      <c r="AA796" s="19" t="n">
        <v>1682330</v>
      </c>
      <c r="AB796" s="29" t="n">
        <v>44.481</v>
      </c>
      <c r="AC796" s="29" t="n">
        <v>44.53225</v>
      </c>
      <c r="AD796" s="24" t="n">
        <f aca="false">IFERROR(AA796/AC796,0)</f>
        <v>37777.7902531312</v>
      </c>
      <c r="AE796" s="25" t="n">
        <f aca="false">K796-Q796-X796</f>
        <v>0.999999999992724</v>
      </c>
      <c r="AF796" s="25" t="n">
        <f aca="false">Q796-AA796</f>
        <v>0</v>
      </c>
      <c r="AG796" s="19" t="n">
        <v>1787835.35417497</v>
      </c>
      <c r="AH796" s="26" t="n">
        <f aca="false">IFERROR(AG796/Q796,0)</f>
        <v>1.06271382794991</v>
      </c>
      <c r="AI796" s="27" t="n">
        <v>389978142.076503</v>
      </c>
      <c r="AJ796" s="26" t="n">
        <f aca="false">IF(AI796&gt;0,AprCoef/SQRT(AI796),0)</f>
        <v>0.0240025956335372</v>
      </c>
      <c r="AK796" s="24" t="n">
        <f aca="false">AI796*AJ796/365</f>
        <v>25645.1716443299</v>
      </c>
      <c r="AL796" s="24" t="n">
        <f aca="false">AD796</f>
        <v>37777.7902531312</v>
      </c>
      <c r="AM796" s="24" t="n">
        <f aca="false">AK796-AL796</f>
        <v>-12132.6186088012</v>
      </c>
      <c r="AN796" s="28" t="str">
        <f aca="false">IF(A796&gt;=Hip3LaunchDate,"YES","")</f>
        <v/>
      </c>
      <c r="AO796" s="28" t="str">
        <f aca="false">IF(A796&lt;Hip4LaunchDate,"pre-launch","live (zero-fee)")</f>
        <v>pre-launch</v>
      </c>
      <c r="AP796" s="20"/>
      <c r="AQ796" s="20"/>
      <c r="AR796" s="20"/>
    </row>
    <row r="797" customFormat="false" ht="15" hidden="false" customHeight="false" outlineLevel="0" collapsed="false">
      <c r="A797" s="18" t="n">
        <v>45858</v>
      </c>
      <c r="B797" s="19" t="n">
        <v>11223164737.14</v>
      </c>
      <c r="C797" s="19" t="n">
        <v>0</v>
      </c>
      <c r="D797" s="19" t="n">
        <v>339236147</v>
      </c>
      <c r="E797" s="21" t="n">
        <f aca="false">B797+C797</f>
        <v>11223164737.14</v>
      </c>
      <c r="F797" s="21" t="n">
        <f aca="false">E797+D797</f>
        <v>11562400884.14</v>
      </c>
      <c r="G797" s="22" t="n">
        <f aca="false">IFERROR(C797/E797,0)</f>
        <v>0</v>
      </c>
      <c r="H797" s="19" t="n">
        <v>3155348</v>
      </c>
      <c r="I797" s="19" t="n">
        <v>67623</v>
      </c>
      <c r="J797" s="19" t="n">
        <v>96286</v>
      </c>
      <c r="K797" s="21" t="n">
        <f aca="false">H797+I797</f>
        <v>3222971</v>
      </c>
      <c r="L797" s="20"/>
      <c r="M797" s="21" t="n">
        <f aca="false">H797-L797</f>
        <v>3155348</v>
      </c>
      <c r="N797" s="23" t="n">
        <f aca="false">IFERROR(M797/B797*10000,0)</f>
        <v>2.81146011299134</v>
      </c>
      <c r="O797" s="19" t="n">
        <v>3060687</v>
      </c>
      <c r="P797" s="19" t="n">
        <v>65594</v>
      </c>
      <c r="Q797" s="21" t="n">
        <f aca="false">O797+P797</f>
        <v>3126281</v>
      </c>
      <c r="R797" s="22" t="n">
        <f aca="false">IF(A797&lt;HlpChangeDate,HlpSharePre,HlpSharePost)</f>
        <v>0.03</v>
      </c>
      <c r="S797" s="21" t="n">
        <f aca="false">Q797*R797/(1-R797)</f>
        <v>96689.1030927835</v>
      </c>
      <c r="T797" s="19" t="n">
        <v>96286</v>
      </c>
      <c r="U797" s="21" t="n">
        <f aca="false">S797-T797</f>
        <v>403.103092783495</v>
      </c>
      <c r="V797" s="21" t="n">
        <f aca="false">Y797-O797*R797/(1-R797)</f>
        <v>-0.422680412375485</v>
      </c>
      <c r="W797" s="21" t="n">
        <f aca="false">Z797-P797*R797/(1-R797)</f>
        <v>0.319587628865975</v>
      </c>
      <c r="X797" s="21" t="n">
        <f aca="false">S797+V797+W797</f>
        <v>96689</v>
      </c>
      <c r="Y797" s="19" t="n">
        <v>94660</v>
      </c>
      <c r="Z797" s="19" t="n">
        <v>2029</v>
      </c>
      <c r="AA797" s="19" t="n">
        <v>3126281</v>
      </c>
      <c r="AB797" s="29" t="n">
        <v>46.021</v>
      </c>
      <c r="AC797" s="29" t="n">
        <v>45.518</v>
      </c>
      <c r="AD797" s="24" t="n">
        <f aca="false">IFERROR(AA797/AC797,0)</f>
        <v>68682.3015070961</v>
      </c>
      <c r="AE797" s="25" t="n">
        <f aca="false">K797-Q797-X797</f>
        <v>1.00000000001455</v>
      </c>
      <c r="AF797" s="25" t="n">
        <f aca="false">Q797-AA797</f>
        <v>0</v>
      </c>
      <c r="AG797" s="19" t="n">
        <v>3209545.89578605</v>
      </c>
      <c r="AH797" s="26" t="n">
        <f aca="false">IFERROR(AG797/Q797,0)</f>
        <v>1.02663384890419</v>
      </c>
      <c r="AI797" s="27" t="n">
        <v>390114754.098361</v>
      </c>
      <c r="AJ797" s="26" t="n">
        <f aca="false">IF(AI797&gt;0,AprCoef/SQRT(AI797),0)</f>
        <v>0.0239983926007085</v>
      </c>
      <c r="AK797" s="24" t="n">
        <f aca="false">AI797*AJ797/365</f>
        <v>25649.6630909077</v>
      </c>
      <c r="AL797" s="24" t="n">
        <f aca="false">AD797</f>
        <v>68682.3015070961</v>
      </c>
      <c r="AM797" s="24" t="n">
        <f aca="false">AK797-AL797</f>
        <v>-43032.6384161884</v>
      </c>
      <c r="AN797" s="28" t="str">
        <f aca="false">IF(A797&gt;=Hip3LaunchDate,"YES","")</f>
        <v/>
      </c>
      <c r="AO797" s="28" t="str">
        <f aca="false">IF(A797&lt;Hip4LaunchDate,"pre-launch","live (zero-fee)")</f>
        <v>pre-launch</v>
      </c>
      <c r="AP797" s="20"/>
      <c r="AQ797" s="20"/>
      <c r="AR797" s="20"/>
    </row>
    <row r="798" customFormat="false" ht="15" hidden="false" customHeight="false" outlineLevel="0" collapsed="false">
      <c r="A798" s="18" t="n">
        <v>45859</v>
      </c>
      <c r="B798" s="19" t="n">
        <v>15217202579.29</v>
      </c>
      <c r="C798" s="19" t="n">
        <v>0</v>
      </c>
      <c r="D798" s="19" t="n">
        <v>427336704</v>
      </c>
      <c r="E798" s="21" t="n">
        <f aca="false">B798+C798</f>
        <v>15217202579.29</v>
      </c>
      <c r="F798" s="21" t="n">
        <f aca="false">E798+D798</f>
        <v>15644539283.29</v>
      </c>
      <c r="G798" s="22" t="n">
        <f aca="false">IFERROR(C798/E798,0)</f>
        <v>0</v>
      </c>
      <c r="H798" s="19" t="n">
        <v>4174849</v>
      </c>
      <c r="I798" s="19" t="n">
        <v>97640</v>
      </c>
      <c r="J798" s="19" t="n">
        <v>128966</v>
      </c>
      <c r="K798" s="21" t="n">
        <f aca="false">H798+I798</f>
        <v>4272489</v>
      </c>
      <c r="L798" s="20"/>
      <c r="M798" s="21" t="n">
        <f aca="false">H798-L798</f>
        <v>4174849</v>
      </c>
      <c r="N798" s="23" t="n">
        <f aca="false">IFERROR(M798/B798*10000,0)</f>
        <v>2.74350622477866</v>
      </c>
      <c r="O798" s="19" t="n">
        <v>4049603</v>
      </c>
      <c r="P798" s="19" t="n">
        <v>94711</v>
      </c>
      <c r="Q798" s="21" t="n">
        <f aca="false">O798+P798</f>
        <v>4144314</v>
      </c>
      <c r="R798" s="22" t="n">
        <f aca="false">IF(A798&lt;HlpChangeDate,HlpSharePre,HlpSharePost)</f>
        <v>0.03</v>
      </c>
      <c r="S798" s="21" t="n">
        <f aca="false">Q798*R798/(1-R798)</f>
        <v>128174.659793814</v>
      </c>
      <c r="T798" s="19" t="n">
        <v>128966</v>
      </c>
      <c r="U798" s="21" t="n">
        <f aca="false">S798-T798</f>
        <v>-791.34020618556</v>
      </c>
      <c r="V798" s="21" t="n">
        <f aca="false">Y798-O798*R798/(1-R798)</f>
        <v>-0.45360824742238</v>
      </c>
      <c r="W798" s="21" t="n">
        <f aca="false">Z798-P798*R798/(1-R798)</f>
        <v>-0.20618556701038</v>
      </c>
      <c r="X798" s="21" t="n">
        <f aca="false">S798+V798+W798</f>
        <v>128174</v>
      </c>
      <c r="Y798" s="19" t="n">
        <v>125245</v>
      </c>
      <c r="Z798" s="19" t="n">
        <v>2929</v>
      </c>
      <c r="AA798" s="19" t="n">
        <v>4144314</v>
      </c>
      <c r="AB798" s="29" t="n">
        <v>44.31</v>
      </c>
      <c r="AC798" s="29" t="n">
        <v>45.55</v>
      </c>
      <c r="AD798" s="24" t="n">
        <f aca="false">IFERROR(AA798/AC798,0)</f>
        <v>90983.8419319429</v>
      </c>
      <c r="AE798" s="25" t="n">
        <f aca="false">K798-Q798-X798</f>
        <v>0.999999999985448</v>
      </c>
      <c r="AF798" s="25" t="n">
        <f aca="false">Q798-AA798</f>
        <v>0</v>
      </c>
      <c r="AG798" s="19" t="n">
        <v>4298860.90597701</v>
      </c>
      <c r="AH798" s="26" t="n">
        <f aca="false">IFERROR(AG798/Q798,0)</f>
        <v>1.03729131189794</v>
      </c>
      <c r="AI798" s="27" t="n">
        <v>390251366.120219</v>
      </c>
      <c r="AJ798" s="26" t="n">
        <f aca="false">IF(AI798&gt;0,AprCoef/SQRT(AI798),0)</f>
        <v>0.0239941917750537</v>
      </c>
      <c r="AK798" s="24" t="n">
        <f aca="false">AI798*AJ798/365</f>
        <v>25654.1537511375</v>
      </c>
      <c r="AL798" s="24" t="n">
        <f aca="false">AD798</f>
        <v>90983.8419319429</v>
      </c>
      <c r="AM798" s="24" t="n">
        <f aca="false">AK798-AL798</f>
        <v>-65329.6881808054</v>
      </c>
      <c r="AN798" s="28" t="str">
        <f aca="false">IF(A798&gt;=Hip3LaunchDate,"YES","")</f>
        <v/>
      </c>
      <c r="AO798" s="28" t="str">
        <f aca="false">IF(A798&lt;Hip4LaunchDate,"pre-launch","live (zero-fee)")</f>
        <v>pre-launch</v>
      </c>
      <c r="AP798" s="20"/>
      <c r="AQ798" s="20"/>
      <c r="AR798" s="20"/>
    </row>
    <row r="799" customFormat="false" ht="15" hidden="false" customHeight="false" outlineLevel="0" collapsed="false">
      <c r="A799" s="18" t="n">
        <v>45860</v>
      </c>
      <c r="B799" s="19" t="n">
        <v>17573226980.3</v>
      </c>
      <c r="C799" s="19" t="n">
        <v>0</v>
      </c>
      <c r="D799" s="19" t="n">
        <v>507977397</v>
      </c>
      <c r="E799" s="21" t="n">
        <f aca="false">B799+C799</f>
        <v>17573226980.3</v>
      </c>
      <c r="F799" s="21" t="n">
        <f aca="false">E799+D799</f>
        <v>18081204377.3</v>
      </c>
      <c r="G799" s="22" t="n">
        <f aca="false">IFERROR(C799/E799,0)</f>
        <v>0</v>
      </c>
      <c r="H799" s="19" t="n">
        <v>4704879</v>
      </c>
      <c r="I799" s="19" t="n">
        <v>105959</v>
      </c>
      <c r="J799" s="19" t="n">
        <v>144325</v>
      </c>
      <c r="K799" s="21" t="n">
        <f aca="false">H799+I799</f>
        <v>4810838</v>
      </c>
      <c r="L799" s="20"/>
      <c r="M799" s="21" t="n">
        <f aca="false">H799-L799</f>
        <v>4704879</v>
      </c>
      <c r="N799" s="23" t="n">
        <f aca="false">IFERROR(M799/B799*10000,0)</f>
        <v>2.67729939713081</v>
      </c>
      <c r="O799" s="19" t="n">
        <v>4563732</v>
      </c>
      <c r="P799" s="19" t="n">
        <v>102780</v>
      </c>
      <c r="Q799" s="21" t="n">
        <f aca="false">O799+P799</f>
        <v>4666512</v>
      </c>
      <c r="R799" s="22" t="n">
        <f aca="false">IF(A799&lt;HlpChangeDate,HlpSharePre,HlpSharePost)</f>
        <v>0.03</v>
      </c>
      <c r="S799" s="21" t="n">
        <f aca="false">Q799*R799/(1-R799)</f>
        <v>144325.113402062</v>
      </c>
      <c r="T799" s="19" t="n">
        <v>144325</v>
      </c>
      <c r="U799" s="21" t="n">
        <f aca="false">S799-T799</f>
        <v>0.113402061833767</v>
      </c>
      <c r="V799" s="21" t="n">
        <f aca="false">Y799-O799*R799/(1-R799)</f>
        <v>-0.350515463913325</v>
      </c>
      <c r="W799" s="21" t="n">
        <f aca="false">Z799-P799*R799/(1-R799)</f>
        <v>0.237113402061823</v>
      </c>
      <c r="X799" s="21" t="n">
        <f aca="false">S799+V799+W799</f>
        <v>144325</v>
      </c>
      <c r="Y799" s="19" t="n">
        <v>141146</v>
      </c>
      <c r="Z799" s="19" t="n">
        <v>3179</v>
      </c>
      <c r="AA799" s="19" t="n">
        <v>4666512</v>
      </c>
      <c r="AB799" s="29" t="n">
        <v>46.25</v>
      </c>
      <c r="AC799" s="29" t="n">
        <v>44.993</v>
      </c>
      <c r="AD799" s="24" t="n">
        <f aca="false">IFERROR(AA799/AC799,0)</f>
        <v>103716.40032894</v>
      </c>
      <c r="AE799" s="25" t="n">
        <f aca="false">K799-Q799-X799</f>
        <v>1.0000000000291</v>
      </c>
      <c r="AF799" s="25" t="n">
        <f aca="false">Q799-AA799</f>
        <v>0</v>
      </c>
      <c r="AG799" s="19" t="n">
        <v>4810837.36968297</v>
      </c>
      <c r="AH799" s="26" t="n">
        <f aca="false">IFERROR(AG799/Q799,0)</f>
        <v>1.0309278899707</v>
      </c>
      <c r="AI799" s="27" t="n">
        <v>390387978.142077</v>
      </c>
      <c r="AJ799" s="26" t="n">
        <f aca="false">IF(AI799&gt;0,AprCoef/SQRT(AI799),0)</f>
        <v>0.0239899931546416</v>
      </c>
      <c r="AK799" s="24" t="n">
        <f aca="false">AI799*AJ799/365</f>
        <v>25658.6436254323</v>
      </c>
      <c r="AL799" s="24" t="n">
        <f aca="false">AD799</f>
        <v>103716.40032894</v>
      </c>
      <c r="AM799" s="24" t="n">
        <f aca="false">AK799-AL799</f>
        <v>-78057.7567035078</v>
      </c>
      <c r="AN799" s="28" t="str">
        <f aca="false">IF(A799&gt;=Hip3LaunchDate,"YES","")</f>
        <v/>
      </c>
      <c r="AO799" s="28" t="str">
        <f aca="false">IF(A799&lt;Hip4LaunchDate,"pre-launch","live (zero-fee)")</f>
        <v>pre-launch</v>
      </c>
      <c r="AP799" s="20"/>
      <c r="AQ799" s="20"/>
      <c r="AR799" s="20"/>
    </row>
    <row r="800" customFormat="false" ht="15" hidden="false" customHeight="false" outlineLevel="0" collapsed="false">
      <c r="A800" s="18" t="n">
        <v>45861</v>
      </c>
      <c r="B800" s="19" t="n">
        <v>13920019812.41</v>
      </c>
      <c r="C800" s="19" t="n">
        <v>0</v>
      </c>
      <c r="D800" s="19" t="n">
        <v>456108455</v>
      </c>
      <c r="E800" s="21" t="n">
        <f aca="false">B800+C800</f>
        <v>13920019812.41</v>
      </c>
      <c r="F800" s="21" t="n">
        <f aca="false">E800+D800</f>
        <v>14376128267.41</v>
      </c>
      <c r="G800" s="22" t="n">
        <f aca="false">IFERROR(C800/E800,0)</f>
        <v>0</v>
      </c>
      <c r="H800" s="19" t="n">
        <v>3893810</v>
      </c>
      <c r="I800" s="19" t="n">
        <v>99943</v>
      </c>
      <c r="J800" s="19" t="n">
        <v>119813</v>
      </c>
      <c r="K800" s="21" t="n">
        <f aca="false">H800+I800</f>
        <v>3993753</v>
      </c>
      <c r="L800" s="20"/>
      <c r="M800" s="21" t="n">
        <f aca="false">H800-L800</f>
        <v>3893810</v>
      </c>
      <c r="N800" s="23" t="n">
        <f aca="false">IFERROR(M800/B800*10000,0)</f>
        <v>2.79727331747659</v>
      </c>
      <c r="O800" s="19" t="n">
        <v>3776995</v>
      </c>
      <c r="P800" s="19" t="n">
        <v>96945</v>
      </c>
      <c r="Q800" s="21" t="n">
        <f aca="false">O800+P800</f>
        <v>3873940</v>
      </c>
      <c r="R800" s="22" t="n">
        <f aca="false">IF(A800&lt;HlpChangeDate,HlpSharePre,HlpSharePost)</f>
        <v>0.03</v>
      </c>
      <c r="S800" s="21" t="n">
        <f aca="false">Q800*R800/(1-R800)</f>
        <v>119812.577319588</v>
      </c>
      <c r="T800" s="19" t="n">
        <v>119813</v>
      </c>
      <c r="U800" s="21" t="n">
        <f aca="false">S800-T800</f>
        <v>-0.422680412375485</v>
      </c>
      <c r="V800" s="21" t="n">
        <f aca="false">Y800-O800*R800/(1-R800)</f>
        <v>-0.278350515451166</v>
      </c>
      <c r="W800" s="21" t="n">
        <f aca="false">Z800-P800*R800/(1-R800)</f>
        <v>-0.298969072165164</v>
      </c>
      <c r="X800" s="21" t="n">
        <f aca="false">S800+V800+W800</f>
        <v>119812</v>
      </c>
      <c r="Y800" s="19" t="n">
        <v>116814</v>
      </c>
      <c r="Z800" s="19" t="n">
        <v>2998</v>
      </c>
      <c r="AA800" s="19" t="n">
        <v>3873940</v>
      </c>
      <c r="AB800" s="29" t="n">
        <v>43.74</v>
      </c>
      <c r="AC800" s="29" t="n">
        <v>44.698</v>
      </c>
      <c r="AD800" s="24" t="n">
        <f aca="false">IFERROR(AA800/AC800,0)</f>
        <v>86669.2022014408</v>
      </c>
      <c r="AE800" s="25" t="n">
        <f aca="false">K800-Q800-X800</f>
        <v>0.999999999985448</v>
      </c>
      <c r="AF800" s="25" t="n">
        <f aca="false">Q800-AA800</f>
        <v>0</v>
      </c>
      <c r="AG800" s="19" t="n">
        <v>3993752.54044902</v>
      </c>
      <c r="AH800" s="26" t="n">
        <f aca="false">IFERROR(AG800/Q800,0)</f>
        <v>1.03092782553396</v>
      </c>
      <c r="AI800" s="27" t="n">
        <v>390524590.163934</v>
      </c>
      <c r="AJ800" s="26" t="n">
        <f aca="false">IF(AI800&gt;0,AprCoef/SQRT(AI800),0)</f>
        <v>0.0239857967375434</v>
      </c>
      <c r="AK800" s="24" t="n">
        <f aca="false">AI800*AJ800/365</f>
        <v>25663.1327142044</v>
      </c>
      <c r="AL800" s="24" t="n">
        <f aca="false">AD800</f>
        <v>86669.2022014408</v>
      </c>
      <c r="AM800" s="24" t="n">
        <f aca="false">AK800-AL800</f>
        <v>-61006.0694872364</v>
      </c>
      <c r="AN800" s="28" t="str">
        <f aca="false">IF(A800&gt;=Hip3LaunchDate,"YES","")</f>
        <v/>
      </c>
      <c r="AO800" s="28" t="str">
        <f aca="false">IF(A800&lt;Hip4LaunchDate,"pre-launch","live (zero-fee)")</f>
        <v>pre-launch</v>
      </c>
      <c r="AP800" s="20"/>
      <c r="AQ800" s="20"/>
      <c r="AR800" s="20"/>
    </row>
    <row r="801" customFormat="false" ht="15" hidden="false" customHeight="false" outlineLevel="0" collapsed="false">
      <c r="A801" s="18" t="n">
        <v>45862</v>
      </c>
      <c r="B801" s="19" t="n">
        <v>13225484310.08</v>
      </c>
      <c r="C801" s="19" t="n">
        <v>0</v>
      </c>
      <c r="D801" s="19" t="n">
        <v>400136463</v>
      </c>
      <c r="E801" s="21" t="n">
        <f aca="false">B801+C801</f>
        <v>13225484310.08</v>
      </c>
      <c r="F801" s="21" t="n">
        <f aca="false">E801+D801</f>
        <v>13625620773.08</v>
      </c>
      <c r="G801" s="22" t="n">
        <f aca="false">IFERROR(C801/E801,0)</f>
        <v>0</v>
      </c>
      <c r="H801" s="19" t="n">
        <v>3684454</v>
      </c>
      <c r="I801" s="19" t="n">
        <v>91205</v>
      </c>
      <c r="J801" s="19" t="n">
        <v>113270</v>
      </c>
      <c r="K801" s="21" t="n">
        <f aca="false">H801+I801</f>
        <v>3775659</v>
      </c>
      <c r="L801" s="20"/>
      <c r="M801" s="21" t="n">
        <f aca="false">H801-L801</f>
        <v>3684454</v>
      </c>
      <c r="N801" s="23" t="n">
        <f aca="false">IFERROR(M801/B801*10000,0)</f>
        <v>2.78587453859201</v>
      </c>
      <c r="O801" s="19" t="n">
        <v>3573921</v>
      </c>
      <c r="P801" s="19" t="n">
        <v>88469</v>
      </c>
      <c r="Q801" s="21" t="n">
        <f aca="false">O801+P801</f>
        <v>3662390</v>
      </c>
      <c r="R801" s="22" t="n">
        <f aca="false">IF(A801&lt;HlpChangeDate,HlpSharePre,HlpSharePost)</f>
        <v>0.03</v>
      </c>
      <c r="S801" s="21" t="n">
        <f aca="false">Q801*R801/(1-R801)</f>
        <v>113269.793814433</v>
      </c>
      <c r="T801" s="19" t="n">
        <v>113270</v>
      </c>
      <c r="U801" s="21" t="n">
        <f aca="false">S801-T801</f>
        <v>-0.206185567003558</v>
      </c>
      <c r="V801" s="21" t="n">
        <f aca="false">Y801-O801*R801/(1-R801)</f>
        <v>0.360824742281693</v>
      </c>
      <c r="W801" s="21" t="n">
        <f aca="false">Z801-P801*R801/(1-R801)</f>
        <v>-0.154639175257671</v>
      </c>
      <c r="X801" s="21" t="n">
        <f aca="false">S801+V801+W801</f>
        <v>113270</v>
      </c>
      <c r="Y801" s="19" t="n">
        <v>110534</v>
      </c>
      <c r="Z801" s="19" t="n">
        <v>2736</v>
      </c>
      <c r="AA801" s="19" t="n">
        <v>3662390</v>
      </c>
      <c r="AB801" s="29" t="n">
        <v>42.118</v>
      </c>
      <c r="AC801" s="29" t="n">
        <v>42.9575</v>
      </c>
      <c r="AD801" s="24" t="n">
        <f aca="false">IFERROR(AA801/AC801,0)</f>
        <v>85256.1252400628</v>
      </c>
      <c r="AE801" s="25" t="n">
        <f aca="false">K801-Q801-X801</f>
        <v>-1.00000000001455</v>
      </c>
      <c r="AF801" s="25" t="n">
        <f aca="false">Q801-AA801</f>
        <v>0</v>
      </c>
      <c r="AG801" s="19" t="n">
        <v>3775659.31778598</v>
      </c>
      <c r="AH801" s="26" t="n">
        <f aca="false">IFERROR(AG801/Q801,0)</f>
        <v>1.030927705074</v>
      </c>
      <c r="AI801" s="27" t="n">
        <v>390661202.185792</v>
      </c>
      <c r="AJ801" s="26" t="n">
        <f aca="false">IF(AI801&gt;0,AprCoef/SQRT(AI801),0)</f>
        <v>0.0239816025218329</v>
      </c>
      <c r="AK801" s="24" t="n">
        <f aca="false">AI801*AJ801/365</f>
        <v>25667.621017866</v>
      </c>
      <c r="AL801" s="24" t="n">
        <f aca="false">AD801</f>
        <v>85256.1252400628</v>
      </c>
      <c r="AM801" s="24" t="n">
        <f aca="false">AK801-AL801</f>
        <v>-59588.5042221969</v>
      </c>
      <c r="AN801" s="28" t="str">
        <f aca="false">IF(A801&gt;=Hip3LaunchDate,"YES","")</f>
        <v/>
      </c>
      <c r="AO801" s="28" t="str">
        <f aca="false">IF(A801&lt;Hip4LaunchDate,"pre-launch","live (zero-fee)")</f>
        <v>pre-launch</v>
      </c>
      <c r="AP801" s="20"/>
      <c r="AQ801" s="20"/>
      <c r="AR801" s="20"/>
    </row>
    <row r="802" customFormat="false" ht="15" hidden="false" customHeight="false" outlineLevel="0" collapsed="false">
      <c r="A802" s="18" t="n">
        <v>45863</v>
      </c>
      <c r="B802" s="19" t="n">
        <v>15953353062.82</v>
      </c>
      <c r="C802" s="19" t="n">
        <v>0</v>
      </c>
      <c r="D802" s="19" t="n">
        <v>407697636</v>
      </c>
      <c r="E802" s="21" t="n">
        <f aca="false">B802+C802</f>
        <v>15953353062.82</v>
      </c>
      <c r="F802" s="21" t="n">
        <f aca="false">E802+D802</f>
        <v>16361050698.82</v>
      </c>
      <c r="G802" s="22" t="n">
        <f aca="false">IFERROR(C802/E802,0)</f>
        <v>0</v>
      </c>
      <c r="H802" s="19" t="n">
        <v>4314986</v>
      </c>
      <c r="I802" s="19" t="n">
        <v>90407</v>
      </c>
      <c r="J802" s="19" t="n">
        <v>131700</v>
      </c>
      <c r="K802" s="21" t="n">
        <f aca="false">H802+I802</f>
        <v>4405393</v>
      </c>
      <c r="L802" s="20"/>
      <c r="M802" s="21" t="n">
        <f aca="false">H802-L802</f>
        <v>4314986</v>
      </c>
      <c r="N802" s="23" t="n">
        <f aca="false">IFERROR(M802/B802*10000,0)</f>
        <v>2.70475177413096</v>
      </c>
      <c r="O802" s="19" t="n">
        <v>4185537</v>
      </c>
      <c r="P802" s="19" t="n">
        <v>87695</v>
      </c>
      <c r="Q802" s="21" t="n">
        <f aca="false">O802+P802</f>
        <v>4273232</v>
      </c>
      <c r="R802" s="22" t="n">
        <f aca="false">IF(A802&lt;HlpChangeDate,HlpSharePre,HlpSharePost)</f>
        <v>0.03</v>
      </c>
      <c r="S802" s="21" t="n">
        <f aca="false">Q802*R802/(1-R802)</f>
        <v>132161.81443299</v>
      </c>
      <c r="T802" s="19" t="n">
        <v>131700</v>
      </c>
      <c r="U802" s="21" t="n">
        <f aca="false">S802-T802</f>
        <v>461.81443298969</v>
      </c>
      <c r="V802" s="21" t="n">
        <f aca="false">Y802-O802*R802/(1-R802)</f>
        <v>0.402061855667853</v>
      </c>
      <c r="W802" s="21" t="n">
        <f aca="false">Z802-P802*R802/(1-R802)</f>
        <v>-0.216494845361012</v>
      </c>
      <c r="X802" s="21" t="n">
        <f aca="false">S802+V802+W802</f>
        <v>132162</v>
      </c>
      <c r="Y802" s="19" t="n">
        <v>129450</v>
      </c>
      <c r="Z802" s="19" t="n">
        <v>2712</v>
      </c>
      <c r="AA802" s="19" t="n">
        <v>4273232</v>
      </c>
      <c r="AB802" s="29" t="n">
        <v>44.188</v>
      </c>
      <c r="AC802" s="29" t="n">
        <v>42.92775</v>
      </c>
      <c r="AD802" s="24" t="n">
        <f aca="false">IFERROR(AA802/AC802,0)</f>
        <v>99544.7466964842</v>
      </c>
      <c r="AE802" s="25" t="n">
        <f aca="false">K802-Q802-X802</f>
        <v>-0.999999999970896</v>
      </c>
      <c r="AF802" s="25" t="n">
        <f aca="false">Q802-AA802</f>
        <v>0</v>
      </c>
      <c r="AG802" s="19" t="n">
        <v>4390004.22703397</v>
      </c>
      <c r="AH802" s="26" t="n">
        <f aca="false">IFERROR(AG802/Q802,0)</f>
        <v>1.02732644214823</v>
      </c>
      <c r="AI802" s="27" t="n">
        <v>390797814.20765</v>
      </c>
      <c r="AJ802" s="26" t="n">
        <f aca="false">IF(AI802&gt;0,AprCoef/SQRT(AI802),0)</f>
        <v>0.023977410505586</v>
      </c>
      <c r="AK802" s="24" t="n">
        <f aca="false">AI802*AJ802/365</f>
        <v>25672.1085368289</v>
      </c>
      <c r="AL802" s="24" t="n">
        <f aca="false">AD802</f>
        <v>99544.7466964842</v>
      </c>
      <c r="AM802" s="24" t="n">
        <f aca="false">AK802-AL802</f>
        <v>-73872.6381596553</v>
      </c>
      <c r="AN802" s="28" t="str">
        <f aca="false">IF(A802&gt;=Hip3LaunchDate,"YES","")</f>
        <v/>
      </c>
      <c r="AO802" s="28" t="str">
        <f aca="false">IF(A802&lt;Hip4LaunchDate,"pre-launch","live (zero-fee)")</f>
        <v>pre-launch</v>
      </c>
      <c r="AP802" s="20"/>
      <c r="AQ802" s="20"/>
      <c r="AR802" s="20"/>
    </row>
    <row r="803" customFormat="false" ht="15" hidden="false" customHeight="false" outlineLevel="0" collapsed="false">
      <c r="A803" s="18" t="n">
        <v>45864</v>
      </c>
      <c r="B803" s="19" t="n">
        <v>5698633537.28</v>
      </c>
      <c r="C803" s="19" t="n">
        <v>0</v>
      </c>
      <c r="D803" s="19" t="n">
        <v>234677785</v>
      </c>
      <c r="E803" s="21" t="n">
        <f aca="false">B803+C803</f>
        <v>5698633537.28</v>
      </c>
      <c r="F803" s="21" t="n">
        <f aca="false">E803+D803</f>
        <v>5933311322.28</v>
      </c>
      <c r="G803" s="22" t="n">
        <f aca="false">IFERROR(C803/E803,0)</f>
        <v>0</v>
      </c>
      <c r="H803" s="19" t="n">
        <v>1613474</v>
      </c>
      <c r="I803" s="19" t="n">
        <v>51478</v>
      </c>
      <c r="J803" s="19" t="n">
        <v>50050</v>
      </c>
      <c r="K803" s="21" t="n">
        <f aca="false">H803+I803</f>
        <v>1664952</v>
      </c>
      <c r="L803" s="20"/>
      <c r="M803" s="21" t="n">
        <f aca="false">H803-L803</f>
        <v>1613474</v>
      </c>
      <c r="N803" s="23" t="n">
        <f aca="false">IFERROR(M803/B803*10000,0)</f>
        <v>2.83133489712013</v>
      </c>
      <c r="O803" s="19" t="n">
        <v>1565070</v>
      </c>
      <c r="P803" s="19" t="n">
        <v>49934</v>
      </c>
      <c r="Q803" s="21" t="n">
        <f aca="false">O803+P803</f>
        <v>1615004</v>
      </c>
      <c r="R803" s="22" t="n">
        <f aca="false">IF(A803&lt;HlpChangeDate,HlpSharePre,HlpSharePost)</f>
        <v>0.03</v>
      </c>
      <c r="S803" s="21" t="n">
        <f aca="false">Q803*R803/(1-R803)</f>
        <v>49948.5773195876</v>
      </c>
      <c r="T803" s="19" t="n">
        <v>50050</v>
      </c>
      <c r="U803" s="21" t="n">
        <f aca="false">S803-T803</f>
        <v>-101.422680412375</v>
      </c>
      <c r="V803" s="21" t="n">
        <f aca="false">Y803-O803*R803/(1-R803)</f>
        <v>-0.22680412371119</v>
      </c>
      <c r="W803" s="21" t="n">
        <f aca="false">Z803-P803*R803/(1-R803)</f>
        <v>-0.350515463917645</v>
      </c>
      <c r="X803" s="21" t="n">
        <f aca="false">S803+V803+W803</f>
        <v>49948</v>
      </c>
      <c r="Y803" s="19" t="n">
        <v>48404</v>
      </c>
      <c r="Z803" s="19" t="n">
        <v>1544</v>
      </c>
      <c r="AA803" s="19" t="n">
        <v>1615004</v>
      </c>
      <c r="AB803" s="29" t="n">
        <v>43.32</v>
      </c>
      <c r="AC803" s="29" t="n">
        <v>43.91475</v>
      </c>
      <c r="AD803" s="24" t="n">
        <f aca="false">IFERROR(AA803/AC803,0)</f>
        <v>36775.8896498329</v>
      </c>
      <c r="AE803" s="25" t="n">
        <f aca="false">K803-Q803-X803</f>
        <v>0</v>
      </c>
      <c r="AF803" s="25" t="n">
        <f aca="false">Q803-AA803</f>
        <v>0</v>
      </c>
      <c r="AG803" s="19" t="n">
        <v>1668348.04504603</v>
      </c>
      <c r="AH803" s="26" t="n">
        <f aca="false">IFERROR(AG803/Q803,0)</f>
        <v>1.0330302866408</v>
      </c>
      <c r="AI803" s="27" t="n">
        <v>390934426.229508</v>
      </c>
      <c r="AJ803" s="26" t="n">
        <f aca="false">IF(AI803&gt;0,AprCoef/SQRT(AI803),0)</f>
        <v>0.023973220686881</v>
      </c>
      <c r="AK803" s="24" t="n">
        <f aca="false">AI803*AJ803/365</f>
        <v>25676.5952715047</v>
      </c>
      <c r="AL803" s="24" t="n">
        <f aca="false">AD803</f>
        <v>36775.8896498329</v>
      </c>
      <c r="AM803" s="24" t="n">
        <f aca="false">AK803-AL803</f>
        <v>-11099.2943783282</v>
      </c>
      <c r="AN803" s="28" t="str">
        <f aca="false">IF(A803&gt;=Hip3LaunchDate,"YES","")</f>
        <v/>
      </c>
      <c r="AO803" s="28" t="str">
        <f aca="false">IF(A803&lt;Hip4LaunchDate,"pre-launch","live (zero-fee)")</f>
        <v>pre-launch</v>
      </c>
      <c r="AP803" s="20"/>
      <c r="AQ803" s="20"/>
      <c r="AR803" s="20"/>
    </row>
    <row r="804" customFormat="false" ht="15" hidden="false" customHeight="false" outlineLevel="0" collapsed="false">
      <c r="A804" s="18" t="n">
        <v>45865</v>
      </c>
      <c r="B804" s="19" t="n">
        <v>7413250946.81</v>
      </c>
      <c r="C804" s="19" t="n">
        <v>0</v>
      </c>
      <c r="D804" s="19" t="n">
        <v>282995902</v>
      </c>
      <c r="E804" s="21" t="n">
        <f aca="false">B804+C804</f>
        <v>7413250946.81</v>
      </c>
      <c r="F804" s="21" t="n">
        <f aca="false">E804+D804</f>
        <v>7696246848.81</v>
      </c>
      <c r="G804" s="22" t="n">
        <f aca="false">IFERROR(C804/E804,0)</f>
        <v>0</v>
      </c>
      <c r="H804" s="19" t="n">
        <v>2116150</v>
      </c>
      <c r="I804" s="19" t="n">
        <v>63428</v>
      </c>
      <c r="J804" s="19" t="n">
        <v>64804</v>
      </c>
      <c r="K804" s="21" t="n">
        <f aca="false">H804+I804</f>
        <v>2179578</v>
      </c>
      <c r="L804" s="20"/>
      <c r="M804" s="21" t="n">
        <f aca="false">H804-L804</f>
        <v>2116150</v>
      </c>
      <c r="N804" s="23" t="n">
        <f aca="false">IFERROR(M804/B804*10000,0)</f>
        <v>2.85455060834087</v>
      </c>
      <c r="O804" s="19" t="n">
        <v>2052666</v>
      </c>
      <c r="P804" s="19" t="n">
        <v>61525</v>
      </c>
      <c r="Q804" s="21" t="n">
        <f aca="false">O804+P804</f>
        <v>2114191</v>
      </c>
      <c r="R804" s="22" t="n">
        <f aca="false">IF(A804&lt;HlpChangeDate,HlpSharePre,HlpSharePost)</f>
        <v>0.03</v>
      </c>
      <c r="S804" s="21" t="n">
        <f aca="false">Q804*R804/(1-R804)</f>
        <v>65387.3505154639</v>
      </c>
      <c r="T804" s="19" t="n">
        <v>64804</v>
      </c>
      <c r="U804" s="21" t="n">
        <f aca="false">S804-T804</f>
        <v>583.350515463913</v>
      </c>
      <c r="V804" s="21" t="n">
        <f aca="false">Y804-O804*R804/(1-R804)</f>
        <v>0.484536082476552</v>
      </c>
      <c r="W804" s="21" t="n">
        <f aca="false">Z804-P804*R804/(1-R804)</f>
        <v>0.164948453608304</v>
      </c>
      <c r="X804" s="21" t="n">
        <f aca="false">S804+V804+W804</f>
        <v>65388</v>
      </c>
      <c r="Y804" s="19" t="n">
        <v>63485</v>
      </c>
      <c r="Z804" s="19" t="n">
        <v>1903</v>
      </c>
      <c r="AA804" s="19" t="n">
        <v>2114191</v>
      </c>
      <c r="AB804" s="29" t="n">
        <v>43.676</v>
      </c>
      <c r="AC804" s="29" t="n">
        <v>43.43725</v>
      </c>
      <c r="AD804" s="24" t="n">
        <f aca="false">IFERROR(AA804/AC804,0)</f>
        <v>48672.3031499462</v>
      </c>
      <c r="AE804" s="25" t="n">
        <f aca="false">K804-Q804-X804</f>
        <v>-1</v>
      </c>
      <c r="AF804" s="25" t="n">
        <f aca="false">Q804-AA804</f>
        <v>0</v>
      </c>
      <c r="AG804" s="19" t="n">
        <v>2160127.29723102</v>
      </c>
      <c r="AH804" s="26" t="n">
        <f aca="false">IFERROR(AG804/Q804,0)</f>
        <v>1.0217276004065</v>
      </c>
      <c r="AI804" s="27" t="n">
        <v>391071038.251366</v>
      </c>
      <c r="AJ804" s="26" t="n">
        <f aca="false">IF(AI804&gt;0,AprCoef/SQRT(AI804),0)</f>
        <v>0.0239690330637986</v>
      </c>
      <c r="AK804" s="24" t="n">
        <f aca="false">AI804*AJ804/365</f>
        <v>25681.0812223042</v>
      </c>
      <c r="AL804" s="24" t="n">
        <f aca="false">AD804</f>
        <v>48672.3031499462</v>
      </c>
      <c r="AM804" s="24" t="n">
        <f aca="false">AK804-AL804</f>
        <v>-22991.221927642</v>
      </c>
      <c r="AN804" s="28" t="str">
        <f aca="false">IF(A804&gt;=Hip3LaunchDate,"YES","")</f>
        <v/>
      </c>
      <c r="AO804" s="28" t="str">
        <f aca="false">IF(A804&lt;Hip4LaunchDate,"pre-launch","live (zero-fee)")</f>
        <v>pre-launch</v>
      </c>
      <c r="AP804" s="20"/>
      <c r="AQ804" s="20"/>
      <c r="AR804" s="20"/>
    </row>
    <row r="805" customFormat="false" ht="15" hidden="false" customHeight="false" outlineLevel="0" collapsed="false">
      <c r="A805" s="18" t="n">
        <v>45866</v>
      </c>
      <c r="B805" s="19" t="n">
        <v>12436414976.16</v>
      </c>
      <c r="C805" s="19" t="n">
        <v>0</v>
      </c>
      <c r="D805" s="19" t="n">
        <v>457193092</v>
      </c>
      <c r="E805" s="21" t="n">
        <f aca="false">B805+C805</f>
        <v>12436414976.16</v>
      </c>
      <c r="F805" s="21" t="n">
        <f aca="false">E805+D805</f>
        <v>12893608068.16</v>
      </c>
      <c r="G805" s="22" t="n">
        <f aca="false">IFERROR(C805/E805,0)</f>
        <v>0</v>
      </c>
      <c r="H805" s="19" t="n">
        <v>3374355</v>
      </c>
      <c r="I805" s="19" t="n">
        <v>95834</v>
      </c>
      <c r="J805" s="19" t="n">
        <v>99571</v>
      </c>
      <c r="K805" s="21" t="n">
        <f aca="false">H805+I805</f>
        <v>3470189</v>
      </c>
      <c r="L805" s="20"/>
      <c r="M805" s="21" t="n">
        <f aca="false">H805-L805</f>
        <v>3374355</v>
      </c>
      <c r="N805" s="23" t="n">
        <f aca="false">IFERROR(M805/B805*10000,0)</f>
        <v>2.71328594813576</v>
      </c>
      <c r="O805" s="19" t="n">
        <v>3273124</v>
      </c>
      <c r="P805" s="19" t="n">
        <v>92959</v>
      </c>
      <c r="Q805" s="21" t="n">
        <f aca="false">O805+P805</f>
        <v>3366083</v>
      </c>
      <c r="R805" s="22" t="n">
        <f aca="false">IF(A805&lt;HlpChangeDate,HlpSharePre,HlpSharePost)</f>
        <v>0.03</v>
      </c>
      <c r="S805" s="21" t="n">
        <f aca="false">Q805*R805/(1-R805)</f>
        <v>104105.659793814</v>
      </c>
      <c r="T805" s="19" t="n">
        <v>99571</v>
      </c>
      <c r="U805" s="21" t="n">
        <f aca="false">S805-T805</f>
        <v>4534.65979381443</v>
      </c>
      <c r="V805" s="21" t="n">
        <f aca="false">Y805-O805*R805/(1-R805)</f>
        <v>0.360824742267141</v>
      </c>
      <c r="W805" s="21" t="n">
        <f aca="false">Z805-P805*R805/(1-R805)</f>
        <v>-0.0206185567012653</v>
      </c>
      <c r="X805" s="21" t="n">
        <f aca="false">S805+V805+W805</f>
        <v>104106</v>
      </c>
      <c r="Y805" s="19" t="n">
        <v>101231</v>
      </c>
      <c r="Z805" s="19" t="n">
        <v>2875</v>
      </c>
      <c r="AA805" s="19" t="n">
        <v>3366083</v>
      </c>
      <c r="AB805" s="29" t="n">
        <v>43.777</v>
      </c>
      <c r="AC805" s="29" t="n">
        <v>44.051</v>
      </c>
      <c r="AD805" s="24" t="n">
        <f aca="false">IFERROR(AA805/AC805,0)</f>
        <v>76413.316383283</v>
      </c>
      <c r="AE805" s="25" t="n">
        <f aca="false">K805-Q805-X805</f>
        <v>0</v>
      </c>
      <c r="AF805" s="25" t="n">
        <f aca="false">Q805-AA805</f>
        <v>0</v>
      </c>
      <c r="AG805" s="19" t="n">
        <v>3319042.57771099</v>
      </c>
      <c r="AH805" s="26" t="n">
        <f aca="false">IFERROR(AG805/Q805,0)</f>
        <v>0.986025174575608</v>
      </c>
      <c r="AI805" s="27" t="n">
        <v>391207650.273224</v>
      </c>
      <c r="AJ805" s="26" t="n">
        <f aca="false">IF(AI805&gt;0,AprCoef/SQRT(AI805),0)</f>
        <v>0.0239648476344218</v>
      </c>
      <c r="AK805" s="24" t="n">
        <f aca="false">AI805*AJ805/365</f>
        <v>25685.5663896383</v>
      </c>
      <c r="AL805" s="24" t="n">
        <f aca="false">AD805</f>
        <v>76413.316383283</v>
      </c>
      <c r="AM805" s="24" t="n">
        <f aca="false">AK805-AL805</f>
        <v>-50727.7499936447</v>
      </c>
      <c r="AN805" s="28" t="str">
        <f aca="false">IF(A805&gt;=Hip3LaunchDate,"YES","")</f>
        <v/>
      </c>
      <c r="AO805" s="28" t="str">
        <f aca="false">IF(A805&lt;Hip4LaunchDate,"pre-launch","live (zero-fee)")</f>
        <v>pre-launch</v>
      </c>
      <c r="AP805" s="20"/>
      <c r="AQ805" s="20"/>
      <c r="AR805" s="20"/>
    </row>
    <row r="806" customFormat="false" ht="15" hidden="false" customHeight="false" outlineLevel="0" collapsed="false">
      <c r="A806" s="18" t="n">
        <v>45867</v>
      </c>
      <c r="B806" s="19" t="n">
        <v>11467327116.62</v>
      </c>
      <c r="C806" s="19" t="n">
        <v>0</v>
      </c>
      <c r="D806" s="19" t="n">
        <v>430369408</v>
      </c>
      <c r="E806" s="21" t="n">
        <f aca="false">B806+C806</f>
        <v>11467327116.62</v>
      </c>
      <c r="F806" s="21" t="n">
        <f aca="false">E806+D806</f>
        <v>11897696524.62</v>
      </c>
      <c r="G806" s="22" t="n">
        <f aca="false">IFERROR(C806/E806,0)</f>
        <v>0</v>
      </c>
      <c r="H806" s="19" t="n">
        <v>3095010</v>
      </c>
      <c r="I806" s="19" t="n">
        <v>89465</v>
      </c>
      <c r="J806" s="19" t="n">
        <v>101012</v>
      </c>
      <c r="K806" s="21" t="n">
        <f aca="false">H806+I806</f>
        <v>3184475</v>
      </c>
      <c r="L806" s="20"/>
      <c r="M806" s="21" t="n">
        <f aca="false">H806-L806</f>
        <v>3095010</v>
      </c>
      <c r="N806" s="23" t="n">
        <f aca="false">IFERROR(M806/B806*10000,0)</f>
        <v>2.69898117366365</v>
      </c>
      <c r="O806" s="19" t="n">
        <v>3002159</v>
      </c>
      <c r="P806" s="19" t="n">
        <v>86781</v>
      </c>
      <c r="Q806" s="21" t="n">
        <f aca="false">O806+P806</f>
        <v>3088940</v>
      </c>
      <c r="R806" s="22" t="n">
        <f aca="false">IF(A806&lt;HlpChangeDate,HlpSharePre,HlpSharePost)</f>
        <v>0.03</v>
      </c>
      <c r="S806" s="21" t="n">
        <f aca="false">Q806*R806/(1-R806)</f>
        <v>95534.2268041237</v>
      </c>
      <c r="T806" s="19" t="n">
        <v>101012</v>
      </c>
      <c r="U806" s="21" t="n">
        <f aca="false">S806-T806</f>
        <v>-5477.77319587629</v>
      </c>
      <c r="V806" s="21" t="n">
        <f aca="false">Y806-O806*R806/(1-R806)</f>
        <v>-0.278350515451166</v>
      </c>
      <c r="W806" s="21" t="n">
        <f aca="false">Z806-P806*R806/(1-R806)</f>
        <v>0.0515463917527086</v>
      </c>
      <c r="X806" s="21" t="n">
        <f aca="false">S806+V806+W806</f>
        <v>95534</v>
      </c>
      <c r="Y806" s="19" t="n">
        <v>92850</v>
      </c>
      <c r="Z806" s="19" t="n">
        <v>2684</v>
      </c>
      <c r="AA806" s="19" t="n">
        <v>3088940</v>
      </c>
      <c r="AB806" s="29" t="n">
        <v>43.547</v>
      </c>
      <c r="AC806" s="29" t="n">
        <v>43.7475</v>
      </c>
      <c r="AD806" s="24" t="n">
        <f aca="false">IFERROR(AA806/AC806,0)</f>
        <v>70608.3776215784</v>
      </c>
      <c r="AE806" s="25" t="n">
        <f aca="false">K806-Q806-X806</f>
        <v>0.999999999985448</v>
      </c>
      <c r="AF806" s="25" t="n">
        <f aca="false">Q806-AA806</f>
        <v>0</v>
      </c>
      <c r="AG806" s="19" t="n">
        <v>3367064.23160803</v>
      </c>
      <c r="AH806" s="26" t="n">
        <f aca="false">IFERROR(AG806/Q806,0)</f>
        <v>1.09003872901644</v>
      </c>
      <c r="AI806" s="27" t="n">
        <v>391344262.295082</v>
      </c>
      <c r="AJ806" s="26" t="n">
        <f aca="false">IF(AI806&gt;0,AprCoef/SQRT(AI806),0)</f>
        <v>0.0239606643968359</v>
      </c>
      <c r="AK806" s="24" t="n">
        <f aca="false">AI806*AJ806/365</f>
        <v>25690.0507739173</v>
      </c>
      <c r="AL806" s="24" t="n">
        <f aca="false">AD806</f>
        <v>70608.3776215784</v>
      </c>
      <c r="AM806" s="24" t="n">
        <f aca="false">AK806-AL806</f>
        <v>-44918.3268476611</v>
      </c>
      <c r="AN806" s="28" t="str">
        <f aca="false">IF(A806&gt;=Hip3LaunchDate,"YES","")</f>
        <v/>
      </c>
      <c r="AO806" s="28" t="str">
        <f aca="false">IF(A806&lt;Hip4LaunchDate,"pre-launch","live (zero-fee)")</f>
        <v>pre-launch</v>
      </c>
      <c r="AP806" s="20"/>
      <c r="AQ806" s="20"/>
      <c r="AR806" s="20"/>
    </row>
    <row r="807" customFormat="false" ht="15" hidden="false" customHeight="false" outlineLevel="0" collapsed="false">
      <c r="A807" s="18" t="n">
        <v>45868</v>
      </c>
      <c r="B807" s="19" t="n">
        <v>10174615682.51</v>
      </c>
      <c r="C807" s="19" t="n">
        <v>0</v>
      </c>
      <c r="D807" s="19" t="n">
        <v>417498308</v>
      </c>
      <c r="E807" s="21" t="n">
        <f aca="false">B807+C807</f>
        <v>10174615682.51</v>
      </c>
      <c r="F807" s="21" t="n">
        <f aca="false">E807+D807</f>
        <v>10592113990.51</v>
      </c>
      <c r="G807" s="22" t="n">
        <f aca="false">IFERROR(C807/E807,0)</f>
        <v>0</v>
      </c>
      <c r="H807" s="19" t="n">
        <v>2740744</v>
      </c>
      <c r="I807" s="19" t="n">
        <v>95401</v>
      </c>
      <c r="J807" s="19" t="n">
        <v>84531</v>
      </c>
      <c r="K807" s="21" t="n">
        <f aca="false">H807+I807</f>
        <v>2836145</v>
      </c>
      <c r="L807" s="20"/>
      <c r="M807" s="21" t="n">
        <f aca="false">H807-L807</f>
        <v>2740744</v>
      </c>
      <c r="N807" s="23" t="n">
        <f aca="false">IFERROR(M807/B807*10000,0)</f>
        <v>2.69370764019254</v>
      </c>
      <c r="O807" s="19" t="n">
        <v>2658522</v>
      </c>
      <c r="P807" s="19" t="n">
        <v>92539</v>
      </c>
      <c r="Q807" s="21" t="n">
        <f aca="false">O807+P807</f>
        <v>2751061</v>
      </c>
      <c r="R807" s="22" t="n">
        <f aca="false">IF(A807&lt;HlpChangeDate,HlpSharePre,HlpSharePost)</f>
        <v>0.03</v>
      </c>
      <c r="S807" s="21" t="n">
        <f aca="false">Q807*R807/(1-R807)</f>
        <v>85084.3608247423</v>
      </c>
      <c r="T807" s="19" t="n">
        <v>84531</v>
      </c>
      <c r="U807" s="21" t="n">
        <f aca="false">S807-T807</f>
        <v>553.360824742267</v>
      </c>
      <c r="V807" s="21" t="n">
        <f aca="false">Y807-O807*R807/(1-R807)</f>
        <v>-0.329896907220245</v>
      </c>
      <c r="W807" s="21" t="n">
        <f aca="false">Z807-P807*R807/(1-R807)</f>
        <v>-0.030927835051898</v>
      </c>
      <c r="X807" s="21" t="n">
        <f aca="false">S807+V807+W807</f>
        <v>85084</v>
      </c>
      <c r="Y807" s="19" t="n">
        <v>82222</v>
      </c>
      <c r="Z807" s="19" t="n">
        <v>2862</v>
      </c>
      <c r="AA807" s="19" t="n">
        <v>2751061</v>
      </c>
      <c r="AB807" s="29" t="n">
        <v>42.231</v>
      </c>
      <c r="AC807" s="29" t="n">
        <v>42.69275</v>
      </c>
      <c r="AD807" s="24" t="n">
        <f aca="false">IFERROR(AA807/AC807,0)</f>
        <v>64438.5990595593</v>
      </c>
      <c r="AE807" s="25" t="n">
        <f aca="false">K807-Q807-X807</f>
        <v>0</v>
      </c>
      <c r="AF807" s="25" t="n">
        <f aca="false">Q807-AA807</f>
        <v>0</v>
      </c>
      <c r="AG807" s="19" t="n">
        <v>2817703.51294899</v>
      </c>
      <c r="AH807" s="26" t="n">
        <f aca="false">IFERROR(AG807/Q807,0)</f>
        <v>1.02422429489895</v>
      </c>
      <c r="AI807" s="27" t="n">
        <v>391480874.31694</v>
      </c>
      <c r="AJ807" s="26" t="n">
        <f aca="false">IF(AI807&gt;0,AprCoef/SQRT(AI807),0)</f>
        <v>0.0239564833491288</v>
      </c>
      <c r="AK807" s="24" t="n">
        <f aca="false">AI807*AJ807/365</f>
        <v>25694.5343755511</v>
      </c>
      <c r="AL807" s="24" t="n">
        <f aca="false">AD807</f>
        <v>64438.5990595593</v>
      </c>
      <c r="AM807" s="24" t="n">
        <f aca="false">AK807-AL807</f>
        <v>-38744.0646840082</v>
      </c>
      <c r="AN807" s="28" t="str">
        <f aca="false">IF(A807&gt;=Hip3LaunchDate,"YES","")</f>
        <v/>
      </c>
      <c r="AO807" s="28" t="str">
        <f aca="false">IF(A807&lt;Hip4LaunchDate,"pre-launch","live (zero-fee)")</f>
        <v>pre-launch</v>
      </c>
      <c r="AP807" s="20"/>
      <c r="AQ807" s="20"/>
      <c r="AR807" s="20"/>
    </row>
    <row r="808" customFormat="false" ht="15" hidden="false" customHeight="false" outlineLevel="0" collapsed="false">
      <c r="A808" s="18" t="n">
        <v>45869</v>
      </c>
      <c r="B808" s="19" t="n">
        <v>11403174318.78</v>
      </c>
      <c r="C808" s="19" t="n">
        <v>0</v>
      </c>
      <c r="D808" s="19" t="n">
        <v>530574810</v>
      </c>
      <c r="E808" s="21" t="n">
        <f aca="false">B808+C808</f>
        <v>11403174318.78</v>
      </c>
      <c r="F808" s="21" t="n">
        <f aca="false">E808+D808</f>
        <v>11933749128.78</v>
      </c>
      <c r="G808" s="22" t="n">
        <f aca="false">IFERROR(C808/E808,0)</f>
        <v>0</v>
      </c>
      <c r="H808" s="19" t="n">
        <v>3091571</v>
      </c>
      <c r="I808" s="19" t="n">
        <v>116038</v>
      </c>
      <c r="J808" s="19" t="n">
        <v>96782</v>
      </c>
      <c r="K808" s="21" t="n">
        <f aca="false">H808+I808</f>
        <v>3207609</v>
      </c>
      <c r="L808" s="20"/>
      <c r="M808" s="21" t="n">
        <f aca="false">H808-L808</f>
        <v>3091571</v>
      </c>
      <c r="N808" s="23" t="n">
        <f aca="false">IFERROR(M808/B808*10000,0)</f>
        <v>2.71114946906359</v>
      </c>
      <c r="O808" s="19" t="n">
        <v>2998824</v>
      </c>
      <c r="P808" s="19" t="n">
        <v>112557</v>
      </c>
      <c r="Q808" s="21" t="n">
        <f aca="false">O808+P808</f>
        <v>3111381</v>
      </c>
      <c r="R808" s="22" t="n">
        <f aca="false">IF(A808&lt;HlpChangeDate,HlpSharePre,HlpSharePost)</f>
        <v>0.03</v>
      </c>
      <c r="S808" s="21" t="n">
        <f aca="false">Q808*R808/(1-R808)</f>
        <v>96228.2783505155</v>
      </c>
      <c r="T808" s="19" t="n">
        <v>96782</v>
      </c>
      <c r="U808" s="21" t="n">
        <f aca="false">S808-T808</f>
        <v>-553.721649484534</v>
      </c>
      <c r="V808" s="21" t="n">
        <f aca="false">Y808-O808*R808/(1-R808)</f>
        <v>-0.134020618555951</v>
      </c>
      <c r="W808" s="21" t="n">
        <f aca="false">Z808-P808*R808/(1-R808)</f>
        <v>-0.144329896907493</v>
      </c>
      <c r="X808" s="21" t="n">
        <f aca="false">S808+V808+W808</f>
        <v>96228</v>
      </c>
      <c r="Y808" s="19" t="n">
        <v>92747</v>
      </c>
      <c r="Z808" s="19" t="n">
        <v>3481</v>
      </c>
      <c r="AA808" s="19" t="n">
        <v>3111381</v>
      </c>
      <c r="AB808" s="29" t="n">
        <v>40.755</v>
      </c>
      <c r="AC808" s="29" t="n">
        <v>42.0795</v>
      </c>
      <c r="AD808" s="24" t="n">
        <f aca="false">IFERROR(AA808/AC808,0)</f>
        <v>73940.5411185969</v>
      </c>
      <c r="AE808" s="25" t="n">
        <f aca="false">K808-Q808-X808</f>
        <v>0</v>
      </c>
      <c r="AF808" s="25" t="n">
        <f aca="false">Q808-AA808</f>
        <v>0</v>
      </c>
      <c r="AG808" s="19" t="n">
        <v>3226051.25120199</v>
      </c>
      <c r="AH808" s="26" t="n">
        <f aca="false">IFERROR(AG808/Q808,0)</f>
        <v>1.03685509784947</v>
      </c>
      <c r="AI808" s="27" t="n">
        <v>391617486.338798</v>
      </c>
      <c r="AJ808" s="26" t="n">
        <f aca="false">IF(AI808&gt;0,AprCoef/SQRT(AI808),0)</f>
        <v>0.0239523044893903</v>
      </c>
      <c r="AK808" s="24" t="n">
        <f aca="false">AI808*AJ808/365</f>
        <v>25699.0171949494</v>
      </c>
      <c r="AL808" s="24" t="n">
        <f aca="false">AD808</f>
        <v>73940.5411185969</v>
      </c>
      <c r="AM808" s="24" t="n">
        <f aca="false">AK808-AL808</f>
        <v>-48241.5239236475</v>
      </c>
      <c r="AN808" s="28" t="str">
        <f aca="false">IF(A808&gt;=Hip3LaunchDate,"YES","")</f>
        <v/>
      </c>
      <c r="AO808" s="28" t="str">
        <f aca="false">IF(A808&lt;Hip4LaunchDate,"pre-launch","live (zero-fee)")</f>
        <v>pre-launch</v>
      </c>
      <c r="AP808" s="20"/>
      <c r="AQ808" s="20"/>
      <c r="AR808" s="20"/>
    </row>
    <row r="809" customFormat="false" ht="15" hidden="false" customHeight="false" outlineLevel="0" collapsed="false">
      <c r="A809" s="18" t="n">
        <v>45870</v>
      </c>
      <c r="B809" s="19" t="n">
        <v>18380818442.58</v>
      </c>
      <c r="C809" s="19" t="n">
        <v>0</v>
      </c>
      <c r="D809" s="19" t="n">
        <v>559799982</v>
      </c>
      <c r="E809" s="21" t="n">
        <f aca="false">B809+C809</f>
        <v>18380818442.58</v>
      </c>
      <c r="F809" s="21" t="n">
        <f aca="false">E809+D809</f>
        <v>18940618424.58</v>
      </c>
      <c r="G809" s="22" t="n">
        <f aca="false">IFERROR(C809/E809,0)</f>
        <v>0</v>
      </c>
      <c r="H809" s="19" t="n">
        <v>5744453</v>
      </c>
      <c r="I809" s="19" t="n">
        <v>230825</v>
      </c>
      <c r="J809" s="19" t="n">
        <v>172119</v>
      </c>
      <c r="K809" s="21" t="n">
        <f aca="false">H809+I809</f>
        <v>5975278</v>
      </c>
      <c r="L809" s="20"/>
      <c r="M809" s="21" t="n">
        <f aca="false">H809-L809</f>
        <v>5744453</v>
      </c>
      <c r="N809" s="23" t="n">
        <f aca="false">IFERROR(M809/B809*10000,0)</f>
        <v>3.12524331707271</v>
      </c>
      <c r="O809" s="19" t="n">
        <v>5389544</v>
      </c>
      <c r="P809" s="19" t="n">
        <v>175624</v>
      </c>
      <c r="Q809" s="21" t="n">
        <f aca="false">O809+P809</f>
        <v>5565168</v>
      </c>
      <c r="R809" s="22" t="n">
        <f aca="false">IF(A809&lt;HlpChangeDate,HlpSharePre,HlpSharePost)</f>
        <v>0.03</v>
      </c>
      <c r="S809" s="21" t="n">
        <f aca="false">Q809*R809/(1-R809)</f>
        <v>172118.597938144</v>
      </c>
      <c r="T809" s="19" t="n">
        <v>172119</v>
      </c>
      <c r="U809" s="21" t="n">
        <f aca="false">S809-T809</f>
        <v>-0.402061855653301</v>
      </c>
      <c r="V809" s="21" t="n">
        <f aca="false">Y809-O809*R809/(1-R809)</f>
        <v>188222.072164948</v>
      </c>
      <c r="W809" s="21" t="n">
        <f aca="false">Z809-P809*R809/(1-R809)</f>
        <v>49768.3298969072</v>
      </c>
      <c r="X809" s="21" t="n">
        <f aca="false">S809+V809+W809</f>
        <v>410109</v>
      </c>
      <c r="Y809" s="19" t="n">
        <v>354909</v>
      </c>
      <c r="Z809" s="19" t="n">
        <v>55200</v>
      </c>
      <c r="AA809" s="19" t="n">
        <v>5565168</v>
      </c>
      <c r="AB809" s="29" t="n">
        <v>37.592</v>
      </c>
      <c r="AC809" s="29" t="n">
        <v>39.076</v>
      </c>
      <c r="AD809" s="24" t="n">
        <f aca="false">IFERROR(AA809/AC809,0)</f>
        <v>142419.080765687</v>
      </c>
      <c r="AE809" s="25" t="n">
        <f aca="false">K809-Q809-X809</f>
        <v>1</v>
      </c>
      <c r="AF809" s="25" t="n">
        <f aca="false">Q809-AA809</f>
        <v>0</v>
      </c>
      <c r="AG809" s="19" t="n">
        <v>4948245.13722003</v>
      </c>
      <c r="AH809" s="26" t="n">
        <f aca="false">IFERROR(AG809/Q809,0)</f>
        <v>0.889145689262216</v>
      </c>
      <c r="AI809" s="27" t="n">
        <v>391754098.360656</v>
      </c>
      <c r="AJ809" s="26" t="n">
        <f aca="false">IF(AI809&gt;0,AprCoef/SQRT(AI809),0)</f>
        <v>0.023948127815713</v>
      </c>
      <c r="AK809" s="24" t="n">
        <f aca="false">AI809*AJ809/365</f>
        <v>25703.4992325216</v>
      </c>
      <c r="AL809" s="24" t="n">
        <f aca="false">AD809</f>
        <v>142419.080765687</v>
      </c>
      <c r="AM809" s="24" t="n">
        <f aca="false">AK809-AL809</f>
        <v>-116715.581533166</v>
      </c>
      <c r="AN809" s="28" t="str">
        <f aca="false">IF(A809&gt;=Hip3LaunchDate,"YES","")</f>
        <v/>
      </c>
      <c r="AO809" s="28" t="str">
        <f aca="false">IF(A809&lt;Hip4LaunchDate,"pre-launch","live (zero-fee)")</f>
        <v>pre-launch</v>
      </c>
      <c r="AP809" s="20"/>
      <c r="AQ809" s="20"/>
      <c r="AR809" s="20"/>
    </row>
    <row r="810" customFormat="false" ht="15" hidden="false" customHeight="false" outlineLevel="0" collapsed="false">
      <c r="A810" s="18" t="n">
        <v>45871</v>
      </c>
      <c r="B810" s="19" t="n">
        <v>8441327240.05</v>
      </c>
      <c r="C810" s="19" t="n">
        <v>0</v>
      </c>
      <c r="D810" s="19" t="n">
        <v>276276534</v>
      </c>
      <c r="E810" s="21" t="n">
        <f aca="false">B810+C810</f>
        <v>8441327240.05</v>
      </c>
      <c r="F810" s="21" t="n">
        <f aca="false">E810+D810</f>
        <v>8717603774.05</v>
      </c>
      <c r="G810" s="22" t="n">
        <f aca="false">IFERROR(C810/E810,0)</f>
        <v>0</v>
      </c>
      <c r="H810" s="19" t="n">
        <v>2659549</v>
      </c>
      <c r="I810" s="19" t="n">
        <v>114760</v>
      </c>
      <c r="J810" s="19" t="n">
        <v>79532</v>
      </c>
      <c r="K810" s="21" t="n">
        <f aca="false">H810+I810</f>
        <v>2774309</v>
      </c>
      <c r="L810" s="20"/>
      <c r="M810" s="21" t="n">
        <f aca="false">H810-L810</f>
        <v>2659549</v>
      </c>
      <c r="N810" s="23" t="n">
        <f aca="false">IFERROR(M810/B810*10000,0)</f>
        <v>3.15062895249663</v>
      </c>
      <c r="O810" s="19" t="n">
        <v>2484641</v>
      </c>
      <c r="P810" s="19" t="n">
        <v>86900</v>
      </c>
      <c r="Q810" s="21" t="n">
        <f aca="false">O810+P810</f>
        <v>2571541</v>
      </c>
      <c r="R810" s="22" t="n">
        <f aca="false">IF(A810&lt;HlpChangeDate,HlpSharePre,HlpSharePost)</f>
        <v>0.03</v>
      </c>
      <c r="S810" s="21" t="n">
        <f aca="false">Q810*R810/(1-R810)</f>
        <v>79532.1958762887</v>
      </c>
      <c r="T810" s="19" t="n">
        <v>79532</v>
      </c>
      <c r="U810" s="21" t="n">
        <f aca="false">S810-T810</f>
        <v>0.195876288664294</v>
      </c>
      <c r="V810" s="21" t="n">
        <f aca="false">Y810-O810*R810/(1-R810)</f>
        <v>98063.4329896907</v>
      </c>
      <c r="W810" s="21" t="n">
        <f aca="false">Z810-P810*R810/(1-R810)</f>
        <v>25172.3711340206</v>
      </c>
      <c r="X810" s="21" t="n">
        <f aca="false">S810+V810+W810</f>
        <v>202768</v>
      </c>
      <c r="Y810" s="19" t="n">
        <v>174908</v>
      </c>
      <c r="Z810" s="19" t="n">
        <v>27860</v>
      </c>
      <c r="AA810" s="19" t="n">
        <v>2571541</v>
      </c>
      <c r="AB810" s="29" t="n">
        <v>36.909</v>
      </c>
      <c r="AC810" s="29" t="n">
        <v>37.186</v>
      </c>
      <c r="AD810" s="24" t="n">
        <f aca="false">IFERROR(AA810/AC810,0)</f>
        <v>69153.4717366751</v>
      </c>
      <c r="AE810" s="25" t="n">
        <f aca="false">K810-Q810-X810</f>
        <v>0</v>
      </c>
      <c r="AF810" s="25" t="n">
        <f aca="false">Q810-AA810</f>
        <v>0</v>
      </c>
      <c r="AG810" s="19" t="n">
        <v>2274627.47122002</v>
      </c>
      <c r="AH810" s="26" t="n">
        <f aca="false">IFERROR(AG810/Q810,0)</f>
        <v>0.884538675922342</v>
      </c>
      <c r="AI810" s="27" t="n">
        <v>391890710.382514</v>
      </c>
      <c r="AJ810" s="26" t="n">
        <f aca="false">IF(AI810&gt;0,AprCoef/SQRT(AI810),0)</f>
        <v>0.0239439533261914</v>
      </c>
      <c r="AK810" s="24" t="n">
        <f aca="false">AI810*AJ810/365</f>
        <v>25707.9804886764</v>
      </c>
      <c r="AL810" s="24" t="n">
        <f aca="false">AD810</f>
        <v>69153.4717366751</v>
      </c>
      <c r="AM810" s="24" t="n">
        <f aca="false">AK810-AL810</f>
        <v>-43445.4912479987</v>
      </c>
      <c r="AN810" s="28" t="str">
        <f aca="false">IF(A810&gt;=Hip3LaunchDate,"YES","")</f>
        <v/>
      </c>
      <c r="AO810" s="28" t="str">
        <f aca="false">IF(A810&lt;Hip4LaunchDate,"pre-launch","live (zero-fee)")</f>
        <v>pre-launch</v>
      </c>
      <c r="AP810" s="20"/>
      <c r="AQ810" s="20"/>
      <c r="AR810" s="20"/>
    </row>
    <row r="811" customFormat="false" ht="15" hidden="false" customHeight="false" outlineLevel="0" collapsed="false">
      <c r="A811" s="18" t="n">
        <v>45872</v>
      </c>
      <c r="B811" s="19" t="n">
        <v>5841208708.8</v>
      </c>
      <c r="C811" s="19" t="n">
        <v>0</v>
      </c>
      <c r="D811" s="19" t="n">
        <v>200603374</v>
      </c>
      <c r="E811" s="21" t="n">
        <f aca="false">B811+C811</f>
        <v>5841208708.8</v>
      </c>
      <c r="F811" s="21" t="n">
        <f aca="false">E811+D811</f>
        <v>6041812082.8</v>
      </c>
      <c r="G811" s="22" t="n">
        <f aca="false">IFERROR(C811/E811,0)</f>
        <v>0</v>
      </c>
      <c r="H811" s="19" t="n">
        <v>1932558</v>
      </c>
      <c r="I811" s="19" t="n">
        <v>90506</v>
      </c>
      <c r="J811" s="19" t="n">
        <v>57453</v>
      </c>
      <c r="K811" s="21" t="n">
        <f aca="false">H811+I811</f>
        <v>2023064</v>
      </c>
      <c r="L811" s="20"/>
      <c r="M811" s="21" t="n">
        <f aca="false">H811-L811</f>
        <v>1932558</v>
      </c>
      <c r="N811" s="23" t="n">
        <f aca="false">IFERROR(M811/B811*10000,0)</f>
        <v>3.30848989711415</v>
      </c>
      <c r="O811" s="19" t="n">
        <v>1788436</v>
      </c>
      <c r="P811" s="19" t="n">
        <v>69200</v>
      </c>
      <c r="Q811" s="21" t="n">
        <f aca="false">O811+P811</f>
        <v>1857636</v>
      </c>
      <c r="R811" s="22" t="n">
        <f aca="false">IF(A811&lt;HlpChangeDate,HlpSharePre,HlpSharePost)</f>
        <v>0.03</v>
      </c>
      <c r="S811" s="21" t="n">
        <f aca="false">Q811*R811/(1-R811)</f>
        <v>57452.6597938144</v>
      </c>
      <c r="T811" s="19" t="n">
        <v>57453</v>
      </c>
      <c r="U811" s="21" t="n">
        <f aca="false">S811-T811</f>
        <v>-0.340206185574061</v>
      </c>
      <c r="V811" s="21" t="n">
        <f aca="false">Y811-O811*R811/(1-R811)</f>
        <v>88809.5463917526</v>
      </c>
      <c r="W811" s="21" t="n">
        <f aca="false">Z811-P811*R811/(1-R811)</f>
        <v>19165.793814433</v>
      </c>
      <c r="X811" s="21" t="n">
        <f aca="false">S811+V811+W811</f>
        <v>165428</v>
      </c>
      <c r="Y811" s="19" t="n">
        <v>144122</v>
      </c>
      <c r="Z811" s="19" t="n">
        <v>21306</v>
      </c>
      <c r="AA811" s="19" t="n">
        <v>1857636</v>
      </c>
      <c r="AB811" s="29" t="n">
        <v>38.184</v>
      </c>
      <c r="AC811" s="29" t="n">
        <v>37.69175</v>
      </c>
      <c r="AD811" s="24" t="n">
        <f aca="false">IFERROR(AA811/AC811,0)</f>
        <v>49284.9496242546</v>
      </c>
      <c r="AE811" s="25" t="n">
        <f aca="false">K811-Q811-X811</f>
        <v>0</v>
      </c>
      <c r="AF811" s="25" t="n">
        <f aca="false">Q811-AA811</f>
        <v>0</v>
      </c>
      <c r="AG811" s="19" t="n">
        <v>1646794.8100239</v>
      </c>
      <c r="AH811" s="26" t="n">
        <f aca="false">IFERROR(AG811/Q811,0)</f>
        <v>0.886500267018891</v>
      </c>
      <c r="AI811" s="27" t="n">
        <v>392027322.404372</v>
      </c>
      <c r="AJ811" s="26" t="n">
        <f aca="false">IF(AI811&gt;0,AprCoef/SQRT(AI811),0)</f>
        <v>0.0239397810189226</v>
      </c>
      <c r="AK811" s="24" t="n">
        <f aca="false">AI811*AJ811/365</f>
        <v>25712.4609638225</v>
      </c>
      <c r="AL811" s="24" t="n">
        <f aca="false">AD811</f>
        <v>49284.9496242546</v>
      </c>
      <c r="AM811" s="24" t="n">
        <f aca="false">AK811-AL811</f>
        <v>-23572.4886604321</v>
      </c>
      <c r="AN811" s="28" t="str">
        <f aca="false">IF(A811&gt;=Hip3LaunchDate,"YES","")</f>
        <v/>
      </c>
      <c r="AO811" s="28" t="str">
        <f aca="false">IF(A811&lt;Hip4LaunchDate,"pre-launch","live (zero-fee)")</f>
        <v>pre-launch</v>
      </c>
      <c r="AP811" s="20"/>
      <c r="AQ811" s="20"/>
      <c r="AR811" s="20"/>
    </row>
    <row r="812" customFormat="false" ht="15" hidden="false" customHeight="false" outlineLevel="0" collapsed="false">
      <c r="A812" s="18" t="n">
        <v>45873</v>
      </c>
      <c r="B812" s="19" t="n">
        <v>9314089950.95</v>
      </c>
      <c r="C812" s="19" t="n">
        <v>0</v>
      </c>
      <c r="D812" s="19" t="n">
        <v>266825105</v>
      </c>
      <c r="E812" s="21" t="n">
        <f aca="false">B812+C812</f>
        <v>9314089950.95</v>
      </c>
      <c r="F812" s="21" t="n">
        <f aca="false">E812+D812</f>
        <v>9580915055.95</v>
      </c>
      <c r="G812" s="22" t="n">
        <f aca="false">IFERROR(C812/E812,0)</f>
        <v>0</v>
      </c>
      <c r="H812" s="19" t="n">
        <v>2964314</v>
      </c>
      <c r="I812" s="19" t="n">
        <v>106473</v>
      </c>
      <c r="J812" s="19" t="n">
        <v>87396</v>
      </c>
      <c r="K812" s="21" t="n">
        <f aca="false">H812+I812</f>
        <v>3070787</v>
      </c>
      <c r="L812" s="20"/>
      <c r="M812" s="21" t="n">
        <f aca="false">H812-L812</f>
        <v>2964314</v>
      </c>
      <c r="N812" s="23" t="n">
        <f aca="false">IFERROR(M812/B812*10000,0)</f>
        <v>3.18261259619642</v>
      </c>
      <c r="O812" s="19" t="n">
        <v>2749987</v>
      </c>
      <c r="P812" s="19" t="n">
        <v>75818</v>
      </c>
      <c r="Q812" s="21" t="n">
        <f aca="false">O812+P812</f>
        <v>2825805</v>
      </c>
      <c r="R812" s="22" t="n">
        <f aca="false">IF(A812&lt;HlpChangeDate,HlpSharePre,HlpSharePost)</f>
        <v>0.03</v>
      </c>
      <c r="S812" s="21" t="n">
        <f aca="false">Q812*R812/(1-R812)</f>
        <v>87396.0309278351</v>
      </c>
      <c r="T812" s="19" t="n">
        <v>87396</v>
      </c>
      <c r="U812" s="21" t="n">
        <f aca="false">S812-T812</f>
        <v>0.0309278350468958</v>
      </c>
      <c r="V812" s="21" t="n">
        <f aca="false">Y812-O812*R812/(1-R812)</f>
        <v>129275.855670103</v>
      </c>
      <c r="W812" s="21" t="n">
        <f aca="false">Z812-P812*R812/(1-R812)</f>
        <v>28310.1134020619</v>
      </c>
      <c r="X812" s="21" t="n">
        <f aca="false">S812+V812+W812</f>
        <v>244982</v>
      </c>
      <c r="Y812" s="19" t="n">
        <v>214327</v>
      </c>
      <c r="Z812" s="19" t="n">
        <v>30655</v>
      </c>
      <c r="AA812" s="19" t="n">
        <v>2825805</v>
      </c>
      <c r="AB812" s="29" t="n">
        <v>38.787</v>
      </c>
      <c r="AC812" s="29" t="n">
        <v>38.43075</v>
      </c>
      <c r="AD812" s="24" t="n">
        <f aca="false">IFERROR(AA812/AC812,0)</f>
        <v>73529.7905973732</v>
      </c>
      <c r="AE812" s="25" t="n">
        <f aca="false">K812-Q812-X812</f>
        <v>0</v>
      </c>
      <c r="AF812" s="25" t="n">
        <f aca="false">Q812-AA812</f>
        <v>0</v>
      </c>
      <c r="AG812" s="19" t="n">
        <v>2518824.07994604</v>
      </c>
      <c r="AH812" s="26" t="n">
        <f aca="false">IFERROR(AG812/Q812,0)</f>
        <v>0.891365143718707</v>
      </c>
      <c r="AI812" s="27" t="n">
        <v>392163934.42623</v>
      </c>
      <c r="AJ812" s="26" t="n">
        <f aca="false">IF(AI812&gt;0,AprCoef/SQRT(AI812),0)</f>
        <v>0.023935610892006</v>
      </c>
      <c r="AK812" s="24" t="n">
        <f aca="false">AI812*AJ812/365</f>
        <v>25716.9406583681</v>
      </c>
      <c r="AL812" s="24" t="n">
        <f aca="false">AD812</f>
        <v>73529.7905973732</v>
      </c>
      <c r="AM812" s="24" t="n">
        <f aca="false">AK812-AL812</f>
        <v>-47812.8499390051</v>
      </c>
      <c r="AN812" s="28" t="str">
        <f aca="false">IF(A812&gt;=Hip3LaunchDate,"YES","")</f>
        <v/>
      </c>
      <c r="AO812" s="28" t="str">
        <f aca="false">IF(A812&lt;Hip4LaunchDate,"pre-launch","live (zero-fee)")</f>
        <v>pre-launch</v>
      </c>
      <c r="AP812" s="20"/>
      <c r="AQ812" s="20"/>
      <c r="AR812" s="20"/>
    </row>
    <row r="813" customFormat="false" ht="15" hidden="false" customHeight="false" outlineLevel="0" collapsed="false">
      <c r="A813" s="18" t="n">
        <v>45874</v>
      </c>
      <c r="B813" s="19" t="n">
        <v>9775208827.43</v>
      </c>
      <c r="C813" s="19" t="n">
        <v>0</v>
      </c>
      <c r="D813" s="19" t="n">
        <v>287929944</v>
      </c>
      <c r="E813" s="21" t="n">
        <f aca="false">B813+C813</f>
        <v>9775208827.43</v>
      </c>
      <c r="F813" s="21" t="n">
        <f aca="false">E813+D813</f>
        <v>10063138771.43</v>
      </c>
      <c r="G813" s="22" t="n">
        <f aca="false">IFERROR(C813/E813,0)</f>
        <v>0</v>
      </c>
      <c r="H813" s="19" t="n">
        <v>3247692</v>
      </c>
      <c r="I813" s="19" t="n">
        <v>121622</v>
      </c>
      <c r="J813" s="19" t="n">
        <v>96220</v>
      </c>
      <c r="K813" s="21" t="n">
        <f aca="false">H813+I813</f>
        <v>3369314</v>
      </c>
      <c r="L813" s="20"/>
      <c r="M813" s="21" t="n">
        <f aca="false">H813-L813</f>
        <v>3247692</v>
      </c>
      <c r="N813" s="23" t="n">
        <f aca="false">IFERROR(M813/B813*10000,0)</f>
        <v>3.32237608150807</v>
      </c>
      <c r="O813" s="19" t="n">
        <v>3021041</v>
      </c>
      <c r="P813" s="19" t="n">
        <v>90076</v>
      </c>
      <c r="Q813" s="21" t="n">
        <f aca="false">O813+P813</f>
        <v>3111117</v>
      </c>
      <c r="R813" s="22" t="n">
        <f aca="false">IF(A813&lt;HlpChangeDate,HlpSharePre,HlpSharePost)</f>
        <v>0.03</v>
      </c>
      <c r="S813" s="21" t="n">
        <f aca="false">Q813*R813/(1-R813)</f>
        <v>96220.1134020619</v>
      </c>
      <c r="T813" s="19" t="n">
        <v>96220</v>
      </c>
      <c r="U813" s="21" t="n">
        <f aca="false">S813-T813</f>
        <v>0.113402061848319</v>
      </c>
      <c r="V813" s="21" t="n">
        <f aca="false">Y813-O813*R813/(1-R813)</f>
        <v>133216.742268041</v>
      </c>
      <c r="W813" s="21" t="n">
        <f aca="false">Z813-P813*R813/(1-R813)</f>
        <v>28760.1443298969</v>
      </c>
      <c r="X813" s="21" t="n">
        <f aca="false">S813+V813+W813</f>
        <v>258197</v>
      </c>
      <c r="Y813" s="19" t="n">
        <v>226651</v>
      </c>
      <c r="Z813" s="19" t="n">
        <v>31546</v>
      </c>
      <c r="AA813" s="19" t="n">
        <v>3111117</v>
      </c>
      <c r="AB813" s="29" t="n">
        <v>38.495</v>
      </c>
      <c r="AC813" s="29" t="n">
        <v>38.636</v>
      </c>
      <c r="AD813" s="24" t="n">
        <f aca="false">IFERROR(AA813/AC813,0)</f>
        <v>80523.7861062222</v>
      </c>
      <c r="AE813" s="25" t="n">
        <f aca="false">K813-Q813-X813</f>
        <v>0</v>
      </c>
      <c r="AF813" s="25" t="n">
        <f aca="false">Q813-AA813</f>
        <v>0</v>
      </c>
      <c r="AG813" s="19" t="n">
        <v>2703801.86040402</v>
      </c>
      <c r="AH813" s="26" t="n">
        <f aca="false">IFERROR(AG813/Q813,0)</f>
        <v>0.869077524375977</v>
      </c>
      <c r="AI813" s="27" t="n">
        <v>392300546.448088</v>
      </c>
      <c r="AJ813" s="26" t="n">
        <f aca="false">IF(AI813&gt;0,AprCoef/SQRT(AI813),0)</f>
        <v>0.0239314429435431</v>
      </c>
      <c r="AK813" s="24" t="n">
        <f aca="false">AI813*AJ813/365</f>
        <v>25721.4195727211</v>
      </c>
      <c r="AL813" s="24" t="n">
        <f aca="false">AD813</f>
        <v>80523.7861062222</v>
      </c>
      <c r="AM813" s="24" t="n">
        <f aca="false">AK813-AL813</f>
        <v>-54802.3665335011</v>
      </c>
      <c r="AN813" s="28" t="str">
        <f aca="false">IF(A813&gt;=Hip3LaunchDate,"YES","")</f>
        <v/>
      </c>
      <c r="AO813" s="28" t="str">
        <f aca="false">IF(A813&lt;Hip4LaunchDate,"pre-launch","live (zero-fee)")</f>
        <v>pre-launch</v>
      </c>
      <c r="AP813" s="20"/>
      <c r="AQ813" s="20"/>
      <c r="AR813" s="20"/>
    </row>
    <row r="814" customFormat="false" ht="15" hidden="false" customHeight="false" outlineLevel="0" collapsed="false">
      <c r="A814" s="18" t="n">
        <v>45875</v>
      </c>
      <c r="B814" s="19" t="n">
        <v>7858359162.9</v>
      </c>
      <c r="C814" s="19" t="n">
        <v>0</v>
      </c>
      <c r="D814" s="19" t="n">
        <v>215200534</v>
      </c>
      <c r="E814" s="21" t="n">
        <f aca="false">B814+C814</f>
        <v>7858359162.9</v>
      </c>
      <c r="F814" s="21" t="n">
        <f aca="false">E814+D814</f>
        <v>8073559696.9</v>
      </c>
      <c r="G814" s="22" t="n">
        <f aca="false">IFERROR(C814/E814,0)</f>
        <v>0</v>
      </c>
      <c r="H814" s="19" t="n">
        <v>2423595</v>
      </c>
      <c r="I814" s="19" t="n">
        <v>97146</v>
      </c>
      <c r="J814" s="19" t="n">
        <v>71884</v>
      </c>
      <c r="K814" s="21" t="n">
        <f aca="false">H814+I814</f>
        <v>2520741</v>
      </c>
      <c r="L814" s="20"/>
      <c r="M814" s="21" t="n">
        <f aca="false">H814-L814</f>
        <v>2423595</v>
      </c>
      <c r="N814" s="23" t="n">
        <f aca="false">IFERROR(M814/B814*10000,0)</f>
        <v>3.08409802830342</v>
      </c>
      <c r="O814" s="19" t="n">
        <v>2252566</v>
      </c>
      <c r="P814" s="19" t="n">
        <v>71671</v>
      </c>
      <c r="Q814" s="21" t="n">
        <f aca="false">O814+P814</f>
        <v>2324237</v>
      </c>
      <c r="R814" s="22" t="n">
        <f aca="false">IF(A814&lt;HlpChangeDate,HlpSharePre,HlpSharePost)</f>
        <v>0.03</v>
      </c>
      <c r="S814" s="21" t="n">
        <f aca="false">Q814*R814/(1-R814)</f>
        <v>71883.618556701</v>
      </c>
      <c r="T814" s="19" t="n">
        <v>71884</v>
      </c>
      <c r="U814" s="21" t="n">
        <f aca="false">S814-T814</f>
        <v>-0.381443298960221</v>
      </c>
      <c r="V814" s="21" t="n">
        <f aca="false">Y814-O814*R814/(1-R814)</f>
        <v>101362.010309278</v>
      </c>
      <c r="W814" s="21" t="n">
        <f aca="false">Z814-P814*R814/(1-R814)</f>
        <v>23258.3711340206</v>
      </c>
      <c r="X814" s="21" t="n">
        <f aca="false">S814+V814+W814</f>
        <v>196504</v>
      </c>
      <c r="Y814" s="19" t="n">
        <v>171029</v>
      </c>
      <c r="Z814" s="19" t="n">
        <v>25475</v>
      </c>
      <c r="AA814" s="19" t="n">
        <v>2324237</v>
      </c>
      <c r="AB814" s="29" t="n">
        <v>38.093</v>
      </c>
      <c r="AC814" s="29" t="n">
        <v>38.205</v>
      </c>
      <c r="AD814" s="24" t="n">
        <f aca="false">IFERROR(AA814/AC814,0)</f>
        <v>60835.9377044889</v>
      </c>
      <c r="AE814" s="25" t="n">
        <f aca="false">K814-Q814-X814</f>
        <v>0</v>
      </c>
      <c r="AF814" s="25" t="n">
        <f aca="false">Q814-AA814</f>
        <v>0</v>
      </c>
      <c r="AG814" s="19" t="n">
        <v>2086918.89048302</v>
      </c>
      <c r="AH814" s="26" t="n">
        <f aca="false">IFERROR(AG814/Q814,0)</f>
        <v>0.897894186558007</v>
      </c>
      <c r="AI814" s="27" t="n">
        <v>392437158.469945</v>
      </c>
      <c r="AJ814" s="26" t="n">
        <f aca="false">IF(AI814&gt;0,AprCoef/SQRT(AI814),0)</f>
        <v>0.023927277171638</v>
      </c>
      <c r="AK814" s="24" t="n">
        <f aca="false">AI814*AJ814/365</f>
        <v>25725.8977072888</v>
      </c>
      <c r="AL814" s="24" t="n">
        <f aca="false">AD814</f>
        <v>60835.9377044889</v>
      </c>
      <c r="AM814" s="24" t="n">
        <f aca="false">AK814-AL814</f>
        <v>-35110.0399972001</v>
      </c>
      <c r="AN814" s="28" t="str">
        <f aca="false">IF(A814&gt;=Hip3LaunchDate,"YES","")</f>
        <v/>
      </c>
      <c r="AO814" s="28" t="str">
        <f aca="false">IF(A814&lt;Hip4LaunchDate,"pre-launch","live (zero-fee)")</f>
        <v>pre-launch</v>
      </c>
      <c r="AP814" s="20"/>
      <c r="AQ814" s="20"/>
      <c r="AR814" s="20"/>
    </row>
    <row r="815" customFormat="false" ht="15" hidden="false" customHeight="false" outlineLevel="0" collapsed="false">
      <c r="A815" s="18" t="n">
        <v>45876</v>
      </c>
      <c r="B815" s="19" t="n">
        <v>10373151278.32</v>
      </c>
      <c r="C815" s="19" t="n">
        <v>0</v>
      </c>
      <c r="D815" s="19" t="n">
        <v>296746289</v>
      </c>
      <c r="E815" s="21" t="n">
        <f aca="false">B815+C815</f>
        <v>10373151278.32</v>
      </c>
      <c r="F815" s="21" t="n">
        <f aca="false">E815+D815</f>
        <v>10669897567.32</v>
      </c>
      <c r="G815" s="22" t="n">
        <f aca="false">IFERROR(C815/E815,0)</f>
        <v>0</v>
      </c>
      <c r="H815" s="19" t="n">
        <v>3413306</v>
      </c>
      <c r="I815" s="19" t="n">
        <v>115340</v>
      </c>
      <c r="J815" s="19" t="n">
        <v>101009</v>
      </c>
      <c r="K815" s="21" t="n">
        <f aca="false">H815+I815</f>
        <v>3528646</v>
      </c>
      <c r="L815" s="20"/>
      <c r="M815" s="21" t="n">
        <f aca="false">H815-L815</f>
        <v>3413306</v>
      </c>
      <c r="N815" s="23" t="n">
        <f aca="false">IFERROR(M815/B815*10000,0)</f>
        <v>3.29051983184112</v>
      </c>
      <c r="O815" s="19" t="n">
        <v>3180565</v>
      </c>
      <c r="P815" s="19" t="n">
        <v>85404</v>
      </c>
      <c r="Q815" s="21" t="n">
        <f aca="false">O815+P815</f>
        <v>3265969</v>
      </c>
      <c r="R815" s="22" t="n">
        <f aca="false">IF(A815&lt;HlpChangeDate,HlpSharePre,HlpSharePost)</f>
        <v>0.03</v>
      </c>
      <c r="S815" s="21" t="n">
        <f aca="false">Q815*R815/(1-R815)</f>
        <v>101009.350515464</v>
      </c>
      <c r="T815" s="19" t="n">
        <v>101009</v>
      </c>
      <c r="U815" s="21" t="n">
        <f aca="false">S815-T815</f>
        <v>0.350515463913325</v>
      </c>
      <c r="V815" s="21" t="n">
        <f aca="false">Y815-O815*R815/(1-R815)</f>
        <v>134374.010309278</v>
      </c>
      <c r="W815" s="21" t="n">
        <f aca="false">Z815-P815*R815/(1-R815)</f>
        <v>27295.6391752577</v>
      </c>
      <c r="X815" s="21" t="n">
        <f aca="false">S815+V815+W815</f>
        <v>262679</v>
      </c>
      <c r="Y815" s="19" t="n">
        <v>232742</v>
      </c>
      <c r="Z815" s="19" t="n">
        <v>29937</v>
      </c>
      <c r="AA815" s="19" t="n">
        <v>3265969</v>
      </c>
      <c r="AB815" s="29" t="n">
        <v>40.922</v>
      </c>
      <c r="AC815" s="29" t="n">
        <v>39.414</v>
      </c>
      <c r="AD815" s="24" t="n">
        <f aca="false">IFERROR(AA815/AC815,0)</f>
        <v>82863.1704470493</v>
      </c>
      <c r="AE815" s="25" t="n">
        <f aca="false">K815-Q815-X815</f>
        <v>-2</v>
      </c>
      <c r="AF815" s="25" t="n">
        <f aca="false">Q815-AA815</f>
        <v>0</v>
      </c>
      <c r="AG815" s="19" t="n">
        <v>2908493.52431095</v>
      </c>
      <c r="AH815" s="26" t="n">
        <f aca="false">IFERROR(AG815/Q815,0)</f>
        <v>0.890545355547143</v>
      </c>
      <c r="AI815" s="27" t="n">
        <v>392573770.491803</v>
      </c>
      <c r="AJ815" s="26" t="n">
        <f aca="false">IF(AI815&gt;0,AprCoef/SQRT(AI815),0)</f>
        <v>0.023923113574397</v>
      </c>
      <c r="AK815" s="24" t="n">
        <f aca="false">AI815*AJ815/365</f>
        <v>25730.3750624786</v>
      </c>
      <c r="AL815" s="24" t="n">
        <f aca="false">AD815</f>
        <v>82863.1704470493</v>
      </c>
      <c r="AM815" s="24" t="n">
        <f aca="false">AK815-AL815</f>
        <v>-57132.7953845707</v>
      </c>
      <c r="AN815" s="28" t="str">
        <f aca="false">IF(A815&gt;=Hip3LaunchDate,"YES","")</f>
        <v/>
      </c>
      <c r="AO815" s="28" t="str">
        <f aca="false">IF(A815&lt;Hip4LaunchDate,"pre-launch","live (zero-fee)")</f>
        <v>pre-launch</v>
      </c>
      <c r="AP815" s="20"/>
      <c r="AQ815" s="20"/>
      <c r="AR815" s="20"/>
    </row>
    <row r="816" customFormat="false" ht="15" hidden="false" customHeight="false" outlineLevel="0" collapsed="false">
      <c r="A816" s="18" t="n">
        <v>45877</v>
      </c>
      <c r="B816" s="19" t="n">
        <v>11308035796.91</v>
      </c>
      <c r="C816" s="19" t="n">
        <v>0</v>
      </c>
      <c r="D816" s="19" t="n">
        <v>263816934</v>
      </c>
      <c r="E816" s="21" t="n">
        <f aca="false">B816+C816</f>
        <v>11308035796.91</v>
      </c>
      <c r="F816" s="21" t="n">
        <f aca="false">E816+D816</f>
        <v>11571852730.91</v>
      </c>
      <c r="G816" s="22" t="n">
        <f aca="false">IFERROR(C816/E816,0)</f>
        <v>0</v>
      </c>
      <c r="H816" s="19" t="n">
        <v>3546602</v>
      </c>
      <c r="I816" s="19" t="n">
        <v>116628</v>
      </c>
      <c r="J816" s="19" t="n">
        <v>104673</v>
      </c>
      <c r="K816" s="21" t="n">
        <f aca="false">H816+I816</f>
        <v>3663230</v>
      </c>
      <c r="L816" s="20"/>
      <c r="M816" s="21" t="n">
        <f aca="false">H816-L816</f>
        <v>3546602</v>
      </c>
      <c r="N816" s="23" t="n">
        <f aca="false">IFERROR(M816/B816*10000,0)</f>
        <v>3.13635547649145</v>
      </c>
      <c r="O816" s="19" t="n">
        <v>3301767</v>
      </c>
      <c r="P816" s="19" t="n">
        <v>82659</v>
      </c>
      <c r="Q816" s="21" t="n">
        <f aca="false">O816+P816</f>
        <v>3384426</v>
      </c>
      <c r="R816" s="22" t="n">
        <f aca="false">IF(A816&lt;HlpChangeDate,HlpSharePre,HlpSharePost)</f>
        <v>0.03</v>
      </c>
      <c r="S816" s="21" t="n">
        <f aca="false">Q816*R816/(1-R816)</f>
        <v>104672.969072165</v>
      </c>
      <c r="T816" s="19" t="n">
        <v>104673</v>
      </c>
      <c r="U816" s="21" t="n">
        <f aca="false">S816-T816</f>
        <v>-0.0309278350468958</v>
      </c>
      <c r="V816" s="21" t="n">
        <f aca="false">Y816-O816*R816/(1-R816)</f>
        <v>142718.494845361</v>
      </c>
      <c r="W816" s="21" t="n">
        <f aca="false">Z816-P816*R816/(1-R816)</f>
        <v>31412.5360824742</v>
      </c>
      <c r="X816" s="21" t="n">
        <f aca="false">S816+V816+W816</f>
        <v>278804</v>
      </c>
      <c r="Y816" s="19" t="n">
        <v>244835</v>
      </c>
      <c r="Z816" s="19" t="n">
        <v>33969</v>
      </c>
      <c r="AA816" s="19" t="n">
        <v>3384426</v>
      </c>
      <c r="AB816" s="29" t="n">
        <v>41.001</v>
      </c>
      <c r="AC816" s="29" t="n">
        <v>40.9645</v>
      </c>
      <c r="AD816" s="24" t="n">
        <f aca="false">IFERROR(AA816/AC816,0)</f>
        <v>82618.5111498981</v>
      </c>
      <c r="AE816" s="25" t="n">
        <f aca="false">K816-Q816-X816</f>
        <v>0</v>
      </c>
      <c r="AF816" s="25" t="n">
        <f aca="false">Q816-AA816</f>
        <v>0</v>
      </c>
      <c r="AG816" s="19" t="n">
        <v>3002000.98657298</v>
      </c>
      <c r="AH816" s="26" t="n">
        <f aca="false">IFERROR(AG816/Q816,0)</f>
        <v>0.887004468873889</v>
      </c>
      <c r="AI816" s="27" t="n">
        <v>392710382.513661</v>
      </c>
      <c r="AJ816" s="26" t="n">
        <f aca="false">IF(AI816&gt;0,AprCoef/SQRT(AI816),0)</f>
        <v>0.0239189521499286</v>
      </c>
      <c r="AK816" s="24" t="n">
        <f aca="false">AI816*AJ816/365</f>
        <v>25734.8516386971</v>
      </c>
      <c r="AL816" s="24" t="n">
        <f aca="false">AD816</f>
        <v>82618.5111498981</v>
      </c>
      <c r="AM816" s="24" t="n">
        <f aca="false">AK816-AL816</f>
        <v>-56883.659511201</v>
      </c>
      <c r="AN816" s="28" t="str">
        <f aca="false">IF(A816&gt;=Hip3LaunchDate,"YES","")</f>
        <v/>
      </c>
      <c r="AO816" s="28" t="str">
        <f aca="false">IF(A816&lt;Hip4LaunchDate,"pre-launch","live (zero-fee)")</f>
        <v>pre-launch</v>
      </c>
      <c r="AP816" s="20"/>
      <c r="AQ816" s="20"/>
      <c r="AR816" s="20"/>
    </row>
    <row r="817" customFormat="false" ht="15" hidden="false" customHeight="false" outlineLevel="0" collapsed="false">
      <c r="A817" s="18" t="n">
        <v>45878</v>
      </c>
      <c r="B817" s="19" t="n">
        <v>10137348599.57</v>
      </c>
      <c r="C817" s="19" t="n">
        <v>0</v>
      </c>
      <c r="D817" s="19" t="n">
        <v>340639673</v>
      </c>
      <c r="E817" s="21" t="n">
        <f aca="false">B817+C817</f>
        <v>10137348599.57</v>
      </c>
      <c r="F817" s="21" t="n">
        <f aca="false">E817+D817</f>
        <v>10477988272.57</v>
      </c>
      <c r="G817" s="22" t="n">
        <f aca="false">IFERROR(C817/E817,0)</f>
        <v>0</v>
      </c>
      <c r="H817" s="19" t="n">
        <v>3444570</v>
      </c>
      <c r="I817" s="19" t="n">
        <v>148257</v>
      </c>
      <c r="J817" s="19" t="n">
        <v>101487</v>
      </c>
      <c r="K817" s="21" t="n">
        <f aca="false">H817+I817</f>
        <v>3592827</v>
      </c>
      <c r="L817" s="20"/>
      <c r="M817" s="21" t="n">
        <f aca="false">H817-L817</f>
        <v>3444570</v>
      </c>
      <c r="N817" s="23" t="n">
        <f aca="false">IFERROR(M817/B817*10000,0)</f>
        <v>3.39790031502528</v>
      </c>
      <c r="O817" s="19" t="n">
        <v>3174216</v>
      </c>
      <c r="P817" s="19" t="n">
        <v>107206</v>
      </c>
      <c r="Q817" s="21" t="n">
        <f aca="false">O817+P817</f>
        <v>3281422</v>
      </c>
      <c r="R817" s="22" t="n">
        <f aca="false">IF(A817&lt;HlpChangeDate,HlpSharePre,HlpSharePost)</f>
        <v>0.03</v>
      </c>
      <c r="S817" s="21" t="n">
        <f aca="false">Q817*R817/(1-R817)</f>
        <v>101487.278350515</v>
      </c>
      <c r="T817" s="19" t="n">
        <v>101487</v>
      </c>
      <c r="U817" s="21" t="n">
        <f aca="false">S817-T817</f>
        <v>0.278350515465718</v>
      </c>
      <c r="V817" s="21" t="n">
        <f aca="false">Y817-O817*R817/(1-R817)</f>
        <v>172182.371134021</v>
      </c>
      <c r="W817" s="21" t="n">
        <f aca="false">Z817-P817*R817/(1-R817)</f>
        <v>37735.3505154639</v>
      </c>
      <c r="X817" s="21" t="n">
        <f aca="false">S817+V817+W817</f>
        <v>311405</v>
      </c>
      <c r="Y817" s="19" t="n">
        <v>270354</v>
      </c>
      <c r="Z817" s="19" t="n">
        <v>41051</v>
      </c>
      <c r="AA817" s="19" t="n">
        <v>3281422</v>
      </c>
      <c r="AB817" s="29" t="n">
        <v>43.649</v>
      </c>
      <c r="AC817" s="29" t="n">
        <v>42.49425</v>
      </c>
      <c r="AD817" s="24" t="n">
        <f aca="false">IFERROR(AA817/AC817,0)</f>
        <v>77220.3768745183</v>
      </c>
      <c r="AE817" s="25" t="n">
        <f aca="false">K817-Q817-X817</f>
        <v>0</v>
      </c>
      <c r="AF817" s="25" t="n">
        <f aca="false">Q817-AA817</f>
        <v>0</v>
      </c>
      <c r="AG817" s="19" t="n">
        <v>3007659.38153005</v>
      </c>
      <c r="AH817" s="26" t="n">
        <f aca="false">IFERROR(AG817/Q817,0)</f>
        <v>0.916571956161093</v>
      </c>
      <c r="AI817" s="27" t="n">
        <v>392846994.535519</v>
      </c>
      <c r="AJ817" s="26" t="n">
        <f aca="false">IF(AI817&gt;0,AprCoef/SQRT(AI817),0)</f>
        <v>0.0239147928963438</v>
      </c>
      <c r="AK817" s="24" t="n">
        <f aca="false">AI817*AJ817/365</f>
        <v>25739.3274363508</v>
      </c>
      <c r="AL817" s="24" t="n">
        <f aca="false">AD817</f>
        <v>77220.3768745183</v>
      </c>
      <c r="AM817" s="24" t="n">
        <f aca="false">AK817-AL817</f>
        <v>-51481.0494381676</v>
      </c>
      <c r="AN817" s="28" t="str">
        <f aca="false">IF(A817&gt;=Hip3LaunchDate,"YES","")</f>
        <v/>
      </c>
      <c r="AO817" s="28" t="str">
        <f aca="false">IF(A817&lt;Hip4LaunchDate,"pre-launch","live (zero-fee)")</f>
        <v>pre-launch</v>
      </c>
      <c r="AP817" s="20"/>
      <c r="AQ817" s="20"/>
      <c r="AR817" s="20"/>
    </row>
    <row r="818" customFormat="false" ht="15" hidden="false" customHeight="false" outlineLevel="0" collapsed="false">
      <c r="A818" s="18" t="n">
        <v>45879</v>
      </c>
      <c r="B818" s="19" t="n">
        <v>9805998920.34</v>
      </c>
      <c r="C818" s="19" t="n">
        <v>0</v>
      </c>
      <c r="D818" s="19" t="n">
        <v>243820189</v>
      </c>
      <c r="E818" s="21" t="n">
        <f aca="false">B818+C818</f>
        <v>9805998920.34</v>
      </c>
      <c r="F818" s="21" t="n">
        <f aca="false">E818+D818</f>
        <v>10049819109.34</v>
      </c>
      <c r="G818" s="22" t="n">
        <f aca="false">IFERROR(C818/E818,0)</f>
        <v>0</v>
      </c>
      <c r="H818" s="19" t="n">
        <v>3161602</v>
      </c>
      <c r="I818" s="19" t="n">
        <v>121824</v>
      </c>
      <c r="J818" s="19" t="n">
        <v>91972</v>
      </c>
      <c r="K818" s="21" t="n">
        <f aca="false">H818+I818</f>
        <v>3283426</v>
      </c>
      <c r="L818" s="20"/>
      <c r="M818" s="21" t="n">
        <f aca="false">H818-L818</f>
        <v>3161602</v>
      </c>
      <c r="N818" s="23" t="n">
        <f aca="false">IFERROR(M818/B818*10000,0)</f>
        <v>3.22415087507513</v>
      </c>
      <c r="O818" s="19" t="n">
        <v>2887513</v>
      </c>
      <c r="P818" s="19" t="n">
        <v>86249</v>
      </c>
      <c r="Q818" s="21" t="n">
        <f aca="false">O818+P818</f>
        <v>2973762</v>
      </c>
      <c r="R818" s="22" t="n">
        <f aca="false">IF(A818&lt;HlpChangeDate,HlpSharePre,HlpSharePost)</f>
        <v>0.03</v>
      </c>
      <c r="S818" s="21" t="n">
        <f aca="false">Q818*R818/(1-R818)</f>
        <v>91972.0206185567</v>
      </c>
      <c r="T818" s="19" t="n">
        <v>91972</v>
      </c>
      <c r="U818" s="21" t="n">
        <f aca="false">S818-T818</f>
        <v>0.0206185567076318</v>
      </c>
      <c r="V818" s="21" t="n">
        <f aca="false">Y818-O818*R818/(1-R818)</f>
        <v>184784.474226804</v>
      </c>
      <c r="W818" s="21" t="n">
        <f aca="false">Z818-P818*R818/(1-R818)</f>
        <v>32907.5051546392</v>
      </c>
      <c r="X818" s="21" t="n">
        <f aca="false">S818+V818+W818</f>
        <v>309664</v>
      </c>
      <c r="Y818" s="19" t="n">
        <v>274089</v>
      </c>
      <c r="Z818" s="19" t="n">
        <v>35575</v>
      </c>
      <c r="AA818" s="19" t="n">
        <v>2973762</v>
      </c>
      <c r="AB818" s="29" t="n">
        <v>45.262</v>
      </c>
      <c r="AC818" s="29" t="n">
        <v>44.31525</v>
      </c>
      <c r="AD818" s="24" t="n">
        <f aca="false">IFERROR(AA818/AC818,0)</f>
        <v>67104.7100038926</v>
      </c>
      <c r="AE818" s="25" t="n">
        <f aca="false">K818-Q818-X818</f>
        <v>0</v>
      </c>
      <c r="AF818" s="25" t="n">
        <f aca="false">Q818-AA818</f>
        <v>0</v>
      </c>
      <c r="AG818" s="19" t="n">
        <v>2748937.66003704</v>
      </c>
      <c r="AH818" s="26" t="n">
        <f aca="false">IFERROR(AG818/Q818,0)</f>
        <v>0.924397332414982</v>
      </c>
      <c r="AI818" s="27" t="n">
        <v>392983606.557377</v>
      </c>
      <c r="AJ818" s="26" t="n">
        <f aca="false">IF(AI818&gt;0,AprCoef/SQRT(AI818),0)</f>
        <v>0.0239106358117556</v>
      </c>
      <c r="AK818" s="24" t="n">
        <f aca="false">AI818*AJ818/365</f>
        <v>25743.8024558457</v>
      </c>
      <c r="AL818" s="24" t="n">
        <f aca="false">AD818</f>
        <v>67104.7100038926</v>
      </c>
      <c r="AM818" s="24" t="n">
        <f aca="false">AK818-AL818</f>
        <v>-41360.9075480468</v>
      </c>
      <c r="AN818" s="28" t="str">
        <f aca="false">IF(A818&gt;=Hip3LaunchDate,"YES","")</f>
        <v/>
      </c>
      <c r="AO818" s="28" t="str">
        <f aca="false">IF(A818&lt;Hip4LaunchDate,"pre-launch","live (zero-fee)")</f>
        <v>pre-launch</v>
      </c>
      <c r="AP818" s="20"/>
      <c r="AQ818" s="20"/>
      <c r="AR818" s="20"/>
    </row>
    <row r="819" customFormat="false" ht="15" hidden="false" customHeight="false" outlineLevel="0" collapsed="false">
      <c r="A819" s="18" t="n">
        <v>45880</v>
      </c>
      <c r="B819" s="19" t="n">
        <v>16607625784.39</v>
      </c>
      <c r="C819" s="19" t="n">
        <v>0</v>
      </c>
      <c r="D819" s="19" t="n">
        <v>424455183</v>
      </c>
      <c r="E819" s="21" t="n">
        <f aca="false">B819+C819</f>
        <v>16607625784.39</v>
      </c>
      <c r="F819" s="21" t="n">
        <f aca="false">E819+D819</f>
        <v>17032080967.39</v>
      </c>
      <c r="G819" s="22" t="n">
        <f aca="false">IFERROR(C819/E819,0)</f>
        <v>0</v>
      </c>
      <c r="H819" s="19" t="n">
        <v>5447443</v>
      </c>
      <c r="I819" s="19" t="n">
        <v>199959</v>
      </c>
      <c r="J819" s="19" t="n">
        <v>160384</v>
      </c>
      <c r="K819" s="21" t="n">
        <f aca="false">H819+I819</f>
        <v>5647402</v>
      </c>
      <c r="L819" s="20"/>
      <c r="M819" s="21" t="n">
        <f aca="false">H819-L819</f>
        <v>5447443</v>
      </c>
      <c r="N819" s="23" t="n">
        <f aca="false">IFERROR(M819/B819*10000,0)</f>
        <v>3.28008534797323</v>
      </c>
      <c r="O819" s="19" t="n">
        <v>5038982</v>
      </c>
      <c r="P819" s="19" t="n">
        <v>146784</v>
      </c>
      <c r="Q819" s="21" t="n">
        <f aca="false">O819+P819</f>
        <v>5185766</v>
      </c>
      <c r="R819" s="22" t="n">
        <f aca="false">IF(A819&lt;HlpChangeDate,HlpSharePre,HlpSharePost)</f>
        <v>0.03</v>
      </c>
      <c r="S819" s="21" t="n">
        <f aca="false">Q819*R819/(1-R819)</f>
        <v>160384.515463918</v>
      </c>
      <c r="T819" s="19" t="n">
        <v>160384</v>
      </c>
      <c r="U819" s="21" t="n">
        <f aca="false">S819-T819</f>
        <v>0.515463917516172</v>
      </c>
      <c r="V819" s="21" t="n">
        <f aca="false">Y819-O819*R819/(1-R819)</f>
        <v>252616.195876289</v>
      </c>
      <c r="W819" s="21" t="n">
        <f aca="false">Z819-P819*R819/(1-R819)</f>
        <v>48635.2886597938</v>
      </c>
      <c r="X819" s="21" t="n">
        <f aca="false">S819+V819+W819</f>
        <v>461636</v>
      </c>
      <c r="Y819" s="19" t="n">
        <v>408461</v>
      </c>
      <c r="Z819" s="19" t="n">
        <v>53175</v>
      </c>
      <c r="AA819" s="19" t="n">
        <v>5185766</v>
      </c>
      <c r="AB819" s="29" t="n">
        <v>43.197</v>
      </c>
      <c r="AC819" s="29" t="n">
        <v>44.456</v>
      </c>
      <c r="AD819" s="24" t="n">
        <f aca="false">IFERROR(AA819/AC819,0)</f>
        <v>116649.4061544</v>
      </c>
      <c r="AE819" s="25" t="n">
        <f aca="false">K819-Q819-X819</f>
        <v>0</v>
      </c>
      <c r="AF819" s="25" t="n">
        <f aca="false">Q819-AA819</f>
        <v>0</v>
      </c>
      <c r="AG819" s="19" t="n">
        <v>4653401.941203</v>
      </c>
      <c r="AH819" s="26" t="n">
        <f aca="false">IFERROR(AG819/Q819,0)</f>
        <v>0.897341287902886</v>
      </c>
      <c r="AI819" s="27" t="n">
        <v>393120218.579235</v>
      </c>
      <c r="AJ819" s="26" t="n">
        <f aca="false">IF(AI819&gt;0,AprCoef/SQRT(AI819),0)</f>
        <v>0.0239064808942796</v>
      </c>
      <c r="AK819" s="24" t="n">
        <f aca="false">AI819*AJ819/365</f>
        <v>25748.2766975877</v>
      </c>
      <c r="AL819" s="24" t="n">
        <f aca="false">AD819</f>
        <v>116649.4061544</v>
      </c>
      <c r="AM819" s="24" t="n">
        <f aca="false">AK819-AL819</f>
        <v>-90901.1294568121</v>
      </c>
      <c r="AN819" s="28" t="str">
        <f aca="false">IF(A819&gt;=Hip3LaunchDate,"YES","")</f>
        <v/>
      </c>
      <c r="AO819" s="28" t="str">
        <f aca="false">IF(A819&lt;Hip4LaunchDate,"pre-launch","live (zero-fee)")</f>
        <v>pre-launch</v>
      </c>
      <c r="AP819" s="20"/>
      <c r="AQ819" s="20"/>
      <c r="AR819" s="20"/>
    </row>
    <row r="820" customFormat="false" ht="15" hidden="false" customHeight="false" outlineLevel="0" collapsed="false">
      <c r="A820" s="18" t="n">
        <v>45881</v>
      </c>
      <c r="B820" s="19" t="n">
        <v>16065474194.33</v>
      </c>
      <c r="C820" s="19" t="n">
        <v>0</v>
      </c>
      <c r="D820" s="19" t="n">
        <v>460996255</v>
      </c>
      <c r="E820" s="21" t="n">
        <f aca="false">B820+C820</f>
        <v>16065474194.33</v>
      </c>
      <c r="F820" s="21" t="n">
        <f aca="false">E820+D820</f>
        <v>16526470449.33</v>
      </c>
      <c r="G820" s="22" t="n">
        <f aca="false">IFERROR(C820/E820,0)</f>
        <v>0</v>
      </c>
      <c r="H820" s="19" t="n">
        <v>5387523</v>
      </c>
      <c r="I820" s="19" t="n">
        <v>233886</v>
      </c>
      <c r="J820" s="19" t="n">
        <v>158475</v>
      </c>
      <c r="K820" s="21" t="n">
        <f aca="false">H820+I820</f>
        <v>5621409</v>
      </c>
      <c r="L820" s="20"/>
      <c r="M820" s="21" t="n">
        <f aca="false">H820-L820</f>
        <v>5387523</v>
      </c>
      <c r="N820" s="23" t="n">
        <f aca="false">IFERROR(M820/B820*10000,0)</f>
        <v>3.35347897910254</v>
      </c>
      <c r="O820" s="19" t="n">
        <v>4957134</v>
      </c>
      <c r="P820" s="19" t="n">
        <v>166903</v>
      </c>
      <c r="Q820" s="21" t="n">
        <f aca="false">O820+P820</f>
        <v>5124037</v>
      </c>
      <c r="R820" s="22" t="n">
        <f aca="false">IF(A820&lt;HlpChangeDate,HlpSharePre,HlpSharePost)</f>
        <v>0.03</v>
      </c>
      <c r="S820" s="21" t="n">
        <f aca="false">Q820*R820/(1-R820)</f>
        <v>158475.371134021</v>
      </c>
      <c r="T820" s="19" t="n">
        <v>158475</v>
      </c>
      <c r="U820" s="21" t="n">
        <f aca="false">S820-T820</f>
        <v>0.371134020620957</v>
      </c>
      <c r="V820" s="21" t="n">
        <f aca="false">Y820-O820*R820/(1-R820)</f>
        <v>277074.577319588</v>
      </c>
      <c r="W820" s="21" t="n">
        <f aca="false">Z820-P820*R820/(1-R820)</f>
        <v>61821.0515463918</v>
      </c>
      <c r="X820" s="21" t="n">
        <f aca="false">S820+V820+W820</f>
        <v>497371</v>
      </c>
      <c r="Y820" s="19" t="n">
        <v>430388</v>
      </c>
      <c r="Z820" s="19" t="n">
        <v>66983</v>
      </c>
      <c r="AA820" s="19" t="n">
        <v>5124037</v>
      </c>
      <c r="AB820" s="29" t="n">
        <v>44.75</v>
      </c>
      <c r="AC820" s="29" t="n">
        <v>44.0045</v>
      </c>
      <c r="AD820" s="24" t="n">
        <f aca="false">IFERROR(AA820/AC820,0)</f>
        <v>116443.477371632</v>
      </c>
      <c r="AE820" s="25" t="n">
        <f aca="false">K820-Q820-X820</f>
        <v>1</v>
      </c>
      <c r="AF820" s="25" t="n">
        <f aca="false">Q820-AA820</f>
        <v>0</v>
      </c>
      <c r="AG820" s="19" t="n">
        <v>4605139.75454998</v>
      </c>
      <c r="AH820" s="26" t="n">
        <f aca="false">IFERROR(AG820/Q820,0)</f>
        <v>0.898732728618076</v>
      </c>
      <c r="AI820" s="27" t="n">
        <v>393256830.601093</v>
      </c>
      <c r="AJ820" s="26" t="n">
        <f aca="false">IF(AI820&gt;0,AprCoef/SQRT(AI820),0)</f>
        <v>0.0239023281420337</v>
      </c>
      <c r="AK820" s="24" t="n">
        <f aca="false">AI820*AJ820/365</f>
        <v>25752.7501619821</v>
      </c>
      <c r="AL820" s="24" t="n">
        <f aca="false">AD820</f>
        <v>116443.477371632</v>
      </c>
      <c r="AM820" s="24" t="n">
        <f aca="false">AK820-AL820</f>
        <v>-90690.7272096503</v>
      </c>
      <c r="AN820" s="28" t="str">
        <f aca="false">IF(A820&gt;=Hip3LaunchDate,"YES","")</f>
        <v/>
      </c>
      <c r="AO820" s="28" t="str">
        <f aca="false">IF(A820&lt;Hip4LaunchDate,"pre-launch","live (zero-fee)")</f>
        <v>pre-launch</v>
      </c>
      <c r="AP820" s="20"/>
      <c r="AQ820" s="20"/>
      <c r="AR820" s="20"/>
    </row>
    <row r="821" customFormat="false" ht="15" hidden="false" customHeight="false" outlineLevel="0" collapsed="false">
      <c r="A821" s="18" t="n">
        <v>45882</v>
      </c>
      <c r="B821" s="19" t="n">
        <v>19919714584.67</v>
      </c>
      <c r="C821" s="19" t="n">
        <v>0</v>
      </c>
      <c r="D821" s="19" t="n">
        <v>682784480</v>
      </c>
      <c r="E821" s="21" t="n">
        <f aca="false">B821+C821</f>
        <v>19919714584.67</v>
      </c>
      <c r="F821" s="21" t="n">
        <f aca="false">E821+D821</f>
        <v>20602499064.67</v>
      </c>
      <c r="G821" s="22" t="n">
        <f aca="false">IFERROR(C821/E821,0)</f>
        <v>0</v>
      </c>
      <c r="H821" s="19" t="n">
        <v>6609729</v>
      </c>
      <c r="I821" s="19" t="n">
        <v>335687</v>
      </c>
      <c r="J821" s="19" t="n">
        <v>194393</v>
      </c>
      <c r="K821" s="21" t="n">
        <f aca="false">H821+I821</f>
        <v>6945416</v>
      </c>
      <c r="L821" s="20"/>
      <c r="M821" s="21" t="n">
        <f aca="false">H821-L821</f>
        <v>6609729</v>
      </c>
      <c r="N821" s="23" t="n">
        <f aca="false">IFERROR(M821/B821*10000,0)</f>
        <v>3.31818459140312</v>
      </c>
      <c r="O821" s="19" t="n">
        <v>6042093</v>
      </c>
      <c r="P821" s="19" t="n">
        <v>243291</v>
      </c>
      <c r="Q821" s="21" t="n">
        <f aca="false">O821+P821</f>
        <v>6285384</v>
      </c>
      <c r="R821" s="22" t="n">
        <f aca="false">IF(A821&lt;HlpChangeDate,HlpSharePre,HlpSharePost)</f>
        <v>0.03</v>
      </c>
      <c r="S821" s="21" t="n">
        <f aca="false">Q821*R821/(1-R821)</f>
        <v>194393.319587629</v>
      </c>
      <c r="T821" s="19" t="n">
        <v>194393</v>
      </c>
      <c r="U821" s="21" t="n">
        <f aca="false">S821-T821</f>
        <v>0.319587628851878</v>
      </c>
      <c r="V821" s="21" t="n">
        <f aca="false">Y821-O821*R821/(1-R821)</f>
        <v>380767.144329897</v>
      </c>
      <c r="W821" s="21" t="n">
        <f aca="false">Z821-P821*R821/(1-R821)</f>
        <v>84870.5360824742</v>
      </c>
      <c r="X821" s="21" t="n">
        <f aca="false">S821+V821+W821</f>
        <v>660031</v>
      </c>
      <c r="Y821" s="19" t="n">
        <v>567636</v>
      </c>
      <c r="Z821" s="19" t="n">
        <v>92395</v>
      </c>
      <c r="AA821" s="19" t="n">
        <v>6285384</v>
      </c>
      <c r="AB821" s="29" t="n">
        <v>47.645</v>
      </c>
      <c r="AC821" s="29" t="n">
        <v>45.86075</v>
      </c>
      <c r="AD821" s="24" t="n">
        <f aca="false">IFERROR(AA821/AC821,0)</f>
        <v>137053.66789684</v>
      </c>
      <c r="AE821" s="25" t="n">
        <f aca="false">K821-Q821-X821</f>
        <v>1</v>
      </c>
      <c r="AF821" s="25" t="n">
        <f aca="false">Q821-AA821</f>
        <v>0</v>
      </c>
      <c r="AG821" s="19" t="n">
        <v>5555383.66729999</v>
      </c>
      <c r="AH821" s="26" t="n">
        <f aca="false">IFERROR(AG821/Q821,0)</f>
        <v>0.883857480672619</v>
      </c>
      <c r="AI821" s="27" t="n">
        <v>393393442.622951</v>
      </c>
      <c r="AJ821" s="26" t="n">
        <f aca="false">IF(AI821&gt;0,AprCoef/SQRT(AI821),0)</f>
        <v>0.0238981775531377</v>
      </c>
      <c r="AK821" s="24" t="n">
        <f aca="false">AI821*AJ821/365</f>
        <v>25757.2228494339</v>
      </c>
      <c r="AL821" s="24" t="n">
        <f aca="false">AD821</f>
        <v>137053.66789684</v>
      </c>
      <c r="AM821" s="24" t="n">
        <f aca="false">AK821-AL821</f>
        <v>-111296.445047406</v>
      </c>
      <c r="AN821" s="28" t="str">
        <f aca="false">IF(A821&gt;=Hip3LaunchDate,"YES","")</f>
        <v/>
      </c>
      <c r="AO821" s="28" t="str">
        <f aca="false">IF(A821&lt;Hip4LaunchDate,"pre-launch","live (zero-fee)")</f>
        <v>pre-launch</v>
      </c>
      <c r="AP821" s="20"/>
      <c r="AQ821" s="20"/>
      <c r="AR821" s="20"/>
    </row>
    <row r="822" customFormat="false" ht="15" hidden="false" customHeight="false" outlineLevel="0" collapsed="false">
      <c r="A822" s="18" t="n">
        <v>45883</v>
      </c>
      <c r="B822" s="19" t="n">
        <v>27376439345.65</v>
      </c>
      <c r="C822" s="19" t="n">
        <v>0</v>
      </c>
      <c r="D822" s="19" t="n">
        <v>709107017</v>
      </c>
      <c r="E822" s="21" t="n">
        <f aca="false">B822+C822</f>
        <v>27376439345.65</v>
      </c>
      <c r="F822" s="21" t="n">
        <f aca="false">E822+D822</f>
        <v>28085546362.65</v>
      </c>
      <c r="G822" s="22" t="n">
        <f aca="false">IFERROR(C822/E822,0)</f>
        <v>0</v>
      </c>
      <c r="H822" s="19" t="n">
        <v>8956335</v>
      </c>
      <c r="I822" s="19" t="n">
        <v>352410</v>
      </c>
      <c r="J822" s="19" t="n">
        <v>263301</v>
      </c>
      <c r="K822" s="21" t="n">
        <f aca="false">H822+I822</f>
        <v>9308745</v>
      </c>
      <c r="L822" s="20"/>
      <c r="M822" s="21" t="n">
        <f aca="false">H822-L822</f>
        <v>8956335</v>
      </c>
      <c r="N822" s="23" t="n">
        <f aca="false">IFERROR(M822/B822*10000,0)</f>
        <v>3.27154853372965</v>
      </c>
      <c r="O822" s="19" t="n">
        <v>8254523</v>
      </c>
      <c r="P822" s="19" t="n">
        <v>258882</v>
      </c>
      <c r="Q822" s="21" t="n">
        <f aca="false">O822+P822</f>
        <v>8513405</v>
      </c>
      <c r="R822" s="22" t="n">
        <f aca="false">IF(A822&lt;HlpChangeDate,HlpSharePre,HlpSharePost)</f>
        <v>0.03</v>
      </c>
      <c r="S822" s="21" t="n">
        <f aca="false">Q822*R822/(1-R822)</f>
        <v>263301.18556701</v>
      </c>
      <c r="T822" s="19" t="n">
        <v>263301</v>
      </c>
      <c r="U822" s="21" t="n">
        <f aca="false">S822-T822</f>
        <v>0.185567010310479</v>
      </c>
      <c r="V822" s="21" t="n">
        <f aca="false">Y822-O822*R822/(1-R822)</f>
        <v>446517.474226804</v>
      </c>
      <c r="W822" s="21" t="n">
        <f aca="false">Z822-P822*R822/(1-R822)</f>
        <v>85521.3402061856</v>
      </c>
      <c r="X822" s="21" t="n">
        <f aca="false">S822+V822+W822</f>
        <v>795340</v>
      </c>
      <c r="Y822" s="19" t="n">
        <v>701812</v>
      </c>
      <c r="Z822" s="19" t="n">
        <v>93528</v>
      </c>
      <c r="AA822" s="19" t="n">
        <v>8513405</v>
      </c>
      <c r="AB822" s="29" t="n">
        <v>45.544</v>
      </c>
      <c r="AC822" s="29" t="n">
        <v>46.528</v>
      </c>
      <c r="AD822" s="24" t="n">
        <f aca="false">IFERROR(AA822/AC822,0)</f>
        <v>182973.800722146</v>
      </c>
      <c r="AE822" s="25" t="n">
        <f aca="false">K822-Q822-X822</f>
        <v>0</v>
      </c>
      <c r="AF822" s="25" t="n">
        <f aca="false">Q822-AA822</f>
        <v>0</v>
      </c>
      <c r="AG822" s="19" t="n">
        <v>7484012.58762193</v>
      </c>
      <c r="AH822" s="26" t="n">
        <f aca="false">IFERROR(AG822/Q822,0)</f>
        <v>0.879085699273314</v>
      </c>
      <c r="AI822" s="27" t="n">
        <v>393530054.644809</v>
      </c>
      <c r="AJ822" s="26" t="n">
        <f aca="false">IF(AI822&gt;0,AprCoef/SQRT(AI822),0)</f>
        <v>0.0238940291257141</v>
      </c>
      <c r="AK822" s="24" t="n">
        <f aca="false">AI822*AJ822/365</f>
        <v>25761.6947603478</v>
      </c>
      <c r="AL822" s="24" t="n">
        <f aca="false">AD822</f>
        <v>182973.800722146</v>
      </c>
      <c r="AM822" s="24" t="n">
        <f aca="false">AK822-AL822</f>
        <v>-157212.105961798</v>
      </c>
      <c r="AN822" s="28" t="str">
        <f aca="false">IF(A822&gt;=Hip3LaunchDate,"YES","")</f>
        <v/>
      </c>
      <c r="AO822" s="28" t="str">
        <f aca="false">IF(A822&lt;Hip4LaunchDate,"pre-launch","live (zero-fee)")</f>
        <v>pre-launch</v>
      </c>
      <c r="AP822" s="20"/>
      <c r="AQ822" s="20"/>
      <c r="AR822" s="20"/>
    </row>
    <row r="823" customFormat="false" ht="15" hidden="false" customHeight="false" outlineLevel="0" collapsed="false">
      <c r="A823" s="18" t="n">
        <v>45884</v>
      </c>
      <c r="B823" s="19" t="n">
        <v>13585090718.69</v>
      </c>
      <c r="C823" s="19" t="n">
        <v>0</v>
      </c>
      <c r="D823" s="19" t="n">
        <v>544810036</v>
      </c>
      <c r="E823" s="21" t="n">
        <f aca="false">B823+C823</f>
        <v>13585090718.69</v>
      </c>
      <c r="F823" s="21" t="n">
        <f aca="false">E823+D823</f>
        <v>14129900754.69</v>
      </c>
      <c r="G823" s="22" t="n">
        <f aca="false">IFERROR(C823/E823,0)</f>
        <v>0</v>
      </c>
      <c r="H823" s="19" t="n">
        <v>4660027</v>
      </c>
      <c r="I823" s="19" t="n">
        <v>277797</v>
      </c>
      <c r="J823" s="19" t="n">
        <v>137467</v>
      </c>
      <c r="K823" s="21" t="n">
        <f aca="false">H823+I823</f>
        <v>4937824</v>
      </c>
      <c r="L823" s="20"/>
      <c r="M823" s="21" t="n">
        <f aca="false">H823-L823</f>
        <v>4660027</v>
      </c>
      <c r="N823" s="23" t="n">
        <f aca="false">IFERROR(M823/B823*10000,0)</f>
        <v>3.43025092470591</v>
      </c>
      <c r="O823" s="19" t="n">
        <v>4231064</v>
      </c>
      <c r="P823" s="19" t="n">
        <v>213695</v>
      </c>
      <c r="Q823" s="21" t="n">
        <f aca="false">O823+P823</f>
        <v>4444759</v>
      </c>
      <c r="R823" s="22" t="n">
        <f aca="false">IF(A823&lt;HlpChangeDate,HlpSharePre,HlpSharePost)</f>
        <v>0.03</v>
      </c>
      <c r="S823" s="21" t="n">
        <f aca="false">Q823*R823/(1-R823)</f>
        <v>137466.773195876</v>
      </c>
      <c r="T823" s="19" t="n">
        <v>137467</v>
      </c>
      <c r="U823" s="21" t="n">
        <f aca="false">S823-T823</f>
        <v>-0.226804123725742</v>
      </c>
      <c r="V823" s="21" t="n">
        <f aca="false">Y823-O823*R823/(1-R823)</f>
        <v>298105.350515464</v>
      </c>
      <c r="W823" s="21" t="n">
        <f aca="false">Z823-P823*R823/(1-R823)</f>
        <v>57492.8762886598</v>
      </c>
      <c r="X823" s="21" t="n">
        <f aca="false">S823+V823+W823</f>
        <v>493065</v>
      </c>
      <c r="Y823" s="19" t="n">
        <v>428963</v>
      </c>
      <c r="Z823" s="19" t="n">
        <v>64102</v>
      </c>
      <c r="AA823" s="19" t="n">
        <v>4444759</v>
      </c>
      <c r="AB823" s="29" t="n">
        <v>47.794</v>
      </c>
      <c r="AC823" s="29" t="n">
        <v>47.05175</v>
      </c>
      <c r="AD823" s="24" t="n">
        <f aca="false">IFERROR(AA823/AC823,0)</f>
        <v>94465.3280696255</v>
      </c>
      <c r="AE823" s="25" t="n">
        <f aca="false">K823-Q823-X823</f>
        <v>0</v>
      </c>
      <c r="AF823" s="25" t="n">
        <f aca="false">Q823-AA823</f>
        <v>0</v>
      </c>
      <c r="AG823" s="19" t="n">
        <v>3807397.99979603</v>
      </c>
      <c r="AH823" s="26" t="n">
        <f aca="false">IFERROR(AG823/Q823,0)</f>
        <v>0.8566039238114</v>
      </c>
      <c r="AI823" s="27" t="n">
        <v>393666666.666667</v>
      </c>
      <c r="AJ823" s="26" t="n">
        <f aca="false">IF(AI823&gt;0,AprCoef/SQRT(AI823),0)</f>
        <v>0.0238898828578876</v>
      </c>
      <c r="AK823" s="24" t="n">
        <f aca="false">AI823*AJ823/365</f>
        <v>25766.1658951281</v>
      </c>
      <c r="AL823" s="24" t="n">
        <f aca="false">AD823</f>
        <v>94465.3280696255</v>
      </c>
      <c r="AM823" s="24" t="n">
        <f aca="false">AK823-AL823</f>
        <v>-68699.1621744974</v>
      </c>
      <c r="AN823" s="28" t="str">
        <f aca="false">IF(A823&gt;=Hip3LaunchDate,"YES","")</f>
        <v/>
      </c>
      <c r="AO823" s="28" t="str">
        <f aca="false">IF(A823&lt;Hip4LaunchDate,"pre-launch","live (zero-fee)")</f>
        <v>pre-launch</v>
      </c>
      <c r="AP823" s="20"/>
      <c r="AQ823" s="20"/>
      <c r="AR823" s="20"/>
    </row>
    <row r="824" customFormat="false" ht="15" hidden="false" customHeight="false" outlineLevel="0" collapsed="false">
      <c r="A824" s="18" t="n">
        <v>45885</v>
      </c>
      <c r="B824" s="19" t="n">
        <v>4928430305.3</v>
      </c>
      <c r="C824" s="19" t="n">
        <v>0</v>
      </c>
      <c r="D824" s="19" t="n">
        <v>193367292</v>
      </c>
      <c r="E824" s="21" t="n">
        <f aca="false">B824+C824</f>
        <v>4928430305.3</v>
      </c>
      <c r="F824" s="21" t="n">
        <f aca="false">E824+D824</f>
        <v>5121797597.3</v>
      </c>
      <c r="G824" s="22" t="n">
        <f aca="false">IFERROR(C824/E824,0)</f>
        <v>0</v>
      </c>
      <c r="H824" s="19" t="n">
        <v>1720255</v>
      </c>
      <c r="I824" s="19" t="n">
        <v>119204</v>
      </c>
      <c r="J824" s="19" t="n">
        <v>50929</v>
      </c>
      <c r="K824" s="21" t="n">
        <f aca="false">H824+I824</f>
        <v>1839459</v>
      </c>
      <c r="L824" s="20"/>
      <c r="M824" s="21" t="n">
        <f aca="false">H824-L824</f>
        <v>1720255</v>
      </c>
      <c r="N824" s="23" t="n">
        <f aca="false">IFERROR(M824/B824*10000,0)</f>
        <v>3.49047240893323</v>
      </c>
      <c r="O824" s="19" t="n">
        <v>1559072</v>
      </c>
      <c r="P824" s="19" t="n">
        <v>87617</v>
      </c>
      <c r="Q824" s="21" t="n">
        <f aca="false">O824+P824</f>
        <v>1646689</v>
      </c>
      <c r="R824" s="22" t="n">
        <f aca="false">IF(A824&lt;HlpChangeDate,HlpSharePre,HlpSharePost)</f>
        <v>0.03</v>
      </c>
      <c r="S824" s="21" t="n">
        <f aca="false">Q824*R824/(1-R824)</f>
        <v>50928.5257731959</v>
      </c>
      <c r="T824" s="19" t="n">
        <v>50929</v>
      </c>
      <c r="U824" s="21" t="n">
        <f aca="false">S824-T824</f>
        <v>-0.474226804122736</v>
      </c>
      <c r="V824" s="21" t="n">
        <f aca="false">Y824-O824*R824/(1-R824)</f>
        <v>112963.278350515</v>
      </c>
      <c r="W824" s="21" t="n">
        <f aca="false">Z824-P824*R824/(1-R824)</f>
        <v>28877.1958762887</v>
      </c>
      <c r="X824" s="21" t="n">
        <f aca="false">S824+V824+W824</f>
        <v>192769</v>
      </c>
      <c r="Y824" s="19" t="n">
        <v>161182</v>
      </c>
      <c r="Z824" s="19" t="n">
        <v>31587</v>
      </c>
      <c r="AA824" s="19" t="n">
        <v>1646689</v>
      </c>
      <c r="AB824" s="29" t="n">
        <v>46.32</v>
      </c>
      <c r="AC824" s="29" t="n">
        <v>47.13775</v>
      </c>
      <c r="AD824" s="24" t="n">
        <f aca="false">IFERROR(AA824/AC824,0)</f>
        <v>34933.5511347063</v>
      </c>
      <c r="AE824" s="25" t="n">
        <f aca="false">K824-Q824-X824</f>
        <v>1</v>
      </c>
      <c r="AF824" s="25" t="n">
        <f aca="false">Q824-AA824</f>
        <v>0</v>
      </c>
      <c r="AG824" s="19" t="n">
        <v>1402819.97000396</v>
      </c>
      <c r="AH824" s="26" t="n">
        <f aca="false">IFERROR(AG824/Q824,0)</f>
        <v>0.851903407385343</v>
      </c>
      <c r="AI824" s="27" t="n">
        <v>393803278.688525</v>
      </c>
      <c r="AJ824" s="26" t="n">
        <f aca="false">IF(AI824&gt;0,AprCoef/SQRT(AI824),0)</f>
        <v>0.0238857387477849</v>
      </c>
      <c r="AK824" s="24" t="n">
        <f aca="false">AI824*AJ824/365</f>
        <v>25770.6362541787</v>
      </c>
      <c r="AL824" s="24" t="n">
        <f aca="false">AD824</f>
        <v>34933.5511347063</v>
      </c>
      <c r="AM824" s="24" t="n">
        <f aca="false">AK824-AL824</f>
        <v>-9162.91488052755</v>
      </c>
      <c r="AN824" s="28" t="str">
        <f aca="false">IF(A824&gt;=Hip3LaunchDate,"YES","")</f>
        <v/>
      </c>
      <c r="AO824" s="28" t="str">
        <f aca="false">IF(A824&lt;Hip4LaunchDate,"pre-launch","live (zero-fee)")</f>
        <v>pre-launch</v>
      </c>
      <c r="AP824" s="20"/>
      <c r="AQ824" s="20"/>
      <c r="AR824" s="20"/>
    </row>
    <row r="825" customFormat="false" ht="15" hidden="false" customHeight="false" outlineLevel="0" collapsed="false">
      <c r="A825" s="18" t="n">
        <v>45886</v>
      </c>
      <c r="B825" s="19" t="n">
        <v>6272412052.74</v>
      </c>
      <c r="C825" s="19" t="n">
        <v>0</v>
      </c>
      <c r="D825" s="19" t="n">
        <v>254042366</v>
      </c>
      <c r="E825" s="21" t="n">
        <f aca="false">B825+C825</f>
        <v>6272412052.74</v>
      </c>
      <c r="F825" s="21" t="n">
        <f aca="false">E825+D825</f>
        <v>6526454418.74</v>
      </c>
      <c r="G825" s="22" t="n">
        <f aca="false">IFERROR(C825/E825,0)</f>
        <v>0</v>
      </c>
      <c r="H825" s="19" t="n">
        <v>2198830</v>
      </c>
      <c r="I825" s="19" t="n">
        <v>109997</v>
      </c>
      <c r="J825" s="19" t="n">
        <v>64096</v>
      </c>
      <c r="K825" s="21" t="n">
        <f aca="false">H825+I825</f>
        <v>2308827</v>
      </c>
      <c r="L825" s="20"/>
      <c r="M825" s="21" t="n">
        <f aca="false">H825-L825</f>
        <v>2198830</v>
      </c>
      <c r="N825" s="23" t="n">
        <f aca="false">IFERROR(M825/B825*10000,0)</f>
        <v>3.5055573223055</v>
      </c>
      <c r="O825" s="19" t="n">
        <v>1992539</v>
      </c>
      <c r="P825" s="19" t="n">
        <v>79899</v>
      </c>
      <c r="Q825" s="21" t="n">
        <f aca="false">O825+P825</f>
        <v>2072438</v>
      </c>
      <c r="R825" s="22" t="n">
        <f aca="false">IF(A825&lt;HlpChangeDate,HlpSharePre,HlpSharePost)</f>
        <v>0.03</v>
      </c>
      <c r="S825" s="21" t="n">
        <f aca="false">Q825*R825/(1-R825)</f>
        <v>64096.0206185567</v>
      </c>
      <c r="T825" s="19" t="n">
        <v>64096</v>
      </c>
      <c r="U825" s="21" t="n">
        <f aca="false">S825-T825</f>
        <v>0.0206185567003558</v>
      </c>
      <c r="V825" s="21" t="n">
        <f aca="false">Y825-O825*R825/(1-R825)</f>
        <v>144665.082474227</v>
      </c>
      <c r="W825" s="21" t="n">
        <f aca="false">Z825-P825*R825/(1-R825)</f>
        <v>27626.8969072165</v>
      </c>
      <c r="X825" s="21" t="n">
        <f aca="false">S825+V825+W825</f>
        <v>236388</v>
      </c>
      <c r="Y825" s="19" t="n">
        <v>206290</v>
      </c>
      <c r="Z825" s="19" t="n">
        <v>30098</v>
      </c>
      <c r="AA825" s="19" t="n">
        <v>2072438</v>
      </c>
      <c r="AB825" s="29" t="n">
        <v>46.04</v>
      </c>
      <c r="AC825" s="29" t="n">
        <v>46.51375</v>
      </c>
      <c r="AD825" s="24" t="n">
        <f aca="false">IFERROR(AA825/AC825,0)</f>
        <v>44555.3841605977</v>
      </c>
      <c r="AE825" s="25" t="n">
        <f aca="false">K825-Q825-X825</f>
        <v>1</v>
      </c>
      <c r="AF825" s="25" t="n">
        <f aca="false">Q825-AA825</f>
        <v>0</v>
      </c>
      <c r="AG825" s="19" t="n">
        <v>1735872.19355702</v>
      </c>
      <c r="AH825" s="26" t="n">
        <f aca="false">IFERROR(AG825/Q825,0)</f>
        <v>0.83759909515123</v>
      </c>
      <c r="AI825" s="27" t="n">
        <v>393939890.710383</v>
      </c>
      <c r="AJ825" s="26" t="n">
        <f aca="false">IF(AI825&gt;0,AprCoef/SQRT(AI825),0)</f>
        <v>0.0238815967935353</v>
      </c>
      <c r="AK825" s="24" t="n">
        <f aca="false">AI825*AJ825/365</f>
        <v>25775.1058379034</v>
      </c>
      <c r="AL825" s="24" t="n">
        <f aca="false">AD825</f>
        <v>44555.3841605977</v>
      </c>
      <c r="AM825" s="24" t="n">
        <f aca="false">AK825-AL825</f>
        <v>-18780.2783226943</v>
      </c>
      <c r="AN825" s="28" t="str">
        <f aca="false">IF(A825&gt;=Hip3LaunchDate,"YES","")</f>
        <v/>
      </c>
      <c r="AO825" s="28" t="str">
        <f aca="false">IF(A825&lt;Hip4LaunchDate,"pre-launch","live (zero-fee)")</f>
        <v>pre-launch</v>
      </c>
      <c r="AP825" s="20"/>
      <c r="AQ825" s="20"/>
      <c r="AR825" s="20"/>
    </row>
    <row r="826" customFormat="false" ht="15" hidden="false" customHeight="false" outlineLevel="0" collapsed="false">
      <c r="A826" s="18" t="n">
        <v>45887</v>
      </c>
      <c r="B826" s="19" t="n">
        <v>15278357611.7</v>
      </c>
      <c r="C826" s="19" t="n">
        <v>0</v>
      </c>
      <c r="D826" s="19" t="n">
        <v>372316467</v>
      </c>
      <c r="E826" s="21" t="n">
        <f aca="false">B826+C826</f>
        <v>15278357611.7</v>
      </c>
      <c r="F826" s="21" t="n">
        <f aca="false">E826+D826</f>
        <v>15650674078.7</v>
      </c>
      <c r="G826" s="22" t="n">
        <f aca="false">IFERROR(C826/E826,0)</f>
        <v>0</v>
      </c>
      <c r="H826" s="19" t="n">
        <v>5178643</v>
      </c>
      <c r="I826" s="19" t="n">
        <v>152925</v>
      </c>
      <c r="J826" s="19" t="n">
        <v>150658</v>
      </c>
      <c r="K826" s="21" t="n">
        <f aca="false">H826+I826</f>
        <v>5331568</v>
      </c>
      <c r="L826" s="20"/>
      <c r="M826" s="21" t="n">
        <f aca="false">H826-L826</f>
        <v>5178643</v>
      </c>
      <c r="N826" s="23" t="n">
        <f aca="false">IFERROR(M826/B826*10000,0)</f>
        <v>3.38952859437866</v>
      </c>
      <c r="O826" s="19" t="n">
        <v>4754069</v>
      </c>
      <c r="P826" s="19" t="n">
        <v>117217</v>
      </c>
      <c r="Q826" s="21" t="n">
        <f aca="false">O826+P826</f>
        <v>4871286</v>
      </c>
      <c r="R826" s="22" t="n">
        <f aca="false">IF(A826&lt;HlpChangeDate,HlpSharePre,HlpSharePost)</f>
        <v>0.03</v>
      </c>
      <c r="S826" s="21" t="n">
        <f aca="false">Q826*R826/(1-R826)</f>
        <v>150658.329896907</v>
      </c>
      <c r="T826" s="19" t="n">
        <v>150658</v>
      </c>
      <c r="U826" s="21" t="n">
        <f aca="false">S826-T826</f>
        <v>0.329896907205693</v>
      </c>
      <c r="V826" s="21" t="n">
        <f aca="false">Y826-O826*R826/(1-R826)</f>
        <v>277539.93814433</v>
      </c>
      <c r="W826" s="21" t="n">
        <f aca="false">Z826-P826*R826/(1-R826)</f>
        <v>32082.7319587629</v>
      </c>
      <c r="X826" s="21" t="n">
        <f aca="false">S826+V826+W826</f>
        <v>460281</v>
      </c>
      <c r="Y826" s="19" t="n">
        <v>424573</v>
      </c>
      <c r="Z826" s="19" t="n">
        <v>35708</v>
      </c>
      <c r="AA826" s="19" t="n">
        <v>4871286</v>
      </c>
      <c r="AB826" s="29" t="n">
        <v>43.349</v>
      </c>
      <c r="AC826" s="29" t="n">
        <v>44.60625</v>
      </c>
      <c r="AD826" s="24" t="n">
        <f aca="false">IFERROR(AA826/AC826,0)</f>
        <v>109206.355611602</v>
      </c>
      <c r="AE826" s="25" t="n">
        <f aca="false">K826-Q826-X826</f>
        <v>1</v>
      </c>
      <c r="AF826" s="25" t="n">
        <f aca="false">Q826-AA826</f>
        <v>0</v>
      </c>
      <c r="AG826" s="19" t="n">
        <v>4197948.66951108</v>
      </c>
      <c r="AH826" s="26" t="n">
        <f aca="false">IFERROR(AG826/Q826,0)</f>
        <v>0.861774215168454</v>
      </c>
      <c r="AI826" s="27" t="n">
        <v>394076502.73224</v>
      </c>
      <c r="AJ826" s="26" t="n">
        <f aca="false">IF(AI826&gt;0,AprCoef/SQRT(AI826),0)</f>
        <v>0.0238774569932703</v>
      </c>
      <c r="AK826" s="24" t="n">
        <f aca="false">AI826*AJ826/365</f>
        <v>25779.5746467053</v>
      </c>
      <c r="AL826" s="24" t="n">
        <f aca="false">AD826</f>
        <v>109206.355611602</v>
      </c>
      <c r="AM826" s="24" t="n">
        <f aca="false">AK826-AL826</f>
        <v>-83426.7809648962</v>
      </c>
      <c r="AN826" s="28" t="str">
        <f aca="false">IF(A826&gt;=Hip3LaunchDate,"YES","")</f>
        <v/>
      </c>
      <c r="AO826" s="28" t="str">
        <f aca="false">IF(A826&lt;Hip4LaunchDate,"pre-launch","live (zero-fee)")</f>
        <v>pre-launch</v>
      </c>
      <c r="AP826" s="20"/>
      <c r="AQ826" s="20"/>
      <c r="AR826" s="20"/>
    </row>
    <row r="827" customFormat="false" ht="15" hidden="false" customHeight="false" outlineLevel="0" collapsed="false">
      <c r="A827" s="18" t="n">
        <v>45888</v>
      </c>
      <c r="B827" s="19" t="n">
        <v>16655285032.81</v>
      </c>
      <c r="C827" s="19" t="n">
        <v>0</v>
      </c>
      <c r="D827" s="19" t="n">
        <v>414235096</v>
      </c>
      <c r="E827" s="21" t="n">
        <f aca="false">B827+C827</f>
        <v>16655285032.81</v>
      </c>
      <c r="F827" s="21" t="n">
        <f aca="false">E827+D827</f>
        <v>17069520128.81</v>
      </c>
      <c r="G827" s="22" t="n">
        <f aca="false">IFERROR(C827/E827,0)</f>
        <v>0</v>
      </c>
      <c r="H827" s="19" t="n">
        <v>5172471</v>
      </c>
      <c r="I827" s="19" t="n">
        <v>160422</v>
      </c>
      <c r="J827" s="19" t="n">
        <v>151952</v>
      </c>
      <c r="K827" s="21" t="n">
        <f aca="false">H827+I827</f>
        <v>5332893</v>
      </c>
      <c r="L827" s="20"/>
      <c r="M827" s="21" t="n">
        <f aca="false">H827-L827</f>
        <v>5172471</v>
      </c>
      <c r="N827" s="23" t="n">
        <f aca="false">IFERROR(M827/B827*10000,0)</f>
        <v>3.10560341045531</v>
      </c>
      <c r="O827" s="19" t="n">
        <v>4788583</v>
      </c>
      <c r="P827" s="19" t="n">
        <v>124535</v>
      </c>
      <c r="Q827" s="21" t="n">
        <f aca="false">O827+P827</f>
        <v>4913118</v>
      </c>
      <c r="R827" s="22" t="n">
        <f aca="false">IF(A827&lt;HlpChangeDate,HlpSharePre,HlpSharePost)</f>
        <v>0.03</v>
      </c>
      <c r="S827" s="21" t="n">
        <f aca="false">Q827*R827/(1-R827)</f>
        <v>151952.103092784</v>
      </c>
      <c r="T827" s="19" t="n">
        <v>151952</v>
      </c>
      <c r="U827" s="21" t="n">
        <f aca="false">S827-T827</f>
        <v>0.103092783509055</v>
      </c>
      <c r="V827" s="21" t="n">
        <f aca="false">Y827-O827*R827/(1-R827)</f>
        <v>235787.494845361</v>
      </c>
      <c r="W827" s="21" t="n">
        <f aca="false">Z827-P827*R827/(1-R827)</f>
        <v>32034.4020618557</v>
      </c>
      <c r="X827" s="21" t="n">
        <f aca="false">S827+V827+W827</f>
        <v>419774</v>
      </c>
      <c r="Y827" s="19" t="n">
        <v>383888</v>
      </c>
      <c r="Z827" s="19" t="n">
        <v>35886</v>
      </c>
      <c r="AA827" s="19" t="n">
        <v>4913118</v>
      </c>
      <c r="AB827" s="29" t="n">
        <v>41.254</v>
      </c>
      <c r="AC827" s="29" t="n">
        <v>42.414</v>
      </c>
      <c r="AD827" s="24" t="n">
        <f aca="false">IFERROR(AA827/AC827,0)</f>
        <v>115837.176404018</v>
      </c>
      <c r="AE827" s="25" t="n">
        <f aca="false">K827-Q827-X827</f>
        <v>1</v>
      </c>
      <c r="AF827" s="25" t="n">
        <f aca="false">Q827-AA827</f>
        <v>0</v>
      </c>
      <c r="AG827" s="19" t="n">
        <v>4303540.50575995</v>
      </c>
      <c r="AH827" s="26" t="n">
        <f aca="false">IFERROR(AG827/Q827,0)</f>
        <v>0.875928586644969</v>
      </c>
      <c r="AI827" s="27" t="n">
        <v>394213114.754098</v>
      </c>
      <c r="AJ827" s="26" t="n">
        <f aca="false">IF(AI827&gt;0,AprCoef/SQRT(AI827),0)</f>
        <v>0.0238733193451235</v>
      </c>
      <c r="AK827" s="24" t="n">
        <f aca="false">AI827*AJ827/365</f>
        <v>25784.0426809874</v>
      </c>
      <c r="AL827" s="24" t="n">
        <f aca="false">AD827</f>
        <v>115837.176404018</v>
      </c>
      <c r="AM827" s="24" t="n">
        <f aca="false">AK827-AL827</f>
        <v>-90053.1337230301</v>
      </c>
      <c r="AN827" s="28" t="str">
        <f aca="false">IF(A827&gt;=Hip3LaunchDate,"YES","")</f>
        <v/>
      </c>
      <c r="AO827" s="28" t="str">
        <f aca="false">IF(A827&lt;Hip4LaunchDate,"pre-launch","live (zero-fee)")</f>
        <v>pre-launch</v>
      </c>
      <c r="AP827" s="20"/>
      <c r="AQ827" s="20"/>
      <c r="AR827" s="20"/>
    </row>
    <row r="828" customFormat="false" ht="15" hidden="false" customHeight="false" outlineLevel="0" collapsed="false">
      <c r="A828" s="18" t="n">
        <v>45889</v>
      </c>
      <c r="B828" s="19" t="n">
        <v>15135209638.43</v>
      </c>
      <c r="C828" s="19" t="n">
        <v>0</v>
      </c>
      <c r="D828" s="19" t="n">
        <v>539453994</v>
      </c>
      <c r="E828" s="21" t="n">
        <f aca="false">B828+C828</f>
        <v>15135209638.43</v>
      </c>
      <c r="F828" s="21" t="n">
        <f aca="false">E828+D828</f>
        <v>15674663632.43</v>
      </c>
      <c r="G828" s="22" t="n">
        <f aca="false">IFERROR(C828/E828,0)</f>
        <v>0</v>
      </c>
      <c r="H828" s="19" t="n">
        <v>4651266</v>
      </c>
      <c r="I828" s="19" t="n">
        <v>230987</v>
      </c>
      <c r="J828" s="19" t="n">
        <v>138641</v>
      </c>
      <c r="K828" s="21" t="n">
        <f aca="false">H828+I828</f>
        <v>4882253</v>
      </c>
      <c r="L828" s="20"/>
      <c r="M828" s="21" t="n">
        <f aca="false">H828-L828</f>
        <v>4651266</v>
      </c>
      <c r="N828" s="23" t="n">
        <f aca="false">IFERROR(M828/B828*10000,0)</f>
        <v>3.07314276519164</v>
      </c>
      <c r="O828" s="19" t="n">
        <v>4322213</v>
      </c>
      <c r="P828" s="19" t="n">
        <v>160524</v>
      </c>
      <c r="Q828" s="21" t="n">
        <f aca="false">O828+P828</f>
        <v>4482737</v>
      </c>
      <c r="R828" s="22" t="n">
        <f aca="false">IF(A828&lt;HlpChangeDate,HlpSharePre,HlpSharePost)</f>
        <v>0.03</v>
      </c>
      <c r="S828" s="21" t="n">
        <f aca="false">Q828*R828/(1-R828)</f>
        <v>138641.350515464</v>
      </c>
      <c r="T828" s="19" t="n">
        <v>138641</v>
      </c>
      <c r="U828" s="21" t="n">
        <f aca="false">S828-T828</f>
        <v>0.350515463913325</v>
      </c>
      <c r="V828" s="21" t="n">
        <f aca="false">Y828-O828*R828/(1-R828)</f>
        <v>195377.309278351</v>
      </c>
      <c r="W828" s="21" t="n">
        <f aca="false">Z828-P828*R828/(1-R828)</f>
        <v>65498.3402061856</v>
      </c>
      <c r="X828" s="21" t="n">
        <f aca="false">S828+V828+W828</f>
        <v>399517</v>
      </c>
      <c r="Y828" s="19" t="n">
        <v>329054</v>
      </c>
      <c r="Z828" s="19" t="n">
        <v>70463</v>
      </c>
      <c r="AA828" s="19" t="n">
        <v>4482737</v>
      </c>
      <c r="AB828" s="29" t="n">
        <v>42.966</v>
      </c>
      <c r="AC828" s="29" t="n">
        <v>41.99275</v>
      </c>
      <c r="AD828" s="24" t="n">
        <f aca="false">IFERROR(AA828/AC828,0)</f>
        <v>106750.260461627</v>
      </c>
      <c r="AE828" s="25" t="n">
        <f aca="false">K828-Q828-X828</f>
        <v>-1</v>
      </c>
      <c r="AF828" s="25" t="n">
        <f aca="false">Q828-AA828</f>
        <v>0</v>
      </c>
      <c r="AG828" s="19" t="n">
        <v>4034005.18623698</v>
      </c>
      <c r="AH828" s="26" t="n">
        <f aca="false">IFERROR(AG828/Q828,0)</f>
        <v>0.899897804898431</v>
      </c>
      <c r="AI828" s="27" t="n">
        <v>394349726.775956</v>
      </c>
      <c r="AJ828" s="26" t="n">
        <f aca="false">IF(AI828&gt;0,AprCoef/SQRT(AI828),0)</f>
        <v>0.0238691838472309</v>
      </c>
      <c r="AK828" s="24" t="n">
        <f aca="false">AI828*AJ828/365</f>
        <v>25788.5099411523</v>
      </c>
      <c r="AL828" s="24" t="n">
        <f aca="false">AD828</f>
        <v>106750.260461627</v>
      </c>
      <c r="AM828" s="24" t="n">
        <f aca="false">AK828-AL828</f>
        <v>-80961.750520475</v>
      </c>
      <c r="AN828" s="28" t="str">
        <f aca="false">IF(A828&gt;=Hip3LaunchDate,"YES","")</f>
        <v/>
      </c>
      <c r="AO828" s="28" t="str">
        <f aca="false">IF(A828&lt;Hip4LaunchDate,"pre-launch","live (zero-fee)")</f>
        <v>pre-launch</v>
      </c>
      <c r="AP828" s="20"/>
      <c r="AQ828" s="20"/>
      <c r="AR828" s="20"/>
    </row>
    <row r="829" customFormat="false" ht="15" hidden="false" customHeight="false" outlineLevel="0" collapsed="false">
      <c r="A829" s="18" t="n">
        <v>45890</v>
      </c>
      <c r="B829" s="19" t="n">
        <v>11826851575.69</v>
      </c>
      <c r="C829" s="19" t="n">
        <v>0</v>
      </c>
      <c r="D829" s="19" t="n">
        <v>912310204</v>
      </c>
      <c r="E829" s="21" t="n">
        <f aca="false">B829+C829</f>
        <v>11826851575.69</v>
      </c>
      <c r="F829" s="21" t="n">
        <f aca="false">E829+D829</f>
        <v>12739161779.69</v>
      </c>
      <c r="G829" s="22" t="n">
        <f aca="false">IFERROR(C829/E829,0)</f>
        <v>0</v>
      </c>
      <c r="H829" s="19" t="n">
        <v>3629992</v>
      </c>
      <c r="I829" s="19" t="n">
        <v>351557</v>
      </c>
      <c r="J829" s="19" t="n">
        <v>110600</v>
      </c>
      <c r="K829" s="21" t="n">
        <f aca="false">H829+I829</f>
        <v>3981549</v>
      </c>
      <c r="L829" s="20"/>
      <c r="M829" s="21" t="n">
        <f aca="false">H829-L829</f>
        <v>3629992</v>
      </c>
      <c r="N829" s="23" t="n">
        <f aca="false">IFERROR(M829/B829*10000,0)</f>
        <v>3.06928008419537</v>
      </c>
      <c r="O829" s="19" t="n">
        <v>3363742</v>
      </c>
      <c r="P829" s="19" t="n">
        <v>212310</v>
      </c>
      <c r="Q829" s="21" t="n">
        <f aca="false">O829+P829</f>
        <v>3576052</v>
      </c>
      <c r="R829" s="22" t="n">
        <f aca="false">IF(A829&lt;HlpChangeDate,HlpSharePre,HlpSharePost)</f>
        <v>0.03</v>
      </c>
      <c r="S829" s="21" t="n">
        <f aca="false">Q829*R829/(1-R829)</f>
        <v>110599.546391753</v>
      </c>
      <c r="T829" s="19" t="n">
        <v>110600</v>
      </c>
      <c r="U829" s="21" t="n">
        <f aca="false">S829-T829</f>
        <v>-0.45360824742238</v>
      </c>
      <c r="V829" s="21" t="n">
        <f aca="false">Y829-O829*R829/(1-R829)</f>
        <v>162217.742268041</v>
      </c>
      <c r="W829" s="21" t="n">
        <f aca="false">Z829-P829*R829/(1-R829)</f>
        <v>132680.711340206</v>
      </c>
      <c r="X829" s="21" t="n">
        <f aca="false">S829+V829+W829</f>
        <v>405498</v>
      </c>
      <c r="Y829" s="19" t="n">
        <v>266251</v>
      </c>
      <c r="Z829" s="19" t="n">
        <v>139247</v>
      </c>
      <c r="AA829" s="19" t="n">
        <v>3576052</v>
      </c>
      <c r="AB829" s="29" t="n">
        <v>40.417</v>
      </c>
      <c r="AC829" s="29" t="n">
        <v>41.7985</v>
      </c>
      <c r="AD829" s="24" t="n">
        <f aca="false">IFERROR(AA829/AC829,0)</f>
        <v>85554.5533930643</v>
      </c>
      <c r="AE829" s="25" t="n">
        <f aca="false">K829-Q829-X829</f>
        <v>-1</v>
      </c>
      <c r="AF829" s="25" t="n">
        <f aca="false">Q829-AA829</f>
        <v>0</v>
      </c>
      <c r="AG829" s="19" t="n">
        <v>3281304.27560401</v>
      </c>
      <c r="AH829" s="26" t="n">
        <f aca="false">IFERROR(AG829/Q829,0)</f>
        <v>0.917577338250118</v>
      </c>
      <c r="AI829" s="27" t="n">
        <v>394486338.797814</v>
      </c>
      <c r="AJ829" s="26" t="n">
        <f aca="false">IF(AI829&gt;0,AprCoef/SQRT(AI829),0)</f>
        <v>0.0238650504977308</v>
      </c>
      <c r="AK829" s="24" t="n">
        <f aca="false">AI829*AJ829/365</f>
        <v>25792.9764276022</v>
      </c>
      <c r="AL829" s="24" t="n">
        <f aca="false">AD829</f>
        <v>85554.5533930643</v>
      </c>
      <c r="AM829" s="24" t="n">
        <f aca="false">AK829-AL829</f>
        <v>-59761.5769654622</v>
      </c>
      <c r="AN829" s="28" t="str">
        <f aca="false">IF(A829&gt;=Hip3LaunchDate,"YES","")</f>
        <v/>
      </c>
      <c r="AO829" s="28" t="str">
        <f aca="false">IF(A829&lt;Hip4LaunchDate,"pre-launch","live (zero-fee)")</f>
        <v>pre-launch</v>
      </c>
      <c r="AP829" s="20"/>
      <c r="AQ829" s="20"/>
      <c r="AR829" s="20"/>
    </row>
    <row r="830" customFormat="false" ht="15" hidden="false" customHeight="false" outlineLevel="0" collapsed="false">
      <c r="A830" s="18" t="n">
        <v>45891</v>
      </c>
      <c r="B830" s="19" t="n">
        <v>21155470262.76</v>
      </c>
      <c r="C830" s="19" t="n">
        <v>0</v>
      </c>
      <c r="D830" s="19" t="n">
        <v>1419893745</v>
      </c>
      <c r="E830" s="21" t="n">
        <f aca="false">B830+C830</f>
        <v>21155470262.76</v>
      </c>
      <c r="F830" s="21" t="n">
        <f aca="false">E830+D830</f>
        <v>22575364007.76</v>
      </c>
      <c r="G830" s="22" t="n">
        <f aca="false">IFERROR(C830/E830,0)</f>
        <v>0</v>
      </c>
      <c r="H830" s="19" t="n">
        <v>6977513</v>
      </c>
      <c r="I830" s="19" t="n">
        <v>801006</v>
      </c>
      <c r="J830" s="19" t="n">
        <v>213908</v>
      </c>
      <c r="K830" s="21" t="n">
        <f aca="false">H830+I830</f>
        <v>7778519</v>
      </c>
      <c r="L830" s="20"/>
      <c r="M830" s="21" t="n">
        <f aca="false">H830-L830</f>
        <v>6977513</v>
      </c>
      <c r="N830" s="23" t="n">
        <f aca="false">IFERROR(M830/B830*10000,0)</f>
        <v>3.29820746754211</v>
      </c>
      <c r="O830" s="19" t="n">
        <v>6489171</v>
      </c>
      <c r="P830" s="19" t="n">
        <v>427174</v>
      </c>
      <c r="Q830" s="21" t="n">
        <f aca="false">O830+P830</f>
        <v>6916345</v>
      </c>
      <c r="R830" s="22" t="n">
        <f aca="false">IF(A830&lt;HlpChangeDate,HlpSharePre,HlpSharePost)</f>
        <v>0.03</v>
      </c>
      <c r="S830" s="21" t="n">
        <f aca="false">Q830*R830/(1-R830)</f>
        <v>213907.577319588</v>
      </c>
      <c r="T830" s="19" t="n">
        <v>213908</v>
      </c>
      <c r="U830" s="21" t="n">
        <f aca="false">S830-T830</f>
        <v>-0.422680412360933</v>
      </c>
      <c r="V830" s="21" t="n">
        <f aca="false">Y830-O830*R830/(1-R830)</f>
        <v>287645.989690722</v>
      </c>
      <c r="W830" s="21" t="n">
        <f aca="false">Z830-P830*R830/(1-R830)</f>
        <v>360620.432989691</v>
      </c>
      <c r="X830" s="21" t="n">
        <f aca="false">S830+V830+W830</f>
        <v>862174</v>
      </c>
      <c r="Y830" s="19" t="n">
        <v>488342</v>
      </c>
      <c r="Z830" s="19" t="n">
        <v>373832</v>
      </c>
      <c r="AA830" s="19" t="n">
        <v>6916345</v>
      </c>
      <c r="AB830" s="29" t="n">
        <v>45.302</v>
      </c>
      <c r="AC830" s="29" t="n">
        <v>42.9095</v>
      </c>
      <c r="AD830" s="24" t="n">
        <f aca="false">IFERROR(AA830/AC830,0)</f>
        <v>161184.46963959</v>
      </c>
      <c r="AE830" s="25" t="n">
        <f aca="false">K830-Q830-X830</f>
        <v>0</v>
      </c>
      <c r="AF830" s="25" t="n">
        <f aca="false">Q830-AA830</f>
        <v>0</v>
      </c>
      <c r="AG830" s="19" t="n">
        <v>5946262.73016405</v>
      </c>
      <c r="AH830" s="26" t="n">
        <f aca="false">IFERROR(AG830/Q830,0)</f>
        <v>0.859740618804304</v>
      </c>
      <c r="AI830" s="27" t="n">
        <v>394622950.819672</v>
      </c>
      <c r="AJ830" s="26" t="n">
        <f aca="false">IF(AI830&gt;0,AprCoef/SQRT(AI830),0)</f>
        <v>0.0238609192947637</v>
      </c>
      <c r="AK830" s="24" t="n">
        <f aca="false">AI830*AJ830/365</f>
        <v>25797.4421407389</v>
      </c>
      <c r="AL830" s="24" t="n">
        <f aca="false">AD830</f>
        <v>161184.46963959</v>
      </c>
      <c r="AM830" s="24" t="n">
        <f aca="false">AK830-AL830</f>
        <v>-135387.027498851</v>
      </c>
      <c r="AN830" s="28" t="str">
        <f aca="false">IF(A830&gt;=Hip3LaunchDate,"YES","")</f>
        <v/>
      </c>
      <c r="AO830" s="28" t="str">
        <f aca="false">IF(A830&lt;Hip4LaunchDate,"pre-launch","live (zero-fee)")</f>
        <v>pre-launch</v>
      </c>
      <c r="AP830" s="20"/>
      <c r="AQ830" s="20"/>
      <c r="AR830" s="20"/>
    </row>
    <row r="831" customFormat="false" ht="15" hidden="false" customHeight="false" outlineLevel="0" collapsed="false">
      <c r="A831" s="18" t="n">
        <v>45892</v>
      </c>
      <c r="B831" s="19" t="n">
        <v>8356300448.04</v>
      </c>
      <c r="C831" s="19" t="n">
        <v>0</v>
      </c>
      <c r="D831" s="19" t="n">
        <v>1559153323</v>
      </c>
      <c r="E831" s="21" t="n">
        <f aca="false">B831+C831</f>
        <v>8356300448.04</v>
      </c>
      <c r="F831" s="21" t="n">
        <f aca="false">E831+D831</f>
        <v>9915453771.04</v>
      </c>
      <c r="G831" s="22" t="n">
        <f aca="false">IFERROR(C831/E831,0)</f>
        <v>0</v>
      </c>
      <c r="H831" s="19" t="n">
        <v>2822931</v>
      </c>
      <c r="I831" s="19" t="n">
        <v>585670</v>
      </c>
      <c r="J831" s="19" t="n">
        <v>89388</v>
      </c>
      <c r="K831" s="21" t="n">
        <f aca="false">H831+I831</f>
        <v>3408601</v>
      </c>
      <c r="L831" s="20"/>
      <c r="M831" s="21" t="n">
        <f aca="false">H831-L831</f>
        <v>2822931</v>
      </c>
      <c r="N831" s="23" t="n">
        <f aca="false">IFERROR(M831/B831*10000,0)</f>
        <v>3.37820668075922</v>
      </c>
      <c r="O831" s="19" t="n">
        <v>2587769</v>
      </c>
      <c r="P831" s="19" t="n">
        <v>302447</v>
      </c>
      <c r="Q831" s="21" t="n">
        <f aca="false">O831+P831</f>
        <v>2890216</v>
      </c>
      <c r="R831" s="22" t="n">
        <f aca="false">IF(A831&lt;HlpChangeDate,HlpSharePre,HlpSharePost)</f>
        <v>0.03</v>
      </c>
      <c r="S831" s="21" t="n">
        <f aca="false">Q831*R831/(1-R831)</f>
        <v>89388.1237113402</v>
      </c>
      <c r="T831" s="19" t="n">
        <v>89388</v>
      </c>
      <c r="U831" s="21" t="n">
        <f aca="false">S831-T831</f>
        <v>0.123711340202135</v>
      </c>
      <c r="V831" s="21" t="n">
        <f aca="false">Y831-O831*R831/(1-R831)</f>
        <v>155127.907216495</v>
      </c>
      <c r="W831" s="21" t="n">
        <f aca="false">Z831-P831*R831/(1-R831)</f>
        <v>273868.969072165</v>
      </c>
      <c r="X831" s="21" t="n">
        <f aca="false">S831+V831+W831</f>
        <v>518385</v>
      </c>
      <c r="Y831" s="19" t="n">
        <v>235162</v>
      </c>
      <c r="Z831" s="19" t="n">
        <v>283223</v>
      </c>
      <c r="AA831" s="19" t="n">
        <v>2890216</v>
      </c>
      <c r="AB831" s="29" t="n">
        <v>44.867</v>
      </c>
      <c r="AC831" s="29" t="n">
        <v>44.69375</v>
      </c>
      <c r="AD831" s="24" t="n">
        <f aca="false">IFERROR(AA831/AC831,0)</f>
        <v>64667.1178856104</v>
      </c>
      <c r="AE831" s="25" t="n">
        <f aca="false">K831-Q831-X831</f>
        <v>0</v>
      </c>
      <c r="AF831" s="25" t="n">
        <f aca="false">Q831-AA831</f>
        <v>0</v>
      </c>
      <c r="AG831" s="19" t="n">
        <v>2579247.79761398</v>
      </c>
      <c r="AH831" s="26" t="n">
        <f aca="false">IFERROR(AG831/Q831,0)</f>
        <v>0.892406587470963</v>
      </c>
      <c r="AI831" s="27" t="n">
        <v>394759562.84153</v>
      </c>
      <c r="AJ831" s="26" t="n">
        <f aca="false">IF(AI831&gt;0,AprCoef/SQRT(AI831),0)</f>
        <v>0.0238567902364723</v>
      </c>
      <c r="AK831" s="24" t="n">
        <f aca="false">AI831*AJ831/365</f>
        <v>25801.907080964</v>
      </c>
      <c r="AL831" s="24" t="n">
        <f aca="false">AD831</f>
        <v>64667.1178856104</v>
      </c>
      <c r="AM831" s="24" t="n">
        <f aca="false">AK831-AL831</f>
        <v>-38865.2108046464</v>
      </c>
      <c r="AN831" s="28" t="str">
        <f aca="false">IF(A831&gt;=Hip3LaunchDate,"YES","")</f>
        <v/>
      </c>
      <c r="AO831" s="28" t="str">
        <f aca="false">IF(A831&lt;Hip4LaunchDate,"pre-launch","live (zero-fee)")</f>
        <v>pre-launch</v>
      </c>
      <c r="AP831" s="20"/>
      <c r="AQ831" s="20"/>
      <c r="AR831" s="20"/>
    </row>
    <row r="832" customFormat="false" ht="15" hidden="false" customHeight="false" outlineLevel="0" collapsed="false">
      <c r="A832" s="18" t="n">
        <v>45893</v>
      </c>
      <c r="B832" s="19" t="n">
        <v>17185841113.44</v>
      </c>
      <c r="C832" s="19" t="n">
        <v>0</v>
      </c>
      <c r="D832" s="19" t="n">
        <v>3382127558</v>
      </c>
      <c r="E832" s="21" t="n">
        <f aca="false">B832+C832</f>
        <v>17185841113.44</v>
      </c>
      <c r="F832" s="21" t="n">
        <f aca="false">E832+D832</f>
        <v>20567968671.44</v>
      </c>
      <c r="G832" s="22" t="n">
        <f aca="false">IFERROR(C832/E832,0)</f>
        <v>0</v>
      </c>
      <c r="H832" s="19" t="n">
        <v>5779921</v>
      </c>
      <c r="I832" s="19" t="n">
        <v>1970942</v>
      </c>
      <c r="J832" s="19" t="n">
        <v>195488</v>
      </c>
      <c r="K832" s="21" t="n">
        <f aca="false">H832+I832</f>
        <v>7750863</v>
      </c>
      <c r="L832" s="20"/>
      <c r="M832" s="21" t="n">
        <f aca="false">H832-L832</f>
        <v>5779921</v>
      </c>
      <c r="N832" s="23" t="n">
        <f aca="false">IFERROR(M832/B832*10000,0)</f>
        <v>3.36318773218488</v>
      </c>
      <c r="O832" s="19" t="n">
        <v>5320426</v>
      </c>
      <c r="P832" s="19" t="n">
        <v>1000338</v>
      </c>
      <c r="Q832" s="21" t="n">
        <f aca="false">O832+P832</f>
        <v>6320764</v>
      </c>
      <c r="R832" s="22" t="n">
        <f aca="false">IF(A832&lt;HlpChangeDate,HlpSharePre,HlpSharePost)</f>
        <v>0.03</v>
      </c>
      <c r="S832" s="21" t="n">
        <f aca="false">Q832*R832/(1-R832)</f>
        <v>195487.546391753</v>
      </c>
      <c r="T832" s="19" t="n">
        <v>195488</v>
      </c>
      <c r="U832" s="21" t="n">
        <f aca="false">S832-T832</f>
        <v>-0.45360824742238</v>
      </c>
      <c r="V832" s="21" t="n">
        <f aca="false">Y832-O832*R832/(1-R832)</f>
        <v>294944.742268041</v>
      </c>
      <c r="W832" s="21" t="n">
        <f aca="false">Z832-P832*R832/(1-R832)</f>
        <v>939665.711340206</v>
      </c>
      <c r="X832" s="21" t="n">
        <f aca="false">S832+V832+W832</f>
        <v>1430098</v>
      </c>
      <c r="Y832" s="19" t="n">
        <v>459494</v>
      </c>
      <c r="Z832" s="19" t="n">
        <v>970604</v>
      </c>
      <c r="AA832" s="19" t="n">
        <v>6320764</v>
      </c>
      <c r="AB832" s="29" t="n">
        <v>46.049</v>
      </c>
      <c r="AC832" s="29" t="n">
        <v>45.28425</v>
      </c>
      <c r="AD832" s="24" t="n">
        <f aca="false">IFERROR(AA832/AC832,0)</f>
        <v>139579.743509057</v>
      </c>
      <c r="AE832" s="25" t="n">
        <f aca="false">K832-Q832-X832</f>
        <v>1</v>
      </c>
      <c r="AF832" s="25" t="n">
        <f aca="false">Q832-AA832</f>
        <v>0</v>
      </c>
      <c r="AG832" s="19" t="n">
        <v>5403619.62901998</v>
      </c>
      <c r="AH832" s="26" t="n">
        <f aca="false">IFERROR(AG832/Q832,0)</f>
        <v>0.854899760380229</v>
      </c>
      <c r="AI832" s="27" t="n">
        <v>394896174.863388</v>
      </c>
      <c r="AJ832" s="26" t="n">
        <f aca="false">IF(AI832&gt;0,AprCoef/SQRT(AI832),0)</f>
        <v>0.0238526633210015</v>
      </c>
      <c r="AK832" s="24" t="n">
        <f aca="false">AI832*AJ832/365</f>
        <v>25806.3712486787</v>
      </c>
      <c r="AL832" s="24" t="n">
        <f aca="false">AD832</f>
        <v>139579.743509057</v>
      </c>
      <c r="AM832" s="24" t="n">
        <f aca="false">AK832-AL832</f>
        <v>-113773.372260378</v>
      </c>
      <c r="AN832" s="28" t="str">
        <f aca="false">IF(A832&gt;=Hip3LaunchDate,"YES","")</f>
        <v/>
      </c>
      <c r="AO832" s="28" t="str">
        <f aca="false">IF(A832&lt;Hip4LaunchDate,"pre-launch","live (zero-fee)")</f>
        <v>pre-launch</v>
      </c>
      <c r="AP832" s="20"/>
      <c r="AQ832" s="20"/>
      <c r="AR832" s="20"/>
    </row>
    <row r="833" customFormat="false" ht="15" hidden="false" customHeight="false" outlineLevel="0" collapsed="false">
      <c r="A833" s="18" t="n">
        <v>45894</v>
      </c>
      <c r="B833" s="19" t="n">
        <v>20948854170.77</v>
      </c>
      <c r="C833" s="19" t="n">
        <v>0</v>
      </c>
      <c r="D833" s="19" t="n">
        <v>1534795396</v>
      </c>
      <c r="E833" s="21" t="n">
        <f aca="false">B833+C833</f>
        <v>20948854170.77</v>
      </c>
      <c r="F833" s="21" t="n">
        <f aca="false">E833+D833</f>
        <v>22483649566.77</v>
      </c>
      <c r="G833" s="22" t="n">
        <f aca="false">IFERROR(C833/E833,0)</f>
        <v>0</v>
      </c>
      <c r="H833" s="19" t="n">
        <v>6791591</v>
      </c>
      <c r="I833" s="19" t="n">
        <v>543705</v>
      </c>
      <c r="J833" s="19" t="n">
        <v>205920</v>
      </c>
      <c r="K833" s="21" t="n">
        <f aca="false">H833+I833</f>
        <v>7335296</v>
      </c>
      <c r="L833" s="20"/>
      <c r="M833" s="21" t="n">
        <f aca="false">H833-L833</f>
        <v>6791591</v>
      </c>
      <c r="N833" s="23" t="n">
        <f aca="false">IFERROR(M833/B833*10000,0)</f>
        <v>3.2419868622105</v>
      </c>
      <c r="O833" s="19" t="n">
        <v>6343245</v>
      </c>
      <c r="P833" s="19" t="n">
        <v>314829</v>
      </c>
      <c r="Q833" s="21" t="n">
        <f aca="false">O833+P833</f>
        <v>6658074</v>
      </c>
      <c r="R833" s="22" t="n">
        <f aca="false">IF(A833&lt;HlpChangeDate,HlpSharePre,HlpSharePost)</f>
        <v>0.03</v>
      </c>
      <c r="S833" s="21" t="n">
        <f aca="false">Q833*R833/(1-R833)</f>
        <v>205919.81443299</v>
      </c>
      <c r="T833" s="19" t="n">
        <v>205920</v>
      </c>
      <c r="U833" s="21" t="n">
        <f aca="false">S833-T833</f>
        <v>-0.185567010310479</v>
      </c>
      <c r="V833" s="21" t="n">
        <f aca="false">Y833-O833*R833/(1-R833)</f>
        <v>252163.164948454</v>
      </c>
      <c r="W833" s="21" t="n">
        <f aca="false">Z833-P833*R833/(1-R833)</f>
        <v>219140.020618557</v>
      </c>
      <c r="X833" s="21" t="n">
        <f aca="false">S833+V833+W833</f>
        <v>677223</v>
      </c>
      <c r="Y833" s="19" t="n">
        <v>448346</v>
      </c>
      <c r="Z833" s="19" t="n">
        <v>228877</v>
      </c>
      <c r="AA833" s="19" t="n">
        <v>6658074</v>
      </c>
      <c r="AB833" s="29" t="n">
        <v>42.943</v>
      </c>
      <c r="AC833" s="29" t="n">
        <v>44.693</v>
      </c>
      <c r="AD833" s="24" t="n">
        <f aca="false">IFERROR(AA833/AC833,0)</f>
        <v>148973.530530508</v>
      </c>
      <c r="AE833" s="25" t="n">
        <f aca="false">K833-Q833-X833</f>
        <v>-1</v>
      </c>
      <c r="AF833" s="25" t="n">
        <f aca="false">Q833-AA833</f>
        <v>0</v>
      </c>
      <c r="AG833" s="19" t="n">
        <v>5777761.36150098</v>
      </c>
      <c r="AH833" s="26" t="n">
        <f aca="false">IFERROR(AG833/Q833,0)</f>
        <v>0.867782689333429</v>
      </c>
      <c r="AI833" s="27" t="n">
        <v>395032786.885246</v>
      </c>
      <c r="AJ833" s="26" t="n">
        <f aca="false">IF(AI833&gt;0,AprCoef/SQRT(AI833),0)</f>
        <v>0.0238485385464987</v>
      </c>
      <c r="AK833" s="24" t="n">
        <f aca="false">AI833*AJ833/365</f>
        <v>25810.8346442838</v>
      </c>
      <c r="AL833" s="24" t="n">
        <f aca="false">AD833</f>
        <v>148973.530530508</v>
      </c>
      <c r="AM833" s="24" t="n">
        <f aca="false">AK833-AL833</f>
        <v>-123162.695886224</v>
      </c>
      <c r="AN833" s="28" t="str">
        <f aca="false">IF(A833&gt;=Hip3LaunchDate,"YES","")</f>
        <v/>
      </c>
      <c r="AO833" s="28" t="str">
        <f aca="false">IF(A833&lt;Hip4LaunchDate,"pre-launch","live (zero-fee)")</f>
        <v>pre-launch</v>
      </c>
      <c r="AP833" s="20"/>
      <c r="AQ833" s="20"/>
      <c r="AR833" s="20"/>
    </row>
    <row r="834" customFormat="false" ht="15" hidden="false" customHeight="false" outlineLevel="0" collapsed="false">
      <c r="A834" s="18" t="n">
        <v>45895</v>
      </c>
      <c r="B834" s="19" t="n">
        <v>15388541325.82</v>
      </c>
      <c r="C834" s="19" t="n">
        <v>0</v>
      </c>
      <c r="D834" s="19" t="n">
        <v>1653313077</v>
      </c>
      <c r="E834" s="21" t="n">
        <f aca="false">B834+C834</f>
        <v>15388541325.82</v>
      </c>
      <c r="F834" s="21" t="n">
        <f aca="false">E834+D834</f>
        <v>17041854402.82</v>
      </c>
      <c r="G834" s="22" t="n">
        <f aca="false">IFERROR(C834/E834,0)</f>
        <v>0</v>
      </c>
      <c r="H834" s="19" t="n">
        <v>5116847</v>
      </c>
      <c r="I834" s="19" t="n">
        <v>782342</v>
      </c>
      <c r="J834" s="19" t="n">
        <v>161336</v>
      </c>
      <c r="K834" s="21" t="n">
        <f aca="false">H834+I834</f>
        <v>5899189</v>
      </c>
      <c r="L834" s="20"/>
      <c r="M834" s="21" t="n">
        <f aca="false">H834-L834</f>
        <v>5116847</v>
      </c>
      <c r="N834" s="23" t="n">
        <f aca="false">IFERROR(M834/B834*10000,0)</f>
        <v>3.32510202992053</v>
      </c>
      <c r="O834" s="19" t="n">
        <v>4756929</v>
      </c>
      <c r="P834" s="19" t="n">
        <v>459589</v>
      </c>
      <c r="Q834" s="21" t="n">
        <f aca="false">O834+P834</f>
        <v>5216518</v>
      </c>
      <c r="R834" s="22" t="n">
        <f aca="false">IF(A834&lt;HlpChangeDate,HlpSharePre,HlpSharePost)</f>
        <v>0.03</v>
      </c>
      <c r="S834" s="21" t="n">
        <f aca="false">Q834*R834/(1-R834)</f>
        <v>161335.608247423</v>
      </c>
      <c r="T834" s="19" t="n">
        <v>161336</v>
      </c>
      <c r="U834" s="21" t="n">
        <f aca="false">S834-T834</f>
        <v>-0.391752577299485</v>
      </c>
      <c r="V834" s="21" t="n">
        <f aca="false">Y834-O834*R834/(1-R834)</f>
        <v>212796.484536082</v>
      </c>
      <c r="W834" s="21" t="n">
        <f aca="false">Z834-P834*R834/(1-R834)</f>
        <v>308538.907216495</v>
      </c>
      <c r="X834" s="21" t="n">
        <f aca="false">S834+V834+W834</f>
        <v>682671</v>
      </c>
      <c r="Y834" s="19" t="n">
        <v>359918</v>
      </c>
      <c r="Z834" s="19" t="n">
        <v>322753</v>
      </c>
      <c r="AA834" s="19" t="n">
        <v>5216518</v>
      </c>
      <c r="AB834" s="29" t="n">
        <v>48.794</v>
      </c>
      <c r="AC834" s="29" t="n">
        <v>45.95875</v>
      </c>
      <c r="AD834" s="24" t="n">
        <f aca="false">IFERROR(AA834/AC834,0)</f>
        <v>113504.349008622</v>
      </c>
      <c r="AE834" s="25" t="n">
        <f aca="false">K834-Q834-X834</f>
        <v>0</v>
      </c>
      <c r="AF834" s="25" t="n">
        <f aca="false">Q834-AA834</f>
        <v>0</v>
      </c>
      <c r="AG834" s="19" t="n">
        <v>6010652.08280408</v>
      </c>
      <c r="AH834" s="26" t="n">
        <f aca="false">IFERROR(AG834/Q834,0)</f>
        <v>1.15223451405786</v>
      </c>
      <c r="AI834" s="27" t="n">
        <v>395169398.907104</v>
      </c>
      <c r="AJ834" s="26" t="n">
        <f aca="false">IF(AI834&gt;0,AprCoef/SQRT(AI834),0)</f>
        <v>0.0238444159111133</v>
      </c>
      <c r="AK834" s="24" t="n">
        <f aca="false">AI834*AJ834/365</f>
        <v>25815.2972681798</v>
      </c>
      <c r="AL834" s="24" t="n">
        <f aca="false">AD834</f>
        <v>113504.349008622</v>
      </c>
      <c r="AM834" s="24" t="n">
        <f aca="false">AK834-AL834</f>
        <v>-87689.0517404421</v>
      </c>
      <c r="AN834" s="28" t="str">
        <f aca="false">IF(A834&gt;=Hip3LaunchDate,"YES","")</f>
        <v/>
      </c>
      <c r="AO834" s="28" t="str">
        <f aca="false">IF(A834&lt;Hip4LaunchDate,"pre-launch","live (zero-fee)")</f>
        <v>pre-launch</v>
      </c>
      <c r="AP834" s="20"/>
      <c r="AQ834" s="20"/>
      <c r="AR834" s="20"/>
    </row>
    <row r="835" customFormat="false" ht="15" hidden="false" customHeight="false" outlineLevel="0" collapsed="false">
      <c r="A835" s="18" t="n">
        <v>45896</v>
      </c>
      <c r="B835" s="19" t="n">
        <v>13058401010.24</v>
      </c>
      <c r="C835" s="19" t="n">
        <v>0</v>
      </c>
      <c r="D835" s="19" t="n">
        <v>567526114</v>
      </c>
      <c r="E835" s="21" t="n">
        <f aca="false">B835+C835</f>
        <v>13058401010.24</v>
      </c>
      <c r="F835" s="21" t="n">
        <f aca="false">E835+D835</f>
        <v>13625927124.24</v>
      </c>
      <c r="G835" s="22" t="n">
        <f aca="false">IFERROR(C835/E835,0)</f>
        <v>0</v>
      </c>
      <c r="H835" s="19" t="n">
        <v>4482034</v>
      </c>
      <c r="I835" s="19" t="n">
        <v>217368</v>
      </c>
      <c r="J835" s="19" t="n">
        <v>134086</v>
      </c>
      <c r="K835" s="21" t="n">
        <f aca="false">H835+I835</f>
        <v>4699402</v>
      </c>
      <c r="L835" s="20"/>
      <c r="M835" s="21" t="n">
        <f aca="false">H835-L835</f>
        <v>4482034</v>
      </c>
      <c r="N835" s="23" t="n">
        <f aca="false">IFERROR(M835/B835*10000,0)</f>
        <v>3.43229925048658</v>
      </c>
      <c r="O835" s="19" t="n">
        <v>4157827</v>
      </c>
      <c r="P835" s="19" t="n">
        <v>177611</v>
      </c>
      <c r="Q835" s="21" t="n">
        <f aca="false">O835+P835</f>
        <v>4335438</v>
      </c>
      <c r="R835" s="22" t="n">
        <f aca="false">IF(A835&lt;HlpChangeDate,HlpSharePre,HlpSharePost)</f>
        <v>0.03</v>
      </c>
      <c r="S835" s="21" t="n">
        <f aca="false">Q835*R835/(1-R835)</f>
        <v>134085.711340206</v>
      </c>
      <c r="T835" s="19" t="n">
        <v>134086</v>
      </c>
      <c r="U835" s="21" t="n">
        <f aca="false">S835-T835</f>
        <v>-0.288659793819534</v>
      </c>
      <c r="V835" s="21" t="n">
        <f aca="false">Y835-O835*R835/(1-R835)</f>
        <v>195613.412371134</v>
      </c>
      <c r="W835" s="21" t="n">
        <f aca="false">Z835-P835*R835/(1-R835)</f>
        <v>34263.8762886598</v>
      </c>
      <c r="X835" s="21" t="n">
        <f aca="false">S835+V835+W835</f>
        <v>363963</v>
      </c>
      <c r="Y835" s="19" t="n">
        <v>324206</v>
      </c>
      <c r="Z835" s="19" t="n">
        <v>39757</v>
      </c>
      <c r="AA835" s="19" t="n">
        <v>4335438</v>
      </c>
      <c r="AB835" s="29" t="n">
        <v>46.945</v>
      </c>
      <c r="AC835" s="29" t="n">
        <v>48.4225</v>
      </c>
      <c r="AD835" s="24" t="n">
        <f aca="false">IFERROR(AA835/AC835,0)</f>
        <v>89533.5432908256</v>
      </c>
      <c r="AE835" s="25" t="n">
        <f aca="false">K835-Q835-X835</f>
        <v>0.999999999941792</v>
      </c>
      <c r="AF835" s="25" t="n">
        <f aca="false">Q835-AA835</f>
        <v>0</v>
      </c>
      <c r="AG835" s="19" t="n">
        <v>3762751.43804193</v>
      </c>
      <c r="AH835" s="26" t="n">
        <f aca="false">IFERROR(AG835/Q835,0)</f>
        <v>0.867905719800843</v>
      </c>
      <c r="AI835" s="27" t="n">
        <v>395306010.928962</v>
      </c>
      <c r="AJ835" s="26" t="n">
        <f aca="false">IF(AI835&gt;0,AprCoef/SQRT(AI835),0)</f>
        <v>0.0238402954129971</v>
      </c>
      <c r="AK835" s="24" t="n">
        <f aca="false">AI835*AJ835/365</f>
        <v>25819.7591207668</v>
      </c>
      <c r="AL835" s="24" t="n">
        <f aca="false">AD835</f>
        <v>89533.5432908256</v>
      </c>
      <c r="AM835" s="24" t="n">
        <f aca="false">AK835-AL835</f>
        <v>-63713.7841700587</v>
      </c>
      <c r="AN835" s="28" t="str">
        <f aca="false">IF(A835&gt;=Hip3LaunchDate,"YES","")</f>
        <v/>
      </c>
      <c r="AO835" s="28" t="str">
        <f aca="false">IF(A835&lt;Hip4LaunchDate,"pre-launch","live (zero-fee)")</f>
        <v>pre-launch</v>
      </c>
      <c r="AP835" s="20"/>
      <c r="AQ835" s="20"/>
      <c r="AR835" s="20"/>
    </row>
    <row r="836" customFormat="false" ht="15" hidden="false" customHeight="false" outlineLevel="0" collapsed="false">
      <c r="A836" s="18" t="n">
        <v>45897</v>
      </c>
      <c r="B836" s="19" t="n">
        <v>10282718688.72</v>
      </c>
      <c r="C836" s="19" t="n">
        <v>0</v>
      </c>
      <c r="D836" s="19" t="n">
        <v>420001260</v>
      </c>
      <c r="E836" s="21" t="n">
        <f aca="false">B836+C836</f>
        <v>10282718688.72</v>
      </c>
      <c r="F836" s="21" t="n">
        <f aca="false">E836+D836</f>
        <v>10702719948.72</v>
      </c>
      <c r="G836" s="22" t="n">
        <f aca="false">IFERROR(C836/E836,0)</f>
        <v>0</v>
      </c>
      <c r="H836" s="19" t="n">
        <v>3527444</v>
      </c>
      <c r="I836" s="19" t="n">
        <v>176810</v>
      </c>
      <c r="J836" s="19" t="n">
        <v>105026</v>
      </c>
      <c r="K836" s="21" t="n">
        <f aca="false">H836+I836</f>
        <v>3704254</v>
      </c>
      <c r="L836" s="20"/>
      <c r="M836" s="21" t="n">
        <f aca="false">H836-L836</f>
        <v>3527444</v>
      </c>
      <c r="N836" s="23" t="n">
        <f aca="false">IFERROR(M836/B836*10000,0)</f>
        <v>3.43045852637159</v>
      </c>
      <c r="O836" s="19" t="n">
        <v>3262778</v>
      </c>
      <c r="P836" s="19" t="n">
        <v>133062</v>
      </c>
      <c r="Q836" s="21" t="n">
        <f aca="false">O836+P836</f>
        <v>3395840</v>
      </c>
      <c r="R836" s="22" t="n">
        <f aca="false">IF(A836&lt;HlpChangeDate,HlpSharePre,HlpSharePost)</f>
        <v>0.03</v>
      </c>
      <c r="S836" s="21" t="n">
        <f aca="false">Q836*R836/(1-R836)</f>
        <v>105025.979381443</v>
      </c>
      <c r="T836" s="19" t="n">
        <v>105026</v>
      </c>
      <c r="U836" s="21" t="n">
        <f aca="false">S836-T836</f>
        <v>-0.0206185567076318</v>
      </c>
      <c r="V836" s="21" t="n">
        <f aca="false">Y836-O836*R836/(1-R836)</f>
        <v>163755.340206186</v>
      </c>
      <c r="W836" s="21" t="n">
        <f aca="false">Z836-P836*R836/(1-R836)</f>
        <v>39631.6804123711</v>
      </c>
      <c r="X836" s="21" t="n">
        <f aca="false">S836+V836+W836</f>
        <v>308413</v>
      </c>
      <c r="Y836" s="19" t="n">
        <v>264666</v>
      </c>
      <c r="Z836" s="19" t="n">
        <v>43747</v>
      </c>
      <c r="AA836" s="19" t="n">
        <v>3395840</v>
      </c>
      <c r="AB836" s="29" t="n">
        <v>45.534</v>
      </c>
      <c r="AC836" s="29" t="n">
        <v>46.76225</v>
      </c>
      <c r="AD836" s="24" t="n">
        <f aca="false">IFERROR(AA836/AC836,0)</f>
        <v>72619.2601938529</v>
      </c>
      <c r="AE836" s="25" t="n">
        <f aca="false">K836-Q836-X836</f>
        <v>1</v>
      </c>
      <c r="AF836" s="25" t="n">
        <f aca="false">Q836-AA836</f>
        <v>0</v>
      </c>
      <c r="AG836" s="19" t="n">
        <v>2944183.21654499</v>
      </c>
      <c r="AH836" s="26" t="n">
        <f aca="false">IFERROR(AG836/Q836,0)</f>
        <v>0.866997036534403</v>
      </c>
      <c r="AI836" s="27" t="n">
        <v>395442622.95082</v>
      </c>
      <c r="AJ836" s="26" t="n">
        <f aca="false">IF(AI836&gt;0,AprCoef/SQRT(AI836),0)</f>
        <v>0.0238361770503039</v>
      </c>
      <c r="AK836" s="24" t="n">
        <f aca="false">AI836*AJ836/365</f>
        <v>25824.2202024447</v>
      </c>
      <c r="AL836" s="24" t="n">
        <f aca="false">AD836</f>
        <v>72619.2601938529</v>
      </c>
      <c r="AM836" s="24" t="n">
        <f aca="false">AK836-AL836</f>
        <v>-46795.0399914083</v>
      </c>
      <c r="AN836" s="28" t="str">
        <f aca="false">IF(A836&gt;=Hip3LaunchDate,"YES","")</f>
        <v/>
      </c>
      <c r="AO836" s="28" t="str">
        <f aca="false">IF(A836&lt;Hip4LaunchDate,"pre-launch","live (zero-fee)")</f>
        <v>pre-launch</v>
      </c>
      <c r="AP836" s="20"/>
      <c r="AQ836" s="20"/>
      <c r="AR836" s="20"/>
    </row>
    <row r="837" customFormat="false" ht="15" hidden="false" customHeight="false" outlineLevel="0" collapsed="false">
      <c r="A837" s="18" t="n">
        <v>45898</v>
      </c>
      <c r="B837" s="19" t="n">
        <v>16727206705.29</v>
      </c>
      <c r="C837" s="19" t="n">
        <v>0</v>
      </c>
      <c r="D837" s="19" t="n">
        <v>1187391721</v>
      </c>
      <c r="E837" s="21" t="n">
        <f aca="false">B837+C837</f>
        <v>16727206705.29</v>
      </c>
      <c r="F837" s="21" t="n">
        <f aca="false">E837+D837</f>
        <v>17914598426.29</v>
      </c>
      <c r="G837" s="22" t="n">
        <f aca="false">IFERROR(C837/E837,0)</f>
        <v>0</v>
      </c>
      <c r="H837" s="19" t="n">
        <v>5416526</v>
      </c>
      <c r="I837" s="19" t="n">
        <v>598611</v>
      </c>
      <c r="J837" s="19" t="n">
        <v>166695</v>
      </c>
      <c r="K837" s="21" t="n">
        <f aca="false">H837+I837</f>
        <v>6015137</v>
      </c>
      <c r="L837" s="20"/>
      <c r="M837" s="21" t="n">
        <f aca="false">H837-L837</f>
        <v>5416526</v>
      </c>
      <c r="N837" s="23" t="n">
        <f aca="false">IFERROR(M837/B837*10000,0)</f>
        <v>3.2381533243605</v>
      </c>
      <c r="O837" s="19" t="n">
        <v>5036154</v>
      </c>
      <c r="P837" s="19" t="n">
        <v>353666</v>
      </c>
      <c r="Q837" s="21" t="n">
        <f aca="false">O837+P837</f>
        <v>5389820</v>
      </c>
      <c r="R837" s="22" t="n">
        <f aca="false">IF(A837&lt;HlpChangeDate,HlpSharePre,HlpSharePost)</f>
        <v>0.03</v>
      </c>
      <c r="S837" s="21" t="n">
        <f aca="false">Q837*R837/(1-R837)</f>
        <v>166695.463917526</v>
      </c>
      <c r="T837" s="19" t="n">
        <v>166695</v>
      </c>
      <c r="U837" s="21" t="n">
        <f aca="false">S837-T837</f>
        <v>0.463917525776196</v>
      </c>
      <c r="V837" s="21" t="n">
        <f aca="false">Y837-O837*R837/(1-R837)</f>
        <v>224614.659793814</v>
      </c>
      <c r="W837" s="21" t="n">
        <f aca="false">Z837-P837*R837/(1-R837)</f>
        <v>234006.87628866</v>
      </c>
      <c r="X837" s="21" t="n">
        <f aca="false">S837+V837+W837</f>
        <v>625317</v>
      </c>
      <c r="Y837" s="19" t="n">
        <v>380372</v>
      </c>
      <c r="Z837" s="19" t="n">
        <v>244945</v>
      </c>
      <c r="AA837" s="19" t="n">
        <v>5389820</v>
      </c>
      <c r="AB837" s="29" t="n">
        <v>44.411</v>
      </c>
      <c r="AC837" s="29" t="n">
        <v>44.82925</v>
      </c>
      <c r="AD837" s="24" t="n">
        <f aca="false">IFERROR(AA837/AC837,0)</f>
        <v>120229.983771756</v>
      </c>
      <c r="AE837" s="25" t="n">
        <f aca="false">K837-Q837-X837</f>
        <v>0</v>
      </c>
      <c r="AF837" s="25" t="n">
        <f aca="false">Q837-AA837</f>
        <v>0</v>
      </c>
      <c r="AG837" s="19" t="n">
        <v>4659945.71276903</v>
      </c>
      <c r="AH837" s="26" t="n">
        <f aca="false">IFERROR(AG837/Q837,0)</f>
        <v>0.864582808473944</v>
      </c>
      <c r="AI837" s="27" t="n">
        <v>395579234.972678</v>
      </c>
      <c r="AJ837" s="26" t="n">
        <f aca="false">IF(AI837&gt;0,AprCoef/SQRT(AI837),0)</f>
        <v>0.02383206082119</v>
      </c>
      <c r="AK837" s="24" t="n">
        <f aca="false">AI837*AJ837/365</f>
        <v>25828.6805136128</v>
      </c>
      <c r="AL837" s="24" t="n">
        <f aca="false">AD837</f>
        <v>120229.983771756</v>
      </c>
      <c r="AM837" s="24" t="n">
        <f aca="false">AK837-AL837</f>
        <v>-94401.3032581433</v>
      </c>
      <c r="AN837" s="28" t="str">
        <f aca="false">IF(A837&gt;=Hip3LaunchDate,"YES","")</f>
        <v/>
      </c>
      <c r="AO837" s="28" t="str">
        <f aca="false">IF(A837&lt;Hip4LaunchDate,"pre-launch","live (zero-fee)")</f>
        <v>pre-launch</v>
      </c>
      <c r="AP837" s="20"/>
      <c r="AQ837" s="20"/>
      <c r="AR837" s="20"/>
    </row>
    <row r="838" customFormat="false" ht="15" hidden="false" customHeight="false" outlineLevel="0" collapsed="false">
      <c r="A838" s="18" t="n">
        <v>45899</v>
      </c>
      <c r="B838" s="19" t="n">
        <v>6799419657.99</v>
      </c>
      <c r="C838" s="19" t="n">
        <v>0</v>
      </c>
      <c r="D838" s="19" t="n">
        <v>815965664</v>
      </c>
      <c r="E838" s="21" t="n">
        <f aca="false">B838+C838</f>
        <v>6799419657.99</v>
      </c>
      <c r="F838" s="21" t="n">
        <f aca="false">E838+D838</f>
        <v>7615385321.99</v>
      </c>
      <c r="G838" s="22" t="n">
        <f aca="false">IFERROR(C838/E838,0)</f>
        <v>0</v>
      </c>
      <c r="H838" s="19" t="n">
        <v>2181919</v>
      </c>
      <c r="I838" s="19" t="n">
        <v>323882</v>
      </c>
      <c r="J838" s="19" t="n">
        <v>68557</v>
      </c>
      <c r="K838" s="21" t="n">
        <f aca="false">H838+I838</f>
        <v>2505801</v>
      </c>
      <c r="L838" s="20"/>
      <c r="M838" s="21" t="n">
        <f aca="false">H838-L838</f>
        <v>2181919</v>
      </c>
      <c r="N838" s="23" t="n">
        <f aca="false">IFERROR(M838/B838*10000,0)</f>
        <v>3.20897828013311</v>
      </c>
      <c r="O838" s="19" t="n">
        <v>2029059</v>
      </c>
      <c r="P838" s="19" t="n">
        <v>187625</v>
      </c>
      <c r="Q838" s="21" t="n">
        <f aca="false">O838+P838</f>
        <v>2216684</v>
      </c>
      <c r="R838" s="22" t="n">
        <f aca="false">IF(A838&lt;HlpChangeDate,HlpSharePre,HlpSharePost)</f>
        <v>0.03</v>
      </c>
      <c r="S838" s="21" t="n">
        <f aca="false">Q838*R838/(1-R838)</f>
        <v>68557.2371134021</v>
      </c>
      <c r="T838" s="19" t="n">
        <v>68557</v>
      </c>
      <c r="U838" s="21" t="n">
        <f aca="false">S838-T838</f>
        <v>0.237113402065006</v>
      </c>
      <c r="V838" s="21" t="n">
        <f aca="false">Y838-O838*R838/(1-R838)</f>
        <v>90105.5979381443</v>
      </c>
      <c r="W838" s="21" t="n">
        <f aca="false">Z838-P838*R838/(1-R838)</f>
        <v>130454.164948454</v>
      </c>
      <c r="X838" s="21" t="n">
        <f aca="false">S838+V838+W838</f>
        <v>289117</v>
      </c>
      <c r="Y838" s="19" t="n">
        <v>152860</v>
      </c>
      <c r="Z838" s="19" t="n">
        <v>136257</v>
      </c>
      <c r="AA838" s="19" t="n">
        <v>2216684</v>
      </c>
      <c r="AB838" s="29" t="n">
        <v>44.029</v>
      </c>
      <c r="AC838" s="29" t="n">
        <v>44.1495</v>
      </c>
      <c r="AD838" s="24" t="n">
        <f aca="false">IFERROR(AA838/AC838,0)</f>
        <v>50208.5867337116</v>
      </c>
      <c r="AE838" s="25" t="n">
        <f aca="false">K838-Q838-X838</f>
        <v>0</v>
      </c>
      <c r="AF838" s="25" t="n">
        <f aca="false">Q838-AA838</f>
        <v>0</v>
      </c>
      <c r="AG838" s="19" t="n">
        <v>1982052.61085796</v>
      </c>
      <c r="AH838" s="26" t="n">
        <f aca="false">IFERROR(AG838/Q838,0)</f>
        <v>0.894152080701608</v>
      </c>
      <c r="AI838" s="27" t="n">
        <v>395715846.994536</v>
      </c>
      <c r="AJ838" s="26" t="n">
        <f aca="false">IF(AI838&gt;0,AprCoef/SQRT(AI838),0)</f>
        <v>0.0238279467238139</v>
      </c>
      <c r="AK838" s="24" t="n">
        <f aca="false">AI838*AJ838/365</f>
        <v>25833.1400546703</v>
      </c>
      <c r="AL838" s="24" t="n">
        <f aca="false">AD838</f>
        <v>50208.5867337116</v>
      </c>
      <c r="AM838" s="24" t="n">
        <f aca="false">AK838-AL838</f>
        <v>-24375.4466790413</v>
      </c>
      <c r="AN838" s="28" t="str">
        <f aca="false">IF(A838&gt;=Hip3LaunchDate,"YES","")</f>
        <v/>
      </c>
      <c r="AO838" s="28" t="str">
        <f aca="false">IF(A838&lt;Hip4LaunchDate,"pre-launch","live (zero-fee)")</f>
        <v>pre-launch</v>
      </c>
      <c r="AP838" s="20"/>
      <c r="AQ838" s="20"/>
      <c r="AR838" s="20"/>
    </row>
    <row r="839" customFormat="false" ht="15" hidden="false" customHeight="false" outlineLevel="0" collapsed="false">
      <c r="A839" s="18" t="n">
        <v>45900</v>
      </c>
      <c r="B839" s="19" t="n">
        <v>5766508404.61</v>
      </c>
      <c r="C839" s="19" t="n">
        <v>0</v>
      </c>
      <c r="D839" s="19" t="n">
        <v>1224472730</v>
      </c>
      <c r="E839" s="21" t="n">
        <f aca="false">B839+C839</f>
        <v>5766508404.61</v>
      </c>
      <c r="F839" s="21" t="n">
        <f aca="false">E839+D839</f>
        <v>6990981134.61</v>
      </c>
      <c r="G839" s="22" t="n">
        <f aca="false">IFERROR(C839/E839,0)</f>
        <v>0</v>
      </c>
      <c r="H839" s="19" t="n">
        <v>1980374</v>
      </c>
      <c r="I839" s="19" t="n">
        <v>473026</v>
      </c>
      <c r="J839" s="19" t="n">
        <v>21332</v>
      </c>
      <c r="K839" s="21" t="n">
        <f aca="false">H839+I839</f>
        <v>2453400</v>
      </c>
      <c r="L839" s="20"/>
      <c r="M839" s="21" t="n">
        <f aca="false">H839-L839</f>
        <v>1980374</v>
      </c>
      <c r="N839" s="23" t="n">
        <f aca="false">IFERROR(M839/B839*10000,0)</f>
        <v>3.43426881753403</v>
      </c>
      <c r="O839" s="19" t="n">
        <v>1853597</v>
      </c>
      <c r="P839" s="19" t="n">
        <v>258222</v>
      </c>
      <c r="Q839" s="21" t="n">
        <f aca="false">O839+P839</f>
        <v>2111819</v>
      </c>
      <c r="R839" s="22" t="n">
        <f aca="false">IF(A839&lt;HlpChangeDate,HlpSharePre,HlpSharePost)</f>
        <v>0.01</v>
      </c>
      <c r="S839" s="21" t="n">
        <f aca="false">Q839*R839/(1-R839)</f>
        <v>21331.5050505051</v>
      </c>
      <c r="T839" s="19" t="n">
        <v>21332</v>
      </c>
      <c r="U839" s="21" t="n">
        <f aca="false">S839-T839</f>
        <v>-0.494949494950561</v>
      </c>
      <c r="V839" s="21" t="n">
        <f aca="false">Y839-O839*R839/(1-R839)</f>
        <v>108054.797979798</v>
      </c>
      <c r="W839" s="21" t="n">
        <f aca="false">Z839-P839*R839/(1-R839)</f>
        <v>212195.696969697</v>
      </c>
      <c r="X839" s="21" t="n">
        <f aca="false">S839+V839+W839</f>
        <v>341582</v>
      </c>
      <c r="Y839" s="19" t="n">
        <v>126778</v>
      </c>
      <c r="Z839" s="19" t="n">
        <v>214804</v>
      </c>
      <c r="AA839" s="19" t="n">
        <v>2111819</v>
      </c>
      <c r="AB839" s="29" t="n">
        <v>44.27</v>
      </c>
      <c r="AC839" s="29" t="n">
        <v>44.414</v>
      </c>
      <c r="AD839" s="24" t="n">
        <f aca="false">IFERROR(AA839/AC839,0)</f>
        <v>47548.4982212816</v>
      </c>
      <c r="AE839" s="25" t="n">
        <f aca="false">K839-Q839-X839</f>
        <v>-1</v>
      </c>
      <c r="AF839" s="25" t="n">
        <f aca="false">Q839-AA839</f>
        <v>0</v>
      </c>
      <c r="AG839" s="19" t="n">
        <v>1743851.05139303</v>
      </c>
      <c r="AH839" s="26" t="n">
        <f aca="false">IFERROR(AG839/Q839,0)</f>
        <v>0.825757818919629</v>
      </c>
      <c r="AI839" s="27" t="n">
        <v>395852459.016393</v>
      </c>
      <c r="AJ839" s="26" t="n">
        <f aca="false">IF(AI839&gt;0,AprCoef/SQRT(AI839),0)</f>
        <v>0.023823834756336</v>
      </c>
      <c r="AK839" s="24" t="n">
        <f aca="false">AI839*AJ839/365</f>
        <v>25837.598826016</v>
      </c>
      <c r="AL839" s="24" t="n">
        <f aca="false">AD839</f>
        <v>47548.4982212816</v>
      </c>
      <c r="AM839" s="24" t="n">
        <f aca="false">AK839-AL839</f>
        <v>-21710.8993952656</v>
      </c>
      <c r="AN839" s="28" t="str">
        <f aca="false">IF(A839&gt;=Hip3LaunchDate,"YES","")</f>
        <v/>
      </c>
      <c r="AO839" s="28" t="str">
        <f aca="false">IF(A839&lt;Hip4LaunchDate,"pre-launch","live (zero-fee)")</f>
        <v>pre-launch</v>
      </c>
      <c r="AP839" s="20"/>
      <c r="AQ839" s="20"/>
      <c r="AR839" s="20"/>
    </row>
    <row r="840" customFormat="false" ht="15" hidden="false" customHeight="false" outlineLevel="0" collapsed="false">
      <c r="A840" s="18" t="n">
        <v>45901</v>
      </c>
      <c r="B840" s="19" t="n">
        <v>11587932833.88</v>
      </c>
      <c r="C840" s="19" t="n">
        <v>0</v>
      </c>
      <c r="D840" s="19" t="n">
        <v>830260769</v>
      </c>
      <c r="E840" s="21" t="n">
        <f aca="false">B840+C840</f>
        <v>11587932833.88</v>
      </c>
      <c r="F840" s="21" t="n">
        <f aca="false">E840+D840</f>
        <v>12418193602.88</v>
      </c>
      <c r="G840" s="22" t="n">
        <f aca="false">IFERROR(C840/E840,0)</f>
        <v>0</v>
      </c>
      <c r="H840" s="19" t="n">
        <v>3664403</v>
      </c>
      <c r="I840" s="19" t="n">
        <v>297309</v>
      </c>
      <c r="J840" s="19" t="n">
        <v>36995</v>
      </c>
      <c r="K840" s="21" t="n">
        <f aca="false">H840+I840</f>
        <v>3961712</v>
      </c>
      <c r="L840" s="20"/>
      <c r="M840" s="21" t="n">
        <f aca="false">H840-L840</f>
        <v>3664403</v>
      </c>
      <c r="N840" s="23" t="n">
        <f aca="false">IFERROR(M840/B840*10000,0)</f>
        <v>3.16225771458242</v>
      </c>
      <c r="O840" s="19" t="n">
        <v>3475596</v>
      </c>
      <c r="P840" s="19" t="n">
        <v>186943</v>
      </c>
      <c r="Q840" s="21" t="n">
        <f aca="false">O840+P840</f>
        <v>3662539</v>
      </c>
      <c r="R840" s="22" t="n">
        <f aca="false">IF(A840&lt;HlpChangeDate,HlpSharePre,HlpSharePost)</f>
        <v>0.01</v>
      </c>
      <c r="S840" s="21" t="n">
        <f aca="false">Q840*R840/(1-R840)</f>
        <v>36995.3434343434</v>
      </c>
      <c r="T840" s="19" t="n">
        <v>36995</v>
      </c>
      <c r="U840" s="21" t="n">
        <f aca="false">S840-T840</f>
        <v>0.343434343434637</v>
      </c>
      <c r="V840" s="21" t="n">
        <f aca="false">Y840-O840*R840/(1-R840)</f>
        <v>153699.96969697</v>
      </c>
      <c r="W840" s="21" t="n">
        <f aca="false">Z840-P840*R840/(1-R840)</f>
        <v>108477.686868687</v>
      </c>
      <c r="X840" s="21" t="n">
        <f aca="false">S840+V840+W840</f>
        <v>299173</v>
      </c>
      <c r="Y840" s="19" t="n">
        <v>188807</v>
      </c>
      <c r="Z840" s="19" t="n">
        <v>110366</v>
      </c>
      <c r="AA840" s="19" t="n">
        <v>3662539</v>
      </c>
      <c r="AB840" s="29" t="n">
        <v>43.101</v>
      </c>
      <c r="AC840" s="29" t="n">
        <v>43.8305</v>
      </c>
      <c r="AD840" s="24" t="n">
        <f aca="false">IFERROR(AA840/AC840,0)</f>
        <v>83561.4241224718</v>
      </c>
      <c r="AE840" s="25" t="n">
        <f aca="false">K840-Q840-X840</f>
        <v>0</v>
      </c>
      <c r="AF840" s="25" t="n">
        <f aca="false">Q840-AA840</f>
        <v>0</v>
      </c>
      <c r="AG840" s="19" t="n">
        <v>3099156.92589903</v>
      </c>
      <c r="AH840" s="26" t="n">
        <f aca="false">IFERROR(AG840/Q840,0)</f>
        <v>0.846177180884362</v>
      </c>
      <c r="AI840" s="27" t="n">
        <v>395989071.038251</v>
      </c>
      <c r="AJ840" s="26" t="n">
        <f aca="false">IF(AI840&gt;0,AprCoef/SQRT(AI840),0)</f>
        <v>0.0238197249169194</v>
      </c>
      <c r="AK840" s="24" t="n">
        <f aca="false">AI840*AJ840/365</f>
        <v>25842.0568280482</v>
      </c>
      <c r="AL840" s="24" t="n">
        <f aca="false">AD840</f>
        <v>83561.4241224718</v>
      </c>
      <c r="AM840" s="24" t="n">
        <f aca="false">AK840-AL840</f>
        <v>-57719.3672944236</v>
      </c>
      <c r="AN840" s="28" t="str">
        <f aca="false">IF(A840&gt;=Hip3LaunchDate,"YES","")</f>
        <v/>
      </c>
      <c r="AO840" s="28" t="str">
        <f aca="false">IF(A840&lt;Hip4LaunchDate,"pre-launch","live (zero-fee)")</f>
        <v>pre-launch</v>
      </c>
      <c r="AP840" s="20"/>
      <c r="AQ840" s="20"/>
      <c r="AR840" s="20"/>
    </row>
    <row r="841" customFormat="false" ht="15" hidden="false" customHeight="false" outlineLevel="0" collapsed="false">
      <c r="A841" s="18" t="n">
        <v>45902</v>
      </c>
      <c r="B841" s="19" t="n">
        <v>11422881300.33</v>
      </c>
      <c r="C841" s="19" t="n">
        <v>0</v>
      </c>
      <c r="D841" s="19" t="n">
        <v>374820537</v>
      </c>
      <c r="E841" s="21" t="n">
        <f aca="false">B841+C841</f>
        <v>11422881300.33</v>
      </c>
      <c r="F841" s="21" t="n">
        <f aca="false">E841+D841</f>
        <v>11797701837.33</v>
      </c>
      <c r="G841" s="22" t="n">
        <f aca="false">IFERROR(C841/E841,0)</f>
        <v>0</v>
      </c>
      <c r="H841" s="19" t="n">
        <v>3658558</v>
      </c>
      <c r="I841" s="19" t="n">
        <v>138213</v>
      </c>
      <c r="J841" s="19" t="n">
        <v>35926</v>
      </c>
      <c r="K841" s="21" t="n">
        <f aca="false">H841+I841</f>
        <v>3796771</v>
      </c>
      <c r="L841" s="20"/>
      <c r="M841" s="21" t="n">
        <f aca="false">H841-L841</f>
        <v>3658558</v>
      </c>
      <c r="N841" s="23" t="n">
        <f aca="false">IFERROR(M841/B841*10000,0)</f>
        <v>3.20283289636767</v>
      </c>
      <c r="O841" s="19" t="n">
        <v>3459346</v>
      </c>
      <c r="P841" s="19" t="n">
        <v>97355</v>
      </c>
      <c r="Q841" s="21" t="n">
        <f aca="false">O841+P841</f>
        <v>3556701</v>
      </c>
      <c r="R841" s="22" t="n">
        <f aca="false">IF(A841&lt;HlpChangeDate,HlpSharePre,HlpSharePost)</f>
        <v>0.01</v>
      </c>
      <c r="S841" s="21" t="n">
        <f aca="false">Q841*R841/(1-R841)</f>
        <v>35926.2727272727</v>
      </c>
      <c r="T841" s="19" t="n">
        <v>35926</v>
      </c>
      <c r="U841" s="21" t="n">
        <f aca="false">S841-T841</f>
        <v>0.272727272727934</v>
      </c>
      <c r="V841" s="21" t="n">
        <f aca="false">Y841-O841*R841/(1-R841)</f>
        <v>164269.111111111</v>
      </c>
      <c r="W841" s="21" t="n">
        <f aca="false">Z841-P841*R841/(1-R841)</f>
        <v>39873.6161616162</v>
      </c>
      <c r="X841" s="21" t="n">
        <f aca="false">S841+V841+W841</f>
        <v>240069</v>
      </c>
      <c r="Y841" s="19" t="n">
        <v>199212</v>
      </c>
      <c r="Z841" s="19" t="n">
        <v>40857</v>
      </c>
      <c r="AA841" s="19" t="n">
        <v>3556701</v>
      </c>
      <c r="AB841" s="29" t="n">
        <v>44.864</v>
      </c>
      <c r="AC841" s="29" t="n">
        <v>43.98075</v>
      </c>
      <c r="AD841" s="24" t="n">
        <f aca="false">IFERROR(AA841/AC841,0)</f>
        <v>80869.4940400061</v>
      </c>
      <c r="AE841" s="25" t="n">
        <f aca="false">K841-Q841-X841</f>
        <v>0.999999999970896</v>
      </c>
      <c r="AF841" s="25" t="n">
        <f aca="false">Q841-AA841</f>
        <v>0</v>
      </c>
      <c r="AG841" s="19" t="n">
        <v>3084713.06614792</v>
      </c>
      <c r="AH841" s="26" t="n">
        <f aca="false">IFERROR(AG841/Q841,0)</f>
        <v>0.867296144980397</v>
      </c>
      <c r="AI841" s="27" t="n">
        <v>396125683.060109</v>
      </c>
      <c r="AJ841" s="26" t="n">
        <f aca="false">IF(AI841&gt;0,AprCoef/SQRT(AI841),0)</f>
        <v>0.023815617203729</v>
      </c>
      <c r="AK841" s="24" t="n">
        <f aca="false">AI841*AJ841/365</f>
        <v>25846.5140611651</v>
      </c>
      <c r="AL841" s="24" t="n">
        <f aca="false">AD841</f>
        <v>80869.4940400061</v>
      </c>
      <c r="AM841" s="24" t="n">
        <f aca="false">AK841-AL841</f>
        <v>-55022.9799788411</v>
      </c>
      <c r="AN841" s="28" t="str">
        <f aca="false">IF(A841&gt;=Hip3LaunchDate,"YES","")</f>
        <v/>
      </c>
      <c r="AO841" s="28" t="str">
        <f aca="false">IF(A841&lt;Hip4LaunchDate,"pre-launch","live (zero-fee)")</f>
        <v>pre-launch</v>
      </c>
      <c r="AP841" s="20"/>
      <c r="AQ841" s="20"/>
      <c r="AR841" s="20"/>
    </row>
    <row r="842" customFormat="false" ht="15" hidden="false" customHeight="false" outlineLevel="0" collapsed="false">
      <c r="A842" s="18" t="n">
        <v>45903</v>
      </c>
      <c r="B842" s="19" t="n">
        <v>8200160965.2</v>
      </c>
      <c r="C842" s="19" t="n">
        <v>0</v>
      </c>
      <c r="D842" s="19" t="n">
        <v>304761980</v>
      </c>
      <c r="E842" s="21" t="n">
        <f aca="false">B842+C842</f>
        <v>8200160965.2</v>
      </c>
      <c r="F842" s="21" t="n">
        <f aca="false">E842+D842</f>
        <v>8504922945.2</v>
      </c>
      <c r="G842" s="22" t="n">
        <f aca="false">IFERROR(C842/E842,0)</f>
        <v>0</v>
      </c>
      <c r="H842" s="19" t="n">
        <v>2677079</v>
      </c>
      <c r="I842" s="19" t="n">
        <v>121295</v>
      </c>
      <c r="J842" s="19" t="n">
        <v>26399</v>
      </c>
      <c r="K842" s="21" t="n">
        <f aca="false">H842+I842</f>
        <v>2798374</v>
      </c>
      <c r="L842" s="20"/>
      <c r="M842" s="21" t="n">
        <f aca="false">H842-L842</f>
        <v>2677079</v>
      </c>
      <c r="N842" s="23" t="n">
        <f aca="false">IFERROR(M842/B842*10000,0)</f>
        <v>3.2646664027219</v>
      </c>
      <c r="O842" s="19" t="n">
        <v>2522907</v>
      </c>
      <c r="P842" s="19" t="n">
        <v>90595</v>
      </c>
      <c r="Q842" s="21" t="n">
        <f aca="false">O842+P842</f>
        <v>2613502</v>
      </c>
      <c r="R842" s="22" t="n">
        <f aca="false">IF(A842&lt;HlpChangeDate,HlpSharePre,HlpSharePost)</f>
        <v>0.01</v>
      </c>
      <c r="S842" s="21" t="n">
        <f aca="false">Q842*R842/(1-R842)</f>
        <v>26399.0101010101</v>
      </c>
      <c r="T842" s="19" t="n">
        <v>26399</v>
      </c>
      <c r="U842" s="21" t="n">
        <f aca="false">S842-T842</f>
        <v>0.0101010101025167</v>
      </c>
      <c r="V842" s="21" t="n">
        <f aca="false">Y842-O842*R842/(1-R842)</f>
        <v>128688.090909091</v>
      </c>
      <c r="W842" s="21" t="n">
        <f aca="false">Z842-P842*R842/(1-R842)</f>
        <v>29783.898989899</v>
      </c>
      <c r="X842" s="21" t="n">
        <f aca="false">S842+V842+W842</f>
        <v>184871</v>
      </c>
      <c r="Y842" s="19" t="n">
        <v>154172</v>
      </c>
      <c r="Z842" s="19" t="n">
        <v>30699</v>
      </c>
      <c r="AA842" s="19" t="n">
        <v>2613502</v>
      </c>
      <c r="AB842" s="29" t="n">
        <v>45.813</v>
      </c>
      <c r="AC842" s="29" t="n">
        <v>45.348</v>
      </c>
      <c r="AD842" s="24" t="n">
        <f aca="false">IFERROR(AA842/AC842,0)</f>
        <v>57632.1337214431</v>
      </c>
      <c r="AE842" s="25" t="n">
        <f aca="false">K842-Q842-X842</f>
        <v>1</v>
      </c>
      <c r="AF842" s="25" t="n">
        <f aca="false">Q842-AA842</f>
        <v>0</v>
      </c>
      <c r="AG842" s="19" t="n">
        <v>2255200.31363809</v>
      </c>
      <c r="AH842" s="26" t="n">
        <f aca="false">IFERROR(AG842/Q842,0)</f>
        <v>0.862903611184568</v>
      </c>
      <c r="AI842" s="27" t="n">
        <v>396262295.081967</v>
      </c>
      <c r="AJ842" s="26" t="n">
        <f aca="false">IF(AI842&gt;0,AprCoef/SQRT(AI842),0)</f>
        <v>0.0238115116149322</v>
      </c>
      <c r="AK842" s="24" t="n">
        <f aca="false">AI842*AJ842/365</f>
        <v>25850.9705257643</v>
      </c>
      <c r="AL842" s="24" t="n">
        <f aca="false">AD842</f>
        <v>57632.1337214431</v>
      </c>
      <c r="AM842" s="24" t="n">
        <f aca="false">AK842-AL842</f>
        <v>-31781.1631956788</v>
      </c>
      <c r="AN842" s="28" t="str">
        <f aca="false">IF(A842&gt;=Hip3LaunchDate,"YES","")</f>
        <v/>
      </c>
      <c r="AO842" s="28" t="str">
        <f aca="false">IF(A842&lt;Hip4LaunchDate,"pre-launch","live (zero-fee)")</f>
        <v>pre-launch</v>
      </c>
      <c r="AP842" s="20"/>
      <c r="AQ842" s="20"/>
      <c r="AR842" s="20"/>
    </row>
    <row r="843" customFormat="false" ht="15" hidden="false" customHeight="false" outlineLevel="0" collapsed="false">
      <c r="A843" s="18" t="n">
        <v>45904</v>
      </c>
      <c r="B843" s="19" t="n">
        <v>9353334458.86</v>
      </c>
      <c r="C843" s="19" t="n">
        <v>0</v>
      </c>
      <c r="D843" s="19" t="n">
        <v>304771297</v>
      </c>
      <c r="E843" s="21" t="n">
        <f aca="false">B843+C843</f>
        <v>9353334458.86</v>
      </c>
      <c r="F843" s="21" t="n">
        <f aca="false">E843+D843</f>
        <v>9658105755.86</v>
      </c>
      <c r="G843" s="22" t="n">
        <f aca="false">IFERROR(C843/E843,0)</f>
        <v>0</v>
      </c>
      <c r="H843" s="19" t="n">
        <v>3127302</v>
      </c>
      <c r="I843" s="19" t="n">
        <v>141848</v>
      </c>
      <c r="J843" s="19" t="n">
        <v>30630</v>
      </c>
      <c r="K843" s="21" t="n">
        <f aca="false">H843+I843</f>
        <v>3269150</v>
      </c>
      <c r="L843" s="20"/>
      <c r="M843" s="21" t="n">
        <f aca="false">H843-L843</f>
        <v>3127302</v>
      </c>
      <c r="N843" s="23" t="n">
        <f aca="false">IFERROR(M843/B843*10000,0)</f>
        <v>3.34351563472388</v>
      </c>
      <c r="O843" s="19" t="n">
        <v>2924261</v>
      </c>
      <c r="P843" s="19" t="n">
        <v>108106</v>
      </c>
      <c r="Q843" s="21" t="n">
        <f aca="false">O843+P843</f>
        <v>3032367</v>
      </c>
      <c r="R843" s="22" t="n">
        <f aca="false">IF(A843&lt;HlpChangeDate,HlpSharePre,HlpSharePost)</f>
        <v>0.01</v>
      </c>
      <c r="S843" s="21" t="n">
        <f aca="false">Q843*R843/(1-R843)</f>
        <v>30629.9696969697</v>
      </c>
      <c r="T843" s="19" t="n">
        <v>30630</v>
      </c>
      <c r="U843" s="21" t="n">
        <f aca="false">S843-T843</f>
        <v>-0.0303030303002743</v>
      </c>
      <c r="V843" s="21" t="n">
        <f aca="false">Y843-O843*R843/(1-R843)</f>
        <v>173503.01010101</v>
      </c>
      <c r="W843" s="21" t="n">
        <f aca="false">Z843-P843*R843/(1-R843)</f>
        <v>32650.0202020202</v>
      </c>
      <c r="X843" s="21" t="n">
        <f aca="false">S843+V843+W843</f>
        <v>236783</v>
      </c>
      <c r="Y843" s="19" t="n">
        <v>203041</v>
      </c>
      <c r="Z843" s="19" t="n">
        <v>33742</v>
      </c>
      <c r="AA843" s="19" t="n">
        <v>3032367</v>
      </c>
      <c r="AB843" s="29" t="n">
        <v>45.328</v>
      </c>
      <c r="AC843" s="29" t="n">
        <v>45.45675</v>
      </c>
      <c r="AD843" s="24" t="n">
        <f aca="false">IFERROR(AA843/AC843,0)</f>
        <v>66708.8386213269</v>
      </c>
      <c r="AE843" s="25" t="n">
        <f aca="false">K843-Q843-X843</f>
        <v>0</v>
      </c>
      <c r="AF843" s="25" t="n">
        <f aca="false">Q843-AA843</f>
        <v>0</v>
      </c>
      <c r="AG843" s="19" t="n">
        <v>2540673.73881996</v>
      </c>
      <c r="AH843" s="26" t="n">
        <f aca="false">IFERROR(AG843/Q843,0)</f>
        <v>0.837851664663267</v>
      </c>
      <c r="AI843" s="27" t="n">
        <v>396398907.103825</v>
      </c>
      <c r="AJ843" s="26" t="n">
        <f aca="false">IF(AI843&gt;0,AprCoef/SQRT(AI843),0)</f>
        <v>0.0238074081486985</v>
      </c>
      <c r="AK843" s="24" t="n">
        <f aca="false">AI843*AJ843/365</f>
        <v>25855.4262222433</v>
      </c>
      <c r="AL843" s="24" t="n">
        <f aca="false">AD843</f>
        <v>66708.8386213269</v>
      </c>
      <c r="AM843" s="24" t="n">
        <f aca="false">AK843-AL843</f>
        <v>-40853.4123990836</v>
      </c>
      <c r="AN843" s="28" t="str">
        <f aca="false">IF(A843&gt;=Hip3LaunchDate,"YES","")</f>
        <v/>
      </c>
      <c r="AO843" s="28" t="str">
        <f aca="false">IF(A843&lt;Hip4LaunchDate,"pre-launch","live (zero-fee)")</f>
        <v>pre-launch</v>
      </c>
      <c r="AP843" s="20"/>
      <c r="AQ843" s="20"/>
      <c r="AR843" s="20"/>
    </row>
    <row r="844" customFormat="false" ht="15" hidden="false" customHeight="false" outlineLevel="0" collapsed="false">
      <c r="A844" s="18" t="n">
        <v>45905</v>
      </c>
      <c r="B844" s="19" t="n">
        <v>13297495996.65</v>
      </c>
      <c r="C844" s="19" t="n">
        <v>0</v>
      </c>
      <c r="D844" s="19" t="n">
        <v>461258458</v>
      </c>
      <c r="E844" s="21" t="n">
        <f aca="false">B844+C844</f>
        <v>13297495996.65</v>
      </c>
      <c r="F844" s="21" t="n">
        <f aca="false">E844+D844</f>
        <v>13758754454.65</v>
      </c>
      <c r="G844" s="22" t="n">
        <f aca="false">IFERROR(C844/E844,0)</f>
        <v>0</v>
      </c>
      <c r="H844" s="19" t="n">
        <v>4257286</v>
      </c>
      <c r="I844" s="19" t="n">
        <v>202138</v>
      </c>
      <c r="J844" s="19" t="n">
        <v>41779</v>
      </c>
      <c r="K844" s="21" t="n">
        <f aca="false">H844+I844</f>
        <v>4459424</v>
      </c>
      <c r="L844" s="20"/>
      <c r="M844" s="21" t="n">
        <f aca="false">H844-L844</f>
        <v>4257286</v>
      </c>
      <c r="N844" s="23" t="n">
        <f aca="false">IFERROR(M844/B844*10000,0)</f>
        <v>3.20156967978973</v>
      </c>
      <c r="O844" s="19" t="n">
        <v>3983940</v>
      </c>
      <c r="P844" s="19" t="n">
        <v>152198</v>
      </c>
      <c r="Q844" s="21" t="n">
        <f aca="false">O844+P844</f>
        <v>4136138</v>
      </c>
      <c r="R844" s="22" t="n">
        <f aca="false">IF(A844&lt;HlpChangeDate,HlpSharePre,HlpSharePost)</f>
        <v>0.01</v>
      </c>
      <c r="S844" s="21" t="n">
        <f aca="false">Q844*R844/(1-R844)</f>
        <v>41779.1717171717</v>
      </c>
      <c r="T844" s="19" t="n">
        <v>41779</v>
      </c>
      <c r="U844" s="21" t="n">
        <f aca="false">S844-T844</f>
        <v>0.171717171717319</v>
      </c>
      <c r="V844" s="21" t="n">
        <f aca="false">Y844-O844*R844/(1-R844)</f>
        <v>233104.181818182</v>
      </c>
      <c r="W844" s="21" t="n">
        <f aca="false">Z844-P844*R844/(1-R844)</f>
        <v>48402.6464646465</v>
      </c>
      <c r="X844" s="21" t="n">
        <f aca="false">S844+V844+W844</f>
        <v>323286</v>
      </c>
      <c r="Y844" s="19" t="n">
        <v>273346</v>
      </c>
      <c r="Z844" s="19" t="n">
        <v>49940</v>
      </c>
      <c r="AA844" s="19" t="n">
        <v>4136138</v>
      </c>
      <c r="AB844" s="29" t="n">
        <v>47.197</v>
      </c>
      <c r="AC844" s="29" t="n">
        <v>46.34325</v>
      </c>
      <c r="AD844" s="24" t="n">
        <f aca="false">IFERROR(AA844/AC844,0)</f>
        <v>89250.0633857142</v>
      </c>
      <c r="AE844" s="25" t="n">
        <f aca="false">K844-Q844-X844</f>
        <v>0</v>
      </c>
      <c r="AF844" s="25" t="n">
        <f aca="false">Q844-AA844</f>
        <v>0</v>
      </c>
      <c r="AG844" s="19" t="n">
        <v>3456517.64302802</v>
      </c>
      <c r="AH844" s="26" t="n">
        <f aca="false">IFERROR(AG844/Q844,0)</f>
        <v>0.835687214263166</v>
      </c>
      <c r="AI844" s="27" t="n">
        <v>396535519.125683</v>
      </c>
      <c r="AJ844" s="26" t="n">
        <f aca="false">IF(AI844&gt;0,AprCoef/SQRT(AI844),0)</f>
        <v>0.0238033068031996</v>
      </c>
      <c r="AK844" s="24" t="n">
        <f aca="false">AI844*AJ844/365</f>
        <v>25859.881150999</v>
      </c>
      <c r="AL844" s="24" t="n">
        <f aca="false">AD844</f>
        <v>89250.0633857142</v>
      </c>
      <c r="AM844" s="24" t="n">
        <f aca="false">AK844-AL844</f>
        <v>-63390.1822347152</v>
      </c>
      <c r="AN844" s="28" t="str">
        <f aca="false">IF(A844&gt;=Hip3LaunchDate,"YES","")</f>
        <v/>
      </c>
      <c r="AO844" s="28" t="str">
        <f aca="false">IF(A844&lt;Hip4LaunchDate,"pre-launch","live (zero-fee)")</f>
        <v>pre-launch</v>
      </c>
      <c r="AP844" s="20"/>
      <c r="AQ844" s="20"/>
      <c r="AR844" s="20"/>
    </row>
    <row r="845" customFormat="false" ht="15" hidden="false" customHeight="false" outlineLevel="0" collapsed="false">
      <c r="A845" s="18" t="n">
        <v>45906</v>
      </c>
      <c r="B845" s="19" t="n">
        <v>3331797735.06</v>
      </c>
      <c r="C845" s="19" t="n">
        <v>0</v>
      </c>
      <c r="D845" s="19" t="n">
        <v>213962466</v>
      </c>
      <c r="E845" s="21" t="n">
        <f aca="false">B845+C845</f>
        <v>3331797735.06</v>
      </c>
      <c r="F845" s="21" t="n">
        <f aca="false">E845+D845</f>
        <v>3545760201.06</v>
      </c>
      <c r="G845" s="22" t="n">
        <f aca="false">IFERROR(C845/E845,0)</f>
        <v>0</v>
      </c>
      <c r="H845" s="19" t="n">
        <v>1238022</v>
      </c>
      <c r="I845" s="19" t="n">
        <v>113097</v>
      </c>
      <c r="J845" s="19" t="n">
        <v>12117</v>
      </c>
      <c r="K845" s="21" t="n">
        <f aca="false">H845+I845</f>
        <v>1351119</v>
      </c>
      <c r="L845" s="20"/>
      <c r="M845" s="21" t="n">
        <f aca="false">H845-L845</f>
        <v>1238022</v>
      </c>
      <c r="N845" s="23" t="n">
        <f aca="false">IFERROR(M845/B845*10000,0)</f>
        <v>3.71577778258411</v>
      </c>
      <c r="O845" s="19" t="n">
        <v>1113013</v>
      </c>
      <c r="P845" s="19" t="n">
        <v>86566</v>
      </c>
      <c r="Q845" s="21" t="n">
        <f aca="false">O845+P845</f>
        <v>1199579</v>
      </c>
      <c r="R845" s="22" t="n">
        <f aca="false">IF(A845&lt;HlpChangeDate,HlpSharePre,HlpSharePost)</f>
        <v>0.01</v>
      </c>
      <c r="S845" s="21" t="n">
        <f aca="false">Q845*R845/(1-R845)</f>
        <v>12116.9595959596</v>
      </c>
      <c r="T845" s="19" t="n">
        <v>12117</v>
      </c>
      <c r="U845" s="21" t="n">
        <f aca="false">S845-T845</f>
        <v>-0.040404040402791</v>
      </c>
      <c r="V845" s="21" t="n">
        <f aca="false">Y845-O845*R845/(1-R845)</f>
        <v>113767.444444444</v>
      </c>
      <c r="W845" s="21" t="n">
        <f aca="false">Z845-P845*R845/(1-R845)</f>
        <v>25656.595959596</v>
      </c>
      <c r="X845" s="21" t="n">
        <f aca="false">S845+V845+W845</f>
        <v>151541</v>
      </c>
      <c r="Y845" s="19" t="n">
        <v>125010</v>
      </c>
      <c r="Z845" s="19" t="n">
        <v>26531</v>
      </c>
      <c r="AA845" s="19" t="n">
        <v>1199579</v>
      </c>
      <c r="AB845" s="29" t="n">
        <v>45.988</v>
      </c>
      <c r="AC845" s="29" t="n">
        <v>46.6025</v>
      </c>
      <c r="AD845" s="24" t="n">
        <f aca="false">IFERROR(AA845/AC845,0)</f>
        <v>25740.6576900381</v>
      </c>
      <c r="AE845" s="25" t="n">
        <f aca="false">K845-Q845-X845</f>
        <v>-1</v>
      </c>
      <c r="AF845" s="25" t="n">
        <f aca="false">Q845-AA845</f>
        <v>0</v>
      </c>
      <c r="AG845" s="19" t="n">
        <v>1011291.160411</v>
      </c>
      <c r="AH845" s="26" t="n">
        <f aca="false">IFERROR(AG845/Q845,0)</f>
        <v>0.84303839964771</v>
      </c>
      <c r="AI845" s="27" t="n">
        <v>396672131.147541</v>
      </c>
      <c r="AJ845" s="26" t="n">
        <f aca="false">IF(AI845&gt;0,AprCoef/SQRT(AI845),0)</f>
        <v>0.0237992075766093</v>
      </c>
      <c r="AK845" s="24" t="n">
        <f aca="false">AI845*AJ845/365</f>
        <v>25864.3353124283</v>
      </c>
      <c r="AL845" s="24" t="n">
        <f aca="false">AD845</f>
        <v>25740.6576900381</v>
      </c>
      <c r="AM845" s="24" t="n">
        <f aca="false">AK845-AL845</f>
        <v>123.677622390198</v>
      </c>
      <c r="AN845" s="28" t="str">
        <f aca="false">IF(A845&gt;=Hip3LaunchDate,"YES","")</f>
        <v/>
      </c>
      <c r="AO845" s="28" t="str">
        <f aca="false">IF(A845&lt;Hip4LaunchDate,"pre-launch","live (zero-fee)")</f>
        <v>pre-launch</v>
      </c>
      <c r="AP845" s="20"/>
      <c r="AQ845" s="20"/>
      <c r="AR845" s="20"/>
    </row>
    <row r="846" customFormat="false" ht="15" hidden="false" customHeight="false" outlineLevel="0" collapsed="false">
      <c r="A846" s="18" t="n">
        <v>45907</v>
      </c>
      <c r="B846" s="19" t="n">
        <v>3844405859.28</v>
      </c>
      <c r="C846" s="19" t="n">
        <v>0</v>
      </c>
      <c r="D846" s="19" t="n">
        <v>238668985</v>
      </c>
      <c r="E846" s="21" t="n">
        <f aca="false">B846+C846</f>
        <v>3844405859.28</v>
      </c>
      <c r="F846" s="21" t="n">
        <f aca="false">E846+D846</f>
        <v>4083074844.28</v>
      </c>
      <c r="G846" s="22" t="n">
        <f aca="false">IFERROR(C846/E846,0)</f>
        <v>0</v>
      </c>
      <c r="H846" s="19" t="n">
        <v>1377404</v>
      </c>
      <c r="I846" s="19" t="n">
        <v>140516</v>
      </c>
      <c r="J846" s="19" t="n">
        <v>13448</v>
      </c>
      <c r="K846" s="21" t="n">
        <f aca="false">H846+I846</f>
        <v>1517920</v>
      </c>
      <c r="L846" s="20"/>
      <c r="M846" s="21" t="n">
        <f aca="false">H846-L846</f>
        <v>1377404</v>
      </c>
      <c r="N846" s="23" t="n">
        <f aca="false">IFERROR(M846/B846*10000,0)</f>
        <v>3.58287873449961</v>
      </c>
      <c r="O846" s="19" t="n">
        <v>1224269</v>
      </c>
      <c r="P846" s="19" t="n">
        <v>107118</v>
      </c>
      <c r="Q846" s="21" t="n">
        <f aca="false">O846+P846</f>
        <v>1331387</v>
      </c>
      <c r="R846" s="22" t="n">
        <f aca="false">IF(A846&lt;HlpChangeDate,HlpSharePre,HlpSharePost)</f>
        <v>0.01</v>
      </c>
      <c r="S846" s="21" t="n">
        <f aca="false">Q846*R846/(1-R846)</f>
        <v>13448.3535353535</v>
      </c>
      <c r="T846" s="19" t="n">
        <v>13448</v>
      </c>
      <c r="U846" s="21" t="n">
        <f aca="false">S846-T846</f>
        <v>0.353535353537154</v>
      </c>
      <c r="V846" s="21" t="n">
        <f aca="false">Y846-O846*R846/(1-R846)</f>
        <v>140768.646464646</v>
      </c>
      <c r="W846" s="21" t="n">
        <f aca="false">Z846-P846*R846/(1-R846)</f>
        <v>32316</v>
      </c>
      <c r="X846" s="21" t="n">
        <f aca="false">S846+V846+W846</f>
        <v>186533</v>
      </c>
      <c r="Y846" s="19" t="n">
        <v>153135</v>
      </c>
      <c r="Z846" s="19" t="n">
        <v>33398</v>
      </c>
      <c r="AA846" s="19" t="n">
        <v>1331387</v>
      </c>
      <c r="AB846" s="29" t="n">
        <v>47.094</v>
      </c>
      <c r="AC846" s="29" t="n">
        <v>46.68475</v>
      </c>
      <c r="AD846" s="24" t="n">
        <f aca="false">IFERROR(AA846/AC846,0)</f>
        <v>28518.6704437745</v>
      </c>
      <c r="AE846" s="25" t="n">
        <f aca="false">K846-Q846-X846</f>
        <v>0</v>
      </c>
      <c r="AF846" s="25" t="n">
        <f aca="false">Q846-AA846</f>
        <v>0</v>
      </c>
      <c r="AG846" s="19" t="n">
        <v>1043733.72528195</v>
      </c>
      <c r="AH846" s="26" t="n">
        <f aca="false">IFERROR(AG846/Q846,0)</f>
        <v>0.783944657174777</v>
      </c>
      <c r="AI846" s="27" t="n">
        <v>396808743.169399</v>
      </c>
      <c r="AJ846" s="26" t="n">
        <f aca="false">IF(AI846&gt;0,AprCoef/SQRT(AI846),0)</f>
        <v>0.0237951104671039</v>
      </c>
      <c r="AK846" s="24" t="n">
        <f aca="false">AI846*AJ846/365</f>
        <v>25868.7887069274</v>
      </c>
      <c r="AL846" s="24" t="n">
        <f aca="false">AD846</f>
        <v>28518.6704437745</v>
      </c>
      <c r="AM846" s="24" t="n">
        <f aca="false">AK846-AL846</f>
        <v>-2649.88173684707</v>
      </c>
      <c r="AN846" s="28" t="str">
        <f aca="false">IF(A846&gt;=Hip3LaunchDate,"YES","")</f>
        <v/>
      </c>
      <c r="AO846" s="28" t="str">
        <f aca="false">IF(A846&lt;Hip4LaunchDate,"pre-launch","live (zero-fee)")</f>
        <v>pre-launch</v>
      </c>
      <c r="AP846" s="20"/>
      <c r="AQ846" s="20"/>
      <c r="AR846" s="20"/>
    </row>
    <row r="847" customFormat="false" ht="15" hidden="false" customHeight="false" outlineLevel="0" collapsed="false">
      <c r="A847" s="18" t="n">
        <v>45908</v>
      </c>
      <c r="B847" s="19" t="n">
        <v>9243638471.37</v>
      </c>
      <c r="C847" s="19" t="n">
        <v>0</v>
      </c>
      <c r="D847" s="19" t="n">
        <v>557899557</v>
      </c>
      <c r="E847" s="21" t="n">
        <f aca="false">B847+C847</f>
        <v>9243638471.37</v>
      </c>
      <c r="F847" s="21" t="n">
        <f aca="false">E847+D847</f>
        <v>9801538028.37</v>
      </c>
      <c r="G847" s="22" t="n">
        <f aca="false">IFERROR(C847/E847,0)</f>
        <v>0</v>
      </c>
      <c r="H847" s="19" t="n">
        <v>3311465</v>
      </c>
      <c r="I847" s="19" t="n">
        <v>273056</v>
      </c>
      <c r="J847" s="19" t="n">
        <v>32724</v>
      </c>
      <c r="K847" s="21" t="n">
        <f aca="false">H847+I847</f>
        <v>3584521</v>
      </c>
      <c r="L847" s="20"/>
      <c r="M847" s="21" t="n">
        <f aca="false">H847-L847</f>
        <v>3311465</v>
      </c>
      <c r="N847" s="23" t="n">
        <f aca="false">IFERROR(M847/B847*10000,0)</f>
        <v>3.5824259140559</v>
      </c>
      <c r="O847" s="19" t="n">
        <v>3022150</v>
      </c>
      <c r="P847" s="19" t="n">
        <v>217527</v>
      </c>
      <c r="Q847" s="21" t="n">
        <f aca="false">O847+P847</f>
        <v>3239677</v>
      </c>
      <c r="R847" s="22" t="n">
        <f aca="false">IF(A847&lt;HlpChangeDate,HlpSharePre,HlpSharePost)</f>
        <v>0.01</v>
      </c>
      <c r="S847" s="21" t="n">
        <f aca="false">Q847*R847/(1-R847)</f>
        <v>32724.0101010101</v>
      </c>
      <c r="T847" s="19" t="n">
        <v>32724</v>
      </c>
      <c r="U847" s="21" t="n">
        <f aca="false">S847-T847</f>
        <v>0.0101010101025167</v>
      </c>
      <c r="V847" s="21" t="n">
        <f aca="false">Y847-O847*R847/(1-R847)</f>
        <v>258787.232323232</v>
      </c>
      <c r="W847" s="21" t="n">
        <f aca="false">Z847-P847*R847/(1-R847)</f>
        <v>53331.7575757576</v>
      </c>
      <c r="X847" s="21" t="n">
        <f aca="false">S847+V847+W847</f>
        <v>344843</v>
      </c>
      <c r="Y847" s="19" t="n">
        <v>289314</v>
      </c>
      <c r="Z847" s="19" t="n">
        <v>55529</v>
      </c>
      <c r="AA847" s="19" t="n">
        <v>3239677</v>
      </c>
      <c r="AB847" s="29" t="n">
        <v>50.887</v>
      </c>
      <c r="AC847" s="29" t="n">
        <v>49.21225</v>
      </c>
      <c r="AD847" s="24" t="n">
        <f aca="false">IFERROR(AA847/AC847,0)</f>
        <v>65830.7027213753</v>
      </c>
      <c r="AE847" s="25" t="n">
        <f aca="false">K847-Q847-X847</f>
        <v>1</v>
      </c>
      <c r="AF847" s="25" t="n">
        <f aca="false">Q847-AA847</f>
        <v>0</v>
      </c>
      <c r="AG847" s="19" t="n">
        <v>2707950.01624405</v>
      </c>
      <c r="AH847" s="26" t="n">
        <f aca="false">IFERROR(AG847/Q847,0)</f>
        <v>0.835870371103062</v>
      </c>
      <c r="AI847" s="27" t="n">
        <v>396945355.191257</v>
      </c>
      <c r="AJ847" s="26" t="n">
        <f aca="false">IF(AI847&gt;0,AprCoef/SQRT(AI847),0)</f>
        <v>0.0237910154728616</v>
      </c>
      <c r="AK847" s="24" t="n">
        <f aca="false">AI847*AJ847/365</f>
        <v>25873.2413348924</v>
      </c>
      <c r="AL847" s="24" t="n">
        <f aca="false">AD847</f>
        <v>65830.7027213753</v>
      </c>
      <c r="AM847" s="24" t="n">
        <f aca="false">AK847-AL847</f>
        <v>-39957.4613864829</v>
      </c>
      <c r="AN847" s="28" t="str">
        <f aca="false">IF(A847&gt;=Hip3LaunchDate,"YES","")</f>
        <v/>
      </c>
      <c r="AO847" s="28" t="str">
        <f aca="false">IF(A847&lt;Hip4LaunchDate,"pre-launch","live (zero-fee)")</f>
        <v>pre-launch</v>
      </c>
      <c r="AP847" s="20"/>
      <c r="AQ847" s="20"/>
      <c r="AR847" s="20"/>
    </row>
    <row r="848" customFormat="false" ht="15" hidden="false" customHeight="false" outlineLevel="0" collapsed="false">
      <c r="A848" s="18" t="n">
        <v>45909</v>
      </c>
      <c r="B848" s="19" t="n">
        <v>10021381731.79</v>
      </c>
      <c r="C848" s="19" t="n">
        <v>0</v>
      </c>
      <c r="D848" s="19" t="n">
        <v>709494359</v>
      </c>
      <c r="E848" s="21" t="n">
        <f aca="false">B848+C848</f>
        <v>10021381731.79</v>
      </c>
      <c r="F848" s="21" t="n">
        <f aca="false">E848+D848</f>
        <v>10730876090.79</v>
      </c>
      <c r="G848" s="22" t="n">
        <f aca="false">IFERROR(C848/E848,0)</f>
        <v>0</v>
      </c>
      <c r="H848" s="19" t="n">
        <v>3652112</v>
      </c>
      <c r="I848" s="19" t="n">
        <v>413034</v>
      </c>
      <c r="J848" s="19" t="n">
        <v>36188</v>
      </c>
      <c r="K848" s="21" t="n">
        <f aca="false">H848+I848</f>
        <v>4065146</v>
      </c>
      <c r="L848" s="20"/>
      <c r="M848" s="21" t="n">
        <f aca="false">H848-L848</f>
        <v>3652112</v>
      </c>
      <c r="N848" s="23" t="n">
        <f aca="false">IFERROR(M848/B848*10000,0)</f>
        <v>3.64431981311989</v>
      </c>
      <c r="O848" s="19" t="n">
        <v>3240005</v>
      </c>
      <c r="P848" s="19" t="n">
        <v>342654</v>
      </c>
      <c r="Q848" s="21" t="n">
        <f aca="false">O848+P848</f>
        <v>3582659</v>
      </c>
      <c r="R848" s="22" t="n">
        <f aca="false">IF(A848&lt;HlpChangeDate,HlpSharePre,HlpSharePost)</f>
        <v>0.01</v>
      </c>
      <c r="S848" s="21" t="n">
        <f aca="false">Q848*R848/(1-R848)</f>
        <v>36188.4747474748</v>
      </c>
      <c r="T848" s="19" t="n">
        <v>36188</v>
      </c>
      <c r="U848" s="21" t="n">
        <f aca="false">S848-T848</f>
        <v>0.474747474749165</v>
      </c>
      <c r="V848" s="21" t="n">
        <f aca="false">Y848-O848*R848/(1-R848)</f>
        <v>379379.676767677</v>
      </c>
      <c r="W848" s="21" t="n">
        <f aca="false">Z848-P848*R848/(1-R848)</f>
        <v>66918.8484848485</v>
      </c>
      <c r="X848" s="21" t="n">
        <f aca="false">S848+V848+W848</f>
        <v>482487</v>
      </c>
      <c r="Y848" s="19" t="n">
        <v>412107</v>
      </c>
      <c r="Z848" s="19" t="n">
        <v>70380</v>
      </c>
      <c r="AA848" s="19" t="n">
        <v>3582659</v>
      </c>
      <c r="AB848" s="29" t="n">
        <v>53.257</v>
      </c>
      <c r="AC848" s="29" t="n">
        <v>52.4585</v>
      </c>
      <c r="AD848" s="24" t="n">
        <f aca="false">IFERROR(AA848/AC848,0)</f>
        <v>68295.1094674838</v>
      </c>
      <c r="AE848" s="25" t="n">
        <f aca="false">K848-Q848-X848</f>
        <v>0</v>
      </c>
      <c r="AF848" s="25" t="n">
        <f aca="false">Q848-AA848</f>
        <v>0</v>
      </c>
      <c r="AG848" s="19" t="n">
        <v>2920158.15105593</v>
      </c>
      <c r="AH848" s="26" t="n">
        <f aca="false">IFERROR(AG848/Q848,0)</f>
        <v>0.815081243025343</v>
      </c>
      <c r="AI848" s="27" t="n">
        <v>397081967.213115</v>
      </c>
      <c r="AJ848" s="26" t="n">
        <f aca="false">IF(AI848&gt;0,AprCoef/SQRT(AI848),0)</f>
        <v>0.0237869225920629</v>
      </c>
      <c r="AK848" s="24" t="n">
        <f aca="false">AI848*AJ848/365</f>
        <v>25877.693196719</v>
      </c>
      <c r="AL848" s="24" t="n">
        <f aca="false">AD848</f>
        <v>68295.1094674838</v>
      </c>
      <c r="AM848" s="24" t="n">
        <f aca="false">AK848-AL848</f>
        <v>-42417.4162707649</v>
      </c>
      <c r="AN848" s="28" t="str">
        <f aca="false">IF(A848&gt;=Hip3LaunchDate,"YES","")</f>
        <v/>
      </c>
      <c r="AO848" s="28" t="str">
        <f aca="false">IF(A848&lt;Hip4LaunchDate,"pre-launch","live (zero-fee)")</f>
        <v>pre-launch</v>
      </c>
      <c r="AP848" s="20"/>
      <c r="AQ848" s="20"/>
      <c r="AR848" s="20"/>
    </row>
    <row r="849" customFormat="false" ht="15" hidden="false" customHeight="false" outlineLevel="0" collapsed="false">
      <c r="A849" s="18" t="n">
        <v>45910</v>
      </c>
      <c r="B849" s="19" t="n">
        <v>10548513640.87</v>
      </c>
      <c r="C849" s="19" t="n">
        <v>0</v>
      </c>
      <c r="D849" s="19" t="n">
        <v>713998161</v>
      </c>
      <c r="E849" s="21" t="n">
        <f aca="false">B849+C849</f>
        <v>10548513640.87</v>
      </c>
      <c r="F849" s="21" t="n">
        <f aca="false">E849+D849</f>
        <v>11262511801.87</v>
      </c>
      <c r="G849" s="22" t="n">
        <f aca="false">IFERROR(C849/E849,0)</f>
        <v>0</v>
      </c>
      <c r="H849" s="19" t="n">
        <v>3898081</v>
      </c>
      <c r="I849" s="19" t="n">
        <v>460271</v>
      </c>
      <c r="J849" s="19" t="n">
        <v>38675</v>
      </c>
      <c r="K849" s="21" t="n">
        <f aca="false">H849+I849</f>
        <v>4358352</v>
      </c>
      <c r="L849" s="20"/>
      <c r="M849" s="21" t="n">
        <f aca="false">H849-L849</f>
        <v>3898081</v>
      </c>
      <c r="N849" s="23" t="n">
        <f aca="false">IFERROR(M849/B849*10000,0)</f>
        <v>3.69538413914257</v>
      </c>
      <c r="O849" s="19" t="n">
        <v>3476686</v>
      </c>
      <c r="P849" s="19" t="n">
        <v>352169</v>
      </c>
      <c r="Q849" s="21" t="n">
        <f aca="false">O849+P849</f>
        <v>3828855</v>
      </c>
      <c r="R849" s="22" t="n">
        <f aca="false">IF(A849&lt;HlpChangeDate,HlpSharePre,HlpSharePost)</f>
        <v>0.01</v>
      </c>
      <c r="S849" s="21" t="n">
        <f aca="false">Q849*R849/(1-R849)</f>
        <v>38675.303030303</v>
      </c>
      <c r="T849" s="19" t="n">
        <v>38675</v>
      </c>
      <c r="U849" s="21" t="n">
        <f aca="false">S849-T849</f>
        <v>0.303030303031846</v>
      </c>
      <c r="V849" s="21" t="n">
        <f aca="false">Y849-O849*R849/(1-R849)</f>
        <v>386276.95959596</v>
      </c>
      <c r="W849" s="21" t="n">
        <f aca="false">Z849-P849*R849/(1-R849)</f>
        <v>104544.737373737</v>
      </c>
      <c r="X849" s="21" t="n">
        <f aca="false">S849+V849+W849</f>
        <v>529497</v>
      </c>
      <c r="Y849" s="19" t="n">
        <v>421395</v>
      </c>
      <c r="Z849" s="19" t="n">
        <v>108102</v>
      </c>
      <c r="AA849" s="19" t="n">
        <v>3828855</v>
      </c>
      <c r="AB849" s="29" t="n">
        <v>55.437</v>
      </c>
      <c r="AC849" s="29" t="n">
        <v>54.309</v>
      </c>
      <c r="AD849" s="24" t="n">
        <f aca="false">IFERROR(AA849/AC849,0)</f>
        <v>70501.2981273822</v>
      </c>
      <c r="AE849" s="25" t="n">
        <f aca="false">K849-Q849-X849</f>
        <v>0</v>
      </c>
      <c r="AF849" s="25" t="n">
        <f aca="false">Q849-AA849</f>
        <v>0</v>
      </c>
      <c r="AG849" s="19" t="n">
        <v>3106399.44103205</v>
      </c>
      <c r="AH849" s="26" t="n">
        <f aca="false">IFERROR(AG849/Q849,0)</f>
        <v>0.811312896683748</v>
      </c>
      <c r="AI849" s="27" t="n">
        <v>397218579.234973</v>
      </c>
      <c r="AJ849" s="26" t="n">
        <f aca="false">IF(AI849&gt;0,AprCoef/SQRT(AI849),0)</f>
        <v>0.0237828318228906</v>
      </c>
      <c r="AK849" s="24" t="n">
        <f aca="false">AI849*AJ849/365</f>
        <v>25882.1442928024</v>
      </c>
      <c r="AL849" s="24" t="n">
        <f aca="false">AD849</f>
        <v>70501.2981273822</v>
      </c>
      <c r="AM849" s="24" t="n">
        <f aca="false">AK849-AL849</f>
        <v>-44619.1538345798</v>
      </c>
      <c r="AN849" s="28" t="str">
        <f aca="false">IF(A849&gt;=Hip3LaunchDate,"YES","")</f>
        <v/>
      </c>
      <c r="AO849" s="28" t="str">
        <f aca="false">IF(A849&lt;Hip4LaunchDate,"pre-launch","live (zero-fee)")</f>
        <v>pre-launch</v>
      </c>
      <c r="AP849" s="20"/>
      <c r="AQ849" s="20"/>
      <c r="AR849" s="20"/>
    </row>
    <row r="850" customFormat="false" ht="15" hidden="false" customHeight="false" outlineLevel="0" collapsed="false">
      <c r="A850" s="18" t="n">
        <v>45911</v>
      </c>
      <c r="B850" s="19" t="n">
        <v>10439854514.6</v>
      </c>
      <c r="C850" s="19" t="n">
        <v>0</v>
      </c>
      <c r="D850" s="19" t="n">
        <v>1143011983</v>
      </c>
      <c r="E850" s="21" t="n">
        <f aca="false">B850+C850</f>
        <v>10439854514.6</v>
      </c>
      <c r="F850" s="21" t="n">
        <f aca="false">E850+D850</f>
        <v>11582866497.6</v>
      </c>
      <c r="G850" s="22" t="n">
        <f aca="false">IFERROR(C850/E850,0)</f>
        <v>0</v>
      </c>
      <c r="H850" s="19" t="n">
        <v>4131310</v>
      </c>
      <c r="I850" s="19" t="n">
        <v>877218</v>
      </c>
      <c r="J850" s="19" t="n">
        <v>41854</v>
      </c>
      <c r="K850" s="21" t="n">
        <f aca="false">H850+I850</f>
        <v>5008528</v>
      </c>
      <c r="L850" s="20"/>
      <c r="M850" s="21" t="n">
        <f aca="false">H850-L850</f>
        <v>4131310</v>
      </c>
      <c r="N850" s="23" t="n">
        <f aca="false">IFERROR(M850/B850*10000,0)</f>
        <v>3.95724863236592</v>
      </c>
      <c r="O850" s="19" t="n">
        <v>3468534</v>
      </c>
      <c r="P850" s="19" t="n">
        <v>675011</v>
      </c>
      <c r="Q850" s="21" t="n">
        <f aca="false">O850+P850</f>
        <v>4143545</v>
      </c>
      <c r="R850" s="22" t="n">
        <f aca="false">IF(A850&lt;HlpChangeDate,HlpSharePre,HlpSharePost)</f>
        <v>0.01</v>
      </c>
      <c r="S850" s="21" t="n">
        <f aca="false">Q850*R850/(1-R850)</f>
        <v>41853.9898989899</v>
      </c>
      <c r="T850" s="19" t="n">
        <v>41854</v>
      </c>
      <c r="U850" s="21" t="n">
        <f aca="false">S850-T850</f>
        <v>-0.0101010100988788</v>
      </c>
      <c r="V850" s="21" t="n">
        <f aca="false">Y850-O850*R850/(1-R850)</f>
        <v>627740.303030303</v>
      </c>
      <c r="W850" s="21" t="n">
        <f aca="false">Z850-P850*R850/(1-R850)</f>
        <v>195388.707070707</v>
      </c>
      <c r="X850" s="21" t="n">
        <f aca="false">S850+V850+W850</f>
        <v>864983</v>
      </c>
      <c r="Y850" s="19" t="n">
        <v>662776</v>
      </c>
      <c r="Z850" s="19" t="n">
        <v>202207</v>
      </c>
      <c r="AA850" s="19" t="n">
        <v>4143545</v>
      </c>
      <c r="AB850" s="29" t="n">
        <v>57.013</v>
      </c>
      <c r="AC850" s="29" t="n">
        <v>55.6485</v>
      </c>
      <c r="AD850" s="24" t="n">
        <f aca="false">IFERROR(AA850/AC850,0)</f>
        <v>74459.2396919953</v>
      </c>
      <c r="AE850" s="25" t="n">
        <f aca="false">K850-Q850-X850</f>
        <v>0</v>
      </c>
      <c r="AF850" s="25" t="n">
        <f aca="false">Q850-AA850</f>
        <v>0</v>
      </c>
      <c r="AG850" s="19" t="n">
        <v>3172444.57331502</v>
      </c>
      <c r="AH850" s="26" t="n">
        <f aca="false">IFERROR(AG850/Q850,0)</f>
        <v>0.765635361342769</v>
      </c>
      <c r="AI850" s="27" t="n">
        <v>397355191.256831</v>
      </c>
      <c r="AJ850" s="26" t="n">
        <f aca="false">IF(AI850&gt;0,AprCoef/SQRT(AI850),0)</f>
        <v>0.0237787431635294</v>
      </c>
      <c r="AK850" s="24" t="n">
        <f aca="false">AI850*AJ850/365</f>
        <v>25886.5946235378</v>
      </c>
      <c r="AL850" s="24" t="n">
        <f aca="false">AD850</f>
        <v>74459.2396919953</v>
      </c>
      <c r="AM850" s="24" t="n">
        <f aca="false">AK850-AL850</f>
        <v>-48572.6450684575</v>
      </c>
      <c r="AN850" s="28" t="str">
        <f aca="false">IF(A850&gt;=Hip3LaunchDate,"YES","")</f>
        <v/>
      </c>
      <c r="AO850" s="28" t="str">
        <f aca="false">IF(A850&lt;Hip4LaunchDate,"pre-launch","live (zero-fee)")</f>
        <v>pre-launch</v>
      </c>
      <c r="AP850" s="20"/>
      <c r="AQ850" s="20"/>
      <c r="AR850" s="20"/>
    </row>
    <row r="851" customFormat="false" ht="15" hidden="false" customHeight="false" outlineLevel="0" collapsed="false">
      <c r="A851" s="18" t="n">
        <v>45912</v>
      </c>
      <c r="B851" s="19" t="n">
        <v>11233080580.33</v>
      </c>
      <c r="C851" s="19" t="n">
        <v>0</v>
      </c>
      <c r="D851" s="19" t="n">
        <v>1074889163</v>
      </c>
      <c r="E851" s="21" t="n">
        <f aca="false">B851+C851</f>
        <v>11233080580.33</v>
      </c>
      <c r="F851" s="21" t="n">
        <f aca="false">E851+D851</f>
        <v>12307969743.33</v>
      </c>
      <c r="G851" s="22" t="n">
        <f aca="false">IFERROR(C851/E851,0)</f>
        <v>0</v>
      </c>
      <c r="H851" s="19" t="n">
        <v>4642326</v>
      </c>
      <c r="I851" s="19" t="n">
        <v>932625</v>
      </c>
      <c r="J851" s="19" t="n">
        <v>46740</v>
      </c>
      <c r="K851" s="21" t="n">
        <f aca="false">H851+I851</f>
        <v>5574951</v>
      </c>
      <c r="L851" s="20"/>
      <c r="M851" s="21" t="n">
        <f aca="false">H851-L851</f>
        <v>4642326</v>
      </c>
      <c r="N851" s="23" t="n">
        <f aca="false">IFERROR(M851/B851*10000,0)</f>
        <v>4.13272740883661</v>
      </c>
      <c r="O851" s="19" t="n">
        <v>3907480</v>
      </c>
      <c r="P851" s="19" t="n">
        <v>719743</v>
      </c>
      <c r="Q851" s="21" t="n">
        <f aca="false">O851+P851</f>
        <v>4627223</v>
      </c>
      <c r="R851" s="22" t="n">
        <f aca="false">IF(A851&lt;HlpChangeDate,HlpSharePre,HlpSharePost)</f>
        <v>0.01</v>
      </c>
      <c r="S851" s="21" t="n">
        <f aca="false">Q851*R851/(1-R851)</f>
        <v>46739.6262626263</v>
      </c>
      <c r="T851" s="19" t="n">
        <v>46740</v>
      </c>
      <c r="U851" s="21" t="n">
        <f aca="false">S851-T851</f>
        <v>-0.373737373731274</v>
      </c>
      <c r="V851" s="21" t="n">
        <f aca="false">Y851-O851*R851/(1-R851)</f>
        <v>695376.505050505</v>
      </c>
      <c r="W851" s="21" t="n">
        <f aca="false">Z851-P851*R851/(1-R851)</f>
        <v>205611.868686869</v>
      </c>
      <c r="X851" s="21" t="n">
        <f aca="false">S851+V851+W851</f>
        <v>947728</v>
      </c>
      <c r="Y851" s="19" t="n">
        <v>734846</v>
      </c>
      <c r="Z851" s="19" t="n">
        <v>212882</v>
      </c>
      <c r="AA851" s="19" t="n">
        <v>4627223</v>
      </c>
      <c r="AB851" s="29" t="n">
        <v>55.253</v>
      </c>
      <c r="AC851" s="29" t="n">
        <v>56.09975</v>
      </c>
      <c r="AD851" s="24" t="n">
        <f aca="false">IFERROR(AA851/AC851,0)</f>
        <v>82482.0609717512</v>
      </c>
      <c r="AE851" s="25" t="n">
        <f aca="false">K851-Q851-X851</f>
        <v>0</v>
      </c>
      <c r="AF851" s="25" t="n">
        <f aca="false">Q851-AA851</f>
        <v>0</v>
      </c>
      <c r="AG851" s="19" t="n">
        <v>3575701.30262697</v>
      </c>
      <c r="AH851" s="26" t="n">
        <f aca="false">IFERROR(AG851/Q851,0)</f>
        <v>0.772753183200154</v>
      </c>
      <c r="AI851" s="27" t="n">
        <v>397491803.278689</v>
      </c>
      <c r="AJ851" s="26" t="n">
        <f aca="false">IF(AI851&gt;0,AprCoef/SQRT(AI851),0)</f>
        <v>0.0237746566121666</v>
      </c>
      <c r="AK851" s="24" t="n">
        <f aca="false">AI851*AJ851/365</f>
        <v>25891.0441893197</v>
      </c>
      <c r="AL851" s="24" t="n">
        <f aca="false">AD851</f>
        <v>82482.0609717512</v>
      </c>
      <c r="AM851" s="24" t="n">
        <f aca="false">AK851-AL851</f>
        <v>-56591.0167824315</v>
      </c>
      <c r="AN851" s="28" t="str">
        <f aca="false">IF(A851&gt;=Hip3LaunchDate,"YES","")</f>
        <v/>
      </c>
      <c r="AO851" s="28" t="str">
        <f aca="false">IF(A851&lt;Hip4LaunchDate,"pre-launch","live (zero-fee)")</f>
        <v>pre-launch</v>
      </c>
      <c r="AP851" s="20"/>
      <c r="AQ851" s="20"/>
      <c r="AR851" s="20"/>
    </row>
    <row r="852" customFormat="false" ht="15" hidden="false" customHeight="false" outlineLevel="0" collapsed="false">
      <c r="A852" s="18" t="n">
        <v>45913</v>
      </c>
      <c r="B852" s="19" t="n">
        <v>7135097960.12</v>
      </c>
      <c r="C852" s="19" t="n">
        <v>0</v>
      </c>
      <c r="D852" s="19" t="n">
        <v>933188889</v>
      </c>
      <c r="E852" s="21" t="n">
        <f aca="false">B852+C852</f>
        <v>7135097960.12</v>
      </c>
      <c r="F852" s="21" t="n">
        <f aca="false">E852+D852</f>
        <v>8068286849.12</v>
      </c>
      <c r="G852" s="22" t="n">
        <f aca="false">IFERROR(C852/E852,0)</f>
        <v>0</v>
      </c>
      <c r="H852" s="19" t="n">
        <v>3194366</v>
      </c>
      <c r="I852" s="19" t="n">
        <v>872004</v>
      </c>
      <c r="J852" s="19" t="n">
        <v>32557</v>
      </c>
      <c r="K852" s="21" t="n">
        <f aca="false">H852+I852</f>
        <v>4066370</v>
      </c>
      <c r="L852" s="20"/>
      <c r="M852" s="21" t="n">
        <f aca="false">H852-L852</f>
        <v>3194366</v>
      </c>
      <c r="N852" s="23" t="n">
        <f aca="false">IFERROR(M852/B852*10000,0)</f>
        <v>4.47697567413115</v>
      </c>
      <c r="O852" s="19" t="n">
        <v>2555436</v>
      </c>
      <c r="P852" s="19" t="n">
        <v>667731</v>
      </c>
      <c r="Q852" s="21" t="n">
        <f aca="false">O852+P852</f>
        <v>3223167</v>
      </c>
      <c r="R852" s="22" t="n">
        <f aca="false">IF(A852&lt;HlpChangeDate,HlpSharePre,HlpSharePost)</f>
        <v>0.01</v>
      </c>
      <c r="S852" s="21" t="n">
        <f aca="false">Q852*R852/(1-R852)</f>
        <v>32557.2424242424</v>
      </c>
      <c r="T852" s="19" t="n">
        <v>32557</v>
      </c>
      <c r="U852" s="21" t="n">
        <f aca="false">S852-T852</f>
        <v>0.24242424242766</v>
      </c>
      <c r="V852" s="21" t="n">
        <f aca="false">Y852-O852*R852/(1-R852)</f>
        <v>613117.515151515</v>
      </c>
      <c r="W852" s="21" t="n">
        <f aca="false">Z852-P852*R852/(1-R852)</f>
        <v>197528.242424242</v>
      </c>
      <c r="X852" s="21" t="n">
        <f aca="false">S852+V852+W852</f>
        <v>843203</v>
      </c>
      <c r="Y852" s="19" t="n">
        <v>638930</v>
      </c>
      <c r="Z852" s="19" t="n">
        <v>204273</v>
      </c>
      <c r="AA852" s="19" t="n">
        <v>3223167</v>
      </c>
      <c r="AB852" s="29" t="n">
        <v>54.463</v>
      </c>
      <c r="AC852" s="29" t="n">
        <v>55.20575</v>
      </c>
      <c r="AD852" s="24" t="n">
        <f aca="false">IFERROR(AA852/AC852,0)</f>
        <v>58384.6247899902</v>
      </c>
      <c r="AE852" s="25" t="n">
        <f aca="false">K852-Q852-X852</f>
        <v>0</v>
      </c>
      <c r="AF852" s="25" t="n">
        <f aca="false">Q852-AA852</f>
        <v>0</v>
      </c>
      <c r="AG852" s="19" t="n">
        <v>2353372.91191399</v>
      </c>
      <c r="AH852" s="26" t="n">
        <f aca="false">IFERROR(AG852/Q852,0)</f>
        <v>0.730143027622829</v>
      </c>
      <c r="AI852" s="27" t="n">
        <v>397628415.300547</v>
      </c>
      <c r="AJ852" s="26" t="n">
        <f aca="false">IF(AI852&gt;0,AprCoef/SQRT(AI852),0)</f>
        <v>0.0237705721669913</v>
      </c>
      <c r="AK852" s="24" t="n">
        <f aca="false">AI852*AJ852/365</f>
        <v>25895.4929905425</v>
      </c>
      <c r="AL852" s="24" t="n">
        <f aca="false">AD852</f>
        <v>58384.6247899902</v>
      </c>
      <c r="AM852" s="24" t="n">
        <f aca="false">AK852-AL852</f>
        <v>-32489.1317994477</v>
      </c>
      <c r="AN852" s="28" t="str">
        <f aca="false">IF(A852&gt;=Hip3LaunchDate,"YES","")</f>
        <v/>
      </c>
      <c r="AO852" s="28" t="str">
        <f aca="false">IF(A852&lt;Hip4LaunchDate,"pre-launch","live (zero-fee)")</f>
        <v>pre-launch</v>
      </c>
      <c r="AP852" s="20"/>
      <c r="AQ852" s="20"/>
      <c r="AR852" s="20"/>
    </row>
    <row r="853" customFormat="false" ht="15" hidden="false" customHeight="false" outlineLevel="0" collapsed="false">
      <c r="A853" s="18" t="n">
        <v>45914</v>
      </c>
      <c r="B853" s="19" t="n">
        <v>7351240468.23</v>
      </c>
      <c r="C853" s="19" t="n">
        <v>0</v>
      </c>
      <c r="D853" s="19" t="n">
        <v>1477956942</v>
      </c>
      <c r="E853" s="21" t="n">
        <f aca="false">B853+C853</f>
        <v>7351240468.23</v>
      </c>
      <c r="F853" s="21" t="n">
        <f aca="false">E853+D853</f>
        <v>8829197410.23</v>
      </c>
      <c r="G853" s="22" t="n">
        <f aca="false">IFERROR(C853/E853,0)</f>
        <v>0</v>
      </c>
      <c r="H853" s="19" t="n">
        <v>3575600</v>
      </c>
      <c r="I853" s="19" t="n">
        <v>1484929</v>
      </c>
      <c r="J853" s="19" t="n">
        <v>37534</v>
      </c>
      <c r="K853" s="21" t="n">
        <f aca="false">H853+I853</f>
        <v>5060529</v>
      </c>
      <c r="L853" s="20"/>
      <c r="M853" s="21" t="n">
        <f aca="false">H853-L853</f>
        <v>3575600</v>
      </c>
      <c r="N853" s="23" t="n">
        <f aca="false">IFERROR(M853/B853*10000,0)</f>
        <v>4.8639410116602</v>
      </c>
      <c r="O853" s="19" t="n">
        <v>2537973</v>
      </c>
      <c r="P853" s="19" t="n">
        <v>1177892</v>
      </c>
      <c r="Q853" s="21" t="n">
        <f aca="false">O853+P853</f>
        <v>3715865</v>
      </c>
      <c r="R853" s="22" t="n">
        <f aca="false">IF(A853&lt;HlpChangeDate,HlpSharePre,HlpSharePost)</f>
        <v>0.01</v>
      </c>
      <c r="S853" s="21" t="n">
        <f aca="false">Q853*R853/(1-R853)</f>
        <v>37533.9898989899</v>
      </c>
      <c r="T853" s="19" t="n">
        <v>37534</v>
      </c>
      <c r="U853" s="21" t="n">
        <f aca="false">S853-T853</f>
        <v>-0.0101010100988788</v>
      </c>
      <c r="V853" s="21" t="n">
        <f aca="false">Y853-O853*R853/(1-R853)</f>
        <v>1011991.90909091</v>
      </c>
      <c r="W853" s="21" t="n">
        <f aca="false">Z853-P853*R853/(1-R853)</f>
        <v>295139.101010101</v>
      </c>
      <c r="X853" s="21" t="n">
        <f aca="false">S853+V853+W853</f>
        <v>1344665</v>
      </c>
      <c r="Y853" s="19" t="n">
        <v>1037628</v>
      </c>
      <c r="Z853" s="19" t="n">
        <v>307037</v>
      </c>
      <c r="AA853" s="19" t="n">
        <v>3715865</v>
      </c>
      <c r="AB853" s="29" t="n">
        <v>53.701</v>
      </c>
      <c r="AC853" s="29" t="n">
        <v>54.25775</v>
      </c>
      <c r="AD853" s="24" t="n">
        <f aca="false">IFERROR(AA853/AC853,0)</f>
        <v>68485.4237413088</v>
      </c>
      <c r="AE853" s="25" t="n">
        <f aca="false">K853-Q853-X853</f>
        <v>-1</v>
      </c>
      <c r="AF853" s="25" t="n">
        <f aca="false">Q853-AA853</f>
        <v>0</v>
      </c>
      <c r="AG853" s="19" t="n">
        <v>2465599.25057602</v>
      </c>
      <c r="AH853" s="26" t="n">
        <f aca="false">IFERROR(AG853/Q853,0)</f>
        <v>0.663533053697058</v>
      </c>
      <c r="AI853" s="27" t="n">
        <v>397765027.322404</v>
      </c>
      <c r="AJ853" s="26" t="n">
        <f aca="false">IF(AI853&gt;0,AprCoef/SQRT(AI853),0)</f>
        <v>0.0237664898261949</v>
      </c>
      <c r="AK853" s="24" t="n">
        <f aca="false">AI853*AJ853/365</f>
        <v>25899.9410276002</v>
      </c>
      <c r="AL853" s="24" t="n">
        <f aca="false">AD853</f>
        <v>68485.4237413088</v>
      </c>
      <c r="AM853" s="24" t="n">
        <f aca="false">AK853-AL853</f>
        <v>-42585.4827137087</v>
      </c>
      <c r="AN853" s="28" t="str">
        <f aca="false">IF(A853&gt;=Hip3LaunchDate,"YES","")</f>
        <v/>
      </c>
      <c r="AO853" s="28" t="str">
        <f aca="false">IF(A853&lt;Hip4LaunchDate,"pre-launch","live (zero-fee)")</f>
        <v>pre-launch</v>
      </c>
      <c r="AP853" s="20"/>
      <c r="AQ853" s="20"/>
      <c r="AR853" s="20"/>
    </row>
    <row r="854" customFormat="false" ht="15" hidden="false" customHeight="false" outlineLevel="0" collapsed="false">
      <c r="A854" s="18" t="n">
        <v>45915</v>
      </c>
      <c r="B854" s="19" t="n">
        <v>10569922363.94</v>
      </c>
      <c r="C854" s="19" t="n">
        <v>0</v>
      </c>
      <c r="D854" s="19" t="n">
        <v>770683982</v>
      </c>
      <c r="E854" s="21" t="n">
        <f aca="false">B854+C854</f>
        <v>10569922363.94</v>
      </c>
      <c r="F854" s="21" t="n">
        <f aca="false">E854+D854</f>
        <v>11340606345.94</v>
      </c>
      <c r="G854" s="22" t="n">
        <f aca="false">IFERROR(C854/E854,0)</f>
        <v>0</v>
      </c>
      <c r="H854" s="19" t="n">
        <v>4144941</v>
      </c>
      <c r="I854" s="19" t="n">
        <v>546177</v>
      </c>
      <c r="J854" s="19" t="n">
        <v>40732</v>
      </c>
      <c r="K854" s="21" t="n">
        <f aca="false">H854+I854</f>
        <v>4691118</v>
      </c>
      <c r="L854" s="20"/>
      <c r="M854" s="21" t="n">
        <f aca="false">H854-L854</f>
        <v>4144941</v>
      </c>
      <c r="N854" s="23" t="n">
        <f aca="false">IFERROR(M854/B854*10000,0)</f>
        <v>3.92144885958741</v>
      </c>
      <c r="O854" s="19" t="n">
        <v>3586449</v>
      </c>
      <c r="P854" s="19" t="n">
        <v>446016</v>
      </c>
      <c r="Q854" s="21" t="n">
        <f aca="false">O854+P854</f>
        <v>4032465</v>
      </c>
      <c r="R854" s="22" t="n">
        <f aca="false">IF(A854&lt;HlpChangeDate,HlpSharePre,HlpSharePost)</f>
        <v>0.01</v>
      </c>
      <c r="S854" s="21" t="n">
        <f aca="false">Q854*R854/(1-R854)</f>
        <v>40731.9696969697</v>
      </c>
      <c r="T854" s="19" t="n">
        <v>40732</v>
      </c>
      <c r="U854" s="21" t="n">
        <f aca="false">S854-T854</f>
        <v>-0.0303030303039122</v>
      </c>
      <c r="V854" s="21" t="n">
        <f aca="false">Y854-O854*R854/(1-R854)</f>
        <v>522265.242424242</v>
      </c>
      <c r="W854" s="21" t="n">
        <f aca="false">Z854-P854*R854/(1-R854)</f>
        <v>95656.7878787879</v>
      </c>
      <c r="X854" s="21" t="n">
        <f aca="false">S854+V854+W854</f>
        <v>658654</v>
      </c>
      <c r="Y854" s="19" t="n">
        <v>558492</v>
      </c>
      <c r="Z854" s="19" t="n">
        <v>100162</v>
      </c>
      <c r="AA854" s="19" t="n">
        <v>4032465</v>
      </c>
      <c r="AB854" s="29" t="n">
        <v>53.995</v>
      </c>
      <c r="AC854" s="29" t="n">
        <v>53.585</v>
      </c>
      <c r="AD854" s="24" t="n">
        <f aca="false">IFERROR(AA854/AC854,0)</f>
        <v>75253.6157506765</v>
      </c>
      <c r="AE854" s="25" t="n">
        <f aca="false">K854-Q854-X854</f>
        <v>-1</v>
      </c>
      <c r="AF854" s="25" t="n">
        <f aca="false">Q854-AA854</f>
        <v>0</v>
      </c>
      <c r="AG854" s="19" t="n">
        <v>3177749.92820501</v>
      </c>
      <c r="AH854" s="26" t="n">
        <f aca="false">IFERROR(AG854/Q854,0)</f>
        <v>0.788041539903015</v>
      </c>
      <c r="AI854" s="27" t="n">
        <v>397901639.344262</v>
      </c>
      <c r="AJ854" s="26" t="n">
        <f aca="false">IF(AI854&gt;0,AprCoef/SQRT(AI854),0)</f>
        <v>0.0237624095879711</v>
      </c>
      <c r="AK854" s="24" t="n">
        <f aca="false">AI854*AJ854/365</f>
        <v>25904.3883008863</v>
      </c>
      <c r="AL854" s="24" t="n">
        <f aca="false">AD854</f>
        <v>75253.6157506765</v>
      </c>
      <c r="AM854" s="24" t="n">
        <f aca="false">AK854-AL854</f>
        <v>-49349.2274497902</v>
      </c>
      <c r="AN854" s="28" t="str">
        <f aca="false">IF(A854&gt;=Hip3LaunchDate,"YES","")</f>
        <v/>
      </c>
      <c r="AO854" s="28" t="str">
        <f aca="false">IF(A854&lt;Hip4LaunchDate,"pre-launch","live (zero-fee)")</f>
        <v>pre-launch</v>
      </c>
      <c r="AP854" s="20"/>
      <c r="AQ854" s="20"/>
      <c r="AR854" s="20"/>
    </row>
    <row r="855" customFormat="false" ht="15" hidden="false" customHeight="false" outlineLevel="0" collapsed="false">
      <c r="A855" s="18" t="n">
        <v>45916</v>
      </c>
      <c r="B855" s="19" t="n">
        <v>8683442695.78</v>
      </c>
      <c r="C855" s="19" t="n">
        <v>0</v>
      </c>
      <c r="D855" s="19" t="n">
        <v>690945291</v>
      </c>
      <c r="E855" s="21" t="n">
        <f aca="false">B855+C855</f>
        <v>8683442695.78</v>
      </c>
      <c r="F855" s="21" t="n">
        <f aca="false">E855+D855</f>
        <v>9374387986.78</v>
      </c>
      <c r="G855" s="22" t="n">
        <f aca="false">IFERROR(C855/E855,0)</f>
        <v>0</v>
      </c>
      <c r="H855" s="19" t="n">
        <v>3321779</v>
      </c>
      <c r="I855" s="19" t="n">
        <v>513550</v>
      </c>
      <c r="J855" s="19" t="n">
        <v>33100</v>
      </c>
      <c r="K855" s="21" t="n">
        <f aca="false">H855+I855</f>
        <v>3835329</v>
      </c>
      <c r="L855" s="20"/>
      <c r="M855" s="21" t="n">
        <f aca="false">H855-L855</f>
        <v>3321779</v>
      </c>
      <c r="N855" s="23" t="n">
        <f aca="false">IFERROR(M855/B855*10000,0)</f>
        <v>3.82541707981136</v>
      </c>
      <c r="O855" s="19" t="n">
        <v>2841891</v>
      </c>
      <c r="P855" s="19" t="n">
        <v>434995</v>
      </c>
      <c r="Q855" s="21" t="n">
        <f aca="false">O855+P855</f>
        <v>3276886</v>
      </c>
      <c r="R855" s="22" t="n">
        <f aca="false">IF(A855&lt;HlpChangeDate,HlpSharePre,HlpSharePost)</f>
        <v>0.01</v>
      </c>
      <c r="S855" s="21" t="n">
        <f aca="false">Q855*R855/(1-R855)</f>
        <v>33099.8585858586</v>
      </c>
      <c r="T855" s="19" t="n">
        <v>33100</v>
      </c>
      <c r="U855" s="21" t="n">
        <f aca="false">S855-T855</f>
        <v>-0.141414141413406</v>
      </c>
      <c r="V855" s="21" t="n">
        <f aca="false">Y855-O855*R855/(1-R855)</f>
        <v>451182.03030303</v>
      </c>
      <c r="W855" s="21" t="n">
        <f aca="false">Z855-P855*R855/(1-R855)</f>
        <v>74161.1111111111</v>
      </c>
      <c r="X855" s="21" t="n">
        <f aca="false">S855+V855+W855</f>
        <v>558443</v>
      </c>
      <c r="Y855" s="19" t="n">
        <v>479888</v>
      </c>
      <c r="Z855" s="19" t="n">
        <v>78555</v>
      </c>
      <c r="AA855" s="19" t="n">
        <v>3276886</v>
      </c>
      <c r="AB855" s="29" t="n">
        <v>54.454</v>
      </c>
      <c r="AC855" s="29" t="n">
        <v>53.813</v>
      </c>
      <c r="AD855" s="24" t="n">
        <f aca="false">IFERROR(AA855/AC855,0)</f>
        <v>60893.94755914</v>
      </c>
      <c r="AE855" s="25" t="n">
        <f aca="false">K855-Q855-X855</f>
        <v>0</v>
      </c>
      <c r="AF855" s="25" t="n">
        <f aca="false">Q855-AA855</f>
        <v>0</v>
      </c>
      <c r="AG855" s="19" t="n">
        <v>2560751.83116996</v>
      </c>
      <c r="AH855" s="26" t="n">
        <f aca="false">IFERROR(AG855/Q855,0)</f>
        <v>0.781458931183435</v>
      </c>
      <c r="AI855" s="27" t="n">
        <v>398038251.36612</v>
      </c>
      <c r="AJ855" s="26" t="n">
        <f aca="false">IF(AI855&gt;0,AprCoef/SQRT(AI855),0)</f>
        <v>0.0237583314505156</v>
      </c>
      <c r="AK855" s="24" t="n">
        <f aca="false">AI855*AJ855/365</f>
        <v>25908.8348107943</v>
      </c>
      <c r="AL855" s="24" t="n">
        <f aca="false">AD855</f>
        <v>60893.94755914</v>
      </c>
      <c r="AM855" s="24" t="n">
        <f aca="false">AK855-AL855</f>
        <v>-34985.1127483457</v>
      </c>
      <c r="AN855" s="28" t="str">
        <f aca="false">IF(A855&gt;=Hip3LaunchDate,"YES","")</f>
        <v/>
      </c>
      <c r="AO855" s="28" t="str">
        <f aca="false">IF(A855&lt;Hip4LaunchDate,"pre-launch","live (zero-fee)")</f>
        <v>pre-launch</v>
      </c>
      <c r="AP855" s="20"/>
      <c r="AQ855" s="20"/>
      <c r="AR855" s="20"/>
    </row>
    <row r="856" customFormat="false" ht="15" hidden="false" customHeight="false" outlineLevel="0" collapsed="false">
      <c r="A856" s="18" t="n">
        <v>45917</v>
      </c>
      <c r="B856" s="19" t="n">
        <v>12223979385.22</v>
      </c>
      <c r="C856" s="19" t="n">
        <v>0</v>
      </c>
      <c r="D856" s="19" t="n">
        <v>986676209</v>
      </c>
      <c r="E856" s="21" t="n">
        <f aca="false">B856+C856</f>
        <v>12223979385.22</v>
      </c>
      <c r="F856" s="21" t="n">
        <f aca="false">E856+D856</f>
        <v>13210655594.22</v>
      </c>
      <c r="G856" s="22" t="n">
        <f aca="false">IFERROR(C856/E856,0)</f>
        <v>0</v>
      </c>
      <c r="H856" s="19" t="n">
        <v>4804170</v>
      </c>
      <c r="I856" s="19" t="n">
        <v>733442</v>
      </c>
      <c r="J856" s="19" t="n">
        <v>47641</v>
      </c>
      <c r="K856" s="21" t="n">
        <f aca="false">H856+I856</f>
        <v>5537612</v>
      </c>
      <c r="L856" s="20"/>
      <c r="M856" s="21" t="n">
        <f aca="false">H856-L856</f>
        <v>4804170</v>
      </c>
      <c r="N856" s="23" t="n">
        <f aca="false">IFERROR(M856/B856*10000,0)</f>
        <v>3.93011952049651</v>
      </c>
      <c r="O856" s="19" t="n">
        <v>4097230</v>
      </c>
      <c r="P856" s="19" t="n">
        <v>619267</v>
      </c>
      <c r="Q856" s="21" t="n">
        <f aca="false">O856+P856</f>
        <v>4716497</v>
      </c>
      <c r="R856" s="22" t="n">
        <f aca="false">IF(A856&lt;HlpChangeDate,HlpSharePre,HlpSharePost)</f>
        <v>0.01</v>
      </c>
      <c r="S856" s="21" t="n">
        <f aca="false">Q856*R856/(1-R856)</f>
        <v>47641.3838383838</v>
      </c>
      <c r="T856" s="19" t="n">
        <v>47641</v>
      </c>
      <c r="U856" s="21" t="n">
        <f aca="false">S856-T856</f>
        <v>0.383838383837428</v>
      </c>
      <c r="V856" s="21" t="n">
        <f aca="false">Y856-O856*R856/(1-R856)</f>
        <v>665553.838383838</v>
      </c>
      <c r="W856" s="21" t="n">
        <f aca="false">Z856-P856*R856/(1-R856)</f>
        <v>107919.777777778</v>
      </c>
      <c r="X856" s="21" t="n">
        <f aca="false">S856+V856+W856</f>
        <v>821115</v>
      </c>
      <c r="Y856" s="19" t="n">
        <v>706940</v>
      </c>
      <c r="Z856" s="19" t="n">
        <v>114175</v>
      </c>
      <c r="AA856" s="19" t="n">
        <v>4716497</v>
      </c>
      <c r="AB856" s="29" t="n">
        <v>57.742</v>
      </c>
      <c r="AC856" s="29" t="n">
        <v>56.007</v>
      </c>
      <c r="AD856" s="24" t="n">
        <f aca="false">IFERROR(AA856/AC856,0)</f>
        <v>84212.6341350188</v>
      </c>
      <c r="AE856" s="25" t="n">
        <f aca="false">K856-Q856-X856</f>
        <v>0</v>
      </c>
      <c r="AF856" s="25" t="n">
        <f aca="false">Q856-AA856</f>
        <v>0</v>
      </c>
      <c r="AG856" s="19" t="n">
        <v>3614238.01139498</v>
      </c>
      <c r="AH856" s="26" t="n">
        <f aca="false">IFERROR(AG856/Q856,0)</f>
        <v>0.766297108085721</v>
      </c>
      <c r="AI856" s="27" t="n">
        <v>398174863.387978</v>
      </c>
      <c r="AJ856" s="26" t="n">
        <f aca="false">IF(AI856&gt;0,AprCoef/SQRT(AI856),0)</f>
        <v>0.0237542554120263</v>
      </c>
      <c r="AK856" s="24" t="n">
        <f aca="false">AI856*AJ856/365</f>
        <v>25913.280557717</v>
      </c>
      <c r="AL856" s="24" t="n">
        <f aca="false">AD856</f>
        <v>84212.6341350188</v>
      </c>
      <c r="AM856" s="24" t="n">
        <f aca="false">AK856-AL856</f>
        <v>-58299.3535773018</v>
      </c>
      <c r="AN856" s="28" t="str">
        <f aca="false">IF(A856&gt;=Hip3LaunchDate,"YES","")</f>
        <v/>
      </c>
      <c r="AO856" s="28" t="str">
        <f aca="false">IF(A856&lt;Hip4LaunchDate,"pre-launch","live (zero-fee)")</f>
        <v>pre-launch</v>
      </c>
      <c r="AP856" s="20"/>
      <c r="AQ856" s="20"/>
      <c r="AR856" s="20"/>
    </row>
    <row r="857" customFormat="false" ht="15" hidden="false" customHeight="false" outlineLevel="0" collapsed="false">
      <c r="A857" s="18" t="n">
        <v>45918</v>
      </c>
      <c r="B857" s="19" t="n">
        <v>9613850551.59</v>
      </c>
      <c r="C857" s="19" t="n">
        <v>0</v>
      </c>
      <c r="D857" s="19" t="n">
        <v>814323405</v>
      </c>
      <c r="E857" s="21" t="n">
        <f aca="false">B857+C857</f>
        <v>9613850551.59</v>
      </c>
      <c r="F857" s="21" t="n">
        <f aca="false">E857+D857</f>
        <v>10428173956.59</v>
      </c>
      <c r="G857" s="22" t="n">
        <f aca="false">IFERROR(C857/E857,0)</f>
        <v>0</v>
      </c>
      <c r="H857" s="19" t="n">
        <v>3915547</v>
      </c>
      <c r="I857" s="19" t="n">
        <v>590986</v>
      </c>
      <c r="J857" s="19" t="n">
        <v>38759</v>
      </c>
      <c r="K857" s="21" t="n">
        <f aca="false">H857+I857</f>
        <v>4506533</v>
      </c>
      <c r="L857" s="20"/>
      <c r="M857" s="21" t="n">
        <f aca="false">H857-L857</f>
        <v>3915547</v>
      </c>
      <c r="N857" s="23" t="n">
        <f aca="false">IFERROR(M857/B857*10000,0)</f>
        <v>4.07281866822074</v>
      </c>
      <c r="O857" s="19" t="n">
        <v>3324896</v>
      </c>
      <c r="P857" s="19" t="n">
        <v>512239</v>
      </c>
      <c r="Q857" s="21" t="n">
        <f aca="false">O857+P857</f>
        <v>3837135</v>
      </c>
      <c r="R857" s="22" t="n">
        <f aca="false">IF(A857&lt;HlpChangeDate,HlpSharePre,HlpSharePost)</f>
        <v>0.01</v>
      </c>
      <c r="S857" s="21" t="n">
        <f aca="false">Q857*R857/(1-R857)</f>
        <v>38758.9393939394</v>
      </c>
      <c r="T857" s="19" t="n">
        <v>38759</v>
      </c>
      <c r="U857" s="21" t="n">
        <f aca="false">S857-T857</f>
        <v>-0.0606060606078245</v>
      </c>
      <c r="V857" s="21" t="n">
        <f aca="false">Y857-O857*R857/(1-R857)</f>
        <v>557065.191919192</v>
      </c>
      <c r="W857" s="21" t="n">
        <f aca="false">Z857-P857*R857/(1-R857)</f>
        <v>73572.8686868687</v>
      </c>
      <c r="X857" s="21" t="n">
        <f aca="false">S857+V857+W857</f>
        <v>669397</v>
      </c>
      <c r="Y857" s="19" t="n">
        <v>590650</v>
      </c>
      <c r="Z857" s="19" t="n">
        <v>78747</v>
      </c>
      <c r="AA857" s="19" t="n">
        <v>3837135</v>
      </c>
      <c r="AB857" s="29" t="n">
        <v>58.595</v>
      </c>
      <c r="AC857" s="29" t="n">
        <v>58.2305</v>
      </c>
      <c r="AD857" s="24" t="n">
        <f aca="false">IFERROR(AA857/AC857,0)</f>
        <v>65895.6217102721</v>
      </c>
      <c r="AE857" s="25" t="n">
        <f aca="false">K857-Q857-X857</f>
        <v>0.999999999883585</v>
      </c>
      <c r="AF857" s="25" t="n">
        <f aca="false">Q857-AA857</f>
        <v>0</v>
      </c>
      <c r="AG857" s="19" t="n">
        <v>2971908.96162105</v>
      </c>
      <c r="AH857" s="26" t="n">
        <f aca="false">IFERROR(AG857/Q857,0)</f>
        <v>0.774512484346015</v>
      </c>
      <c r="AI857" s="27" t="n">
        <v>398311475.409836</v>
      </c>
      <c r="AJ857" s="26" t="n">
        <f aca="false">IF(AI857&gt;0,AprCoef/SQRT(AI857),0)</f>
        <v>0.0237501814707034</v>
      </c>
      <c r="AK857" s="24" t="n">
        <f aca="false">AI857*AJ857/365</f>
        <v>25917.7255420472</v>
      </c>
      <c r="AL857" s="24" t="n">
        <f aca="false">AD857</f>
        <v>65895.6217102721</v>
      </c>
      <c r="AM857" s="24" t="n">
        <f aca="false">AK857-AL857</f>
        <v>-39977.8961682249</v>
      </c>
      <c r="AN857" s="28" t="str">
        <f aca="false">IF(A857&gt;=Hip3LaunchDate,"YES","")</f>
        <v/>
      </c>
      <c r="AO857" s="28" t="str">
        <f aca="false">IF(A857&lt;Hip4LaunchDate,"pre-launch","live (zero-fee)")</f>
        <v>pre-launch</v>
      </c>
      <c r="AP857" s="20"/>
      <c r="AQ857" s="20"/>
      <c r="AR857" s="20"/>
    </row>
    <row r="858" customFormat="false" ht="15" hidden="false" customHeight="false" outlineLevel="0" collapsed="false">
      <c r="A858" s="18" t="n">
        <v>45919</v>
      </c>
      <c r="B858" s="19" t="n">
        <v>9088388320.05</v>
      </c>
      <c r="C858" s="19" t="n">
        <v>0</v>
      </c>
      <c r="D858" s="19" t="n">
        <v>579109065</v>
      </c>
      <c r="E858" s="21" t="n">
        <f aca="false">B858+C858</f>
        <v>9088388320.05</v>
      </c>
      <c r="F858" s="21" t="n">
        <f aca="false">E858+D858</f>
        <v>9667497385.05</v>
      </c>
      <c r="G858" s="22" t="n">
        <f aca="false">IFERROR(C858/E858,0)</f>
        <v>0</v>
      </c>
      <c r="H858" s="19" t="n">
        <v>3475873</v>
      </c>
      <c r="I858" s="19" t="n">
        <v>380519</v>
      </c>
      <c r="J858" s="19" t="n">
        <v>34153</v>
      </c>
      <c r="K858" s="21" t="n">
        <f aca="false">H858+I858</f>
        <v>3856392</v>
      </c>
      <c r="L858" s="20"/>
      <c r="M858" s="21" t="n">
        <f aca="false">H858-L858</f>
        <v>3475873</v>
      </c>
      <c r="N858" s="23" t="n">
        <f aca="false">IFERROR(M858/B858*10000,0)</f>
        <v>3.82452078145895</v>
      </c>
      <c r="O858" s="19" t="n">
        <v>3066784</v>
      </c>
      <c r="P858" s="19" t="n">
        <v>314403</v>
      </c>
      <c r="Q858" s="21" t="n">
        <f aca="false">O858+P858</f>
        <v>3381187</v>
      </c>
      <c r="R858" s="22" t="n">
        <f aca="false">IF(A858&lt;HlpChangeDate,HlpSharePre,HlpSharePost)</f>
        <v>0.01</v>
      </c>
      <c r="S858" s="21" t="n">
        <f aca="false">Q858*R858/(1-R858)</f>
        <v>34153.404040404</v>
      </c>
      <c r="T858" s="19" t="n">
        <v>34153</v>
      </c>
      <c r="U858" s="21" t="n">
        <f aca="false">S858-T858</f>
        <v>0.404040404042462</v>
      </c>
      <c r="V858" s="21" t="n">
        <f aca="false">Y858-O858*R858/(1-R858)</f>
        <v>378111.383838384</v>
      </c>
      <c r="W858" s="21" t="n">
        <f aca="false">Z858-P858*R858/(1-R858)</f>
        <v>62940.2121212121</v>
      </c>
      <c r="X858" s="21" t="n">
        <f aca="false">S858+V858+W858</f>
        <v>475205</v>
      </c>
      <c r="Y858" s="19" t="n">
        <v>409089</v>
      </c>
      <c r="Z858" s="19" t="n">
        <v>66116</v>
      </c>
      <c r="AA858" s="19" t="n">
        <v>3381187</v>
      </c>
      <c r="AB858" s="29" t="n">
        <v>56.127</v>
      </c>
      <c r="AC858" s="29" t="n">
        <v>57.27975</v>
      </c>
      <c r="AD858" s="24" t="n">
        <f aca="false">IFERROR(AA858/AC858,0)</f>
        <v>59029.3602887582</v>
      </c>
      <c r="AE858" s="25" t="n">
        <f aca="false">K858-Q858-X858</f>
        <v>0</v>
      </c>
      <c r="AF858" s="25" t="n">
        <f aca="false">Q858-AA858</f>
        <v>0</v>
      </c>
      <c r="AG858" s="19" t="n">
        <v>2710854.23692501</v>
      </c>
      <c r="AH858" s="26" t="n">
        <f aca="false">IFERROR(AG858/Q858,0)</f>
        <v>0.801746320722576</v>
      </c>
      <c r="AI858" s="27" t="n">
        <v>398448087.431694</v>
      </c>
      <c r="AJ858" s="26" t="n">
        <f aca="false">IF(AI858&gt;0,AprCoef/SQRT(AI858),0)</f>
        <v>0.0237461096247491</v>
      </c>
      <c r="AK858" s="24" t="n">
        <f aca="false">AI858*AJ858/365</f>
        <v>25922.1697641771</v>
      </c>
      <c r="AL858" s="24" t="n">
        <f aca="false">AD858</f>
        <v>59029.3602887582</v>
      </c>
      <c r="AM858" s="24" t="n">
        <f aca="false">AK858-AL858</f>
        <v>-33107.1905245812</v>
      </c>
      <c r="AN858" s="28" t="str">
        <f aca="false">IF(A858&gt;=Hip3LaunchDate,"YES","")</f>
        <v/>
      </c>
      <c r="AO858" s="28" t="str">
        <f aca="false">IF(A858&lt;Hip4LaunchDate,"pre-launch","live (zero-fee)")</f>
        <v>pre-launch</v>
      </c>
      <c r="AP858" s="20"/>
      <c r="AQ858" s="20"/>
      <c r="AR858" s="20"/>
    </row>
    <row r="859" customFormat="false" ht="15" hidden="false" customHeight="false" outlineLevel="0" collapsed="false">
      <c r="A859" s="18" t="n">
        <v>45920</v>
      </c>
      <c r="B859" s="19" t="n">
        <v>4219380098.35</v>
      </c>
      <c r="C859" s="19" t="n">
        <v>0</v>
      </c>
      <c r="D859" s="19" t="n">
        <v>462252344</v>
      </c>
      <c r="E859" s="21" t="n">
        <f aca="false">B859+C859</f>
        <v>4219380098.35</v>
      </c>
      <c r="F859" s="21" t="n">
        <f aca="false">E859+D859</f>
        <v>4681632442.35</v>
      </c>
      <c r="G859" s="22" t="n">
        <f aca="false">IFERROR(C859/E859,0)</f>
        <v>0</v>
      </c>
      <c r="H859" s="19" t="n">
        <v>1909344</v>
      </c>
      <c r="I859" s="19" t="n">
        <v>334244</v>
      </c>
      <c r="J859" s="19" t="n">
        <v>18824</v>
      </c>
      <c r="K859" s="21" t="n">
        <f aca="false">H859+I859</f>
        <v>2243588</v>
      </c>
      <c r="L859" s="20"/>
      <c r="M859" s="21" t="n">
        <f aca="false">H859-L859</f>
        <v>1909344</v>
      </c>
      <c r="N859" s="23" t="n">
        <f aca="false">IFERROR(M859/B859*10000,0)</f>
        <v>4.52517657924835</v>
      </c>
      <c r="O859" s="19" t="n">
        <v>1585026</v>
      </c>
      <c r="P859" s="19" t="n">
        <v>278589</v>
      </c>
      <c r="Q859" s="21" t="n">
        <f aca="false">O859+P859</f>
        <v>1863615</v>
      </c>
      <c r="R859" s="22" t="n">
        <f aca="false">IF(A859&lt;HlpChangeDate,HlpSharePre,HlpSharePost)</f>
        <v>0.01</v>
      </c>
      <c r="S859" s="21" t="n">
        <f aca="false">Q859*R859/(1-R859)</f>
        <v>18824.3939393939</v>
      </c>
      <c r="T859" s="19" t="n">
        <v>18824</v>
      </c>
      <c r="U859" s="21" t="n">
        <f aca="false">S859-T859</f>
        <v>0.393939393939945</v>
      </c>
      <c r="V859" s="21" t="n">
        <f aca="false">Y859-O859*R859/(1-R859)</f>
        <v>308307.636363636</v>
      </c>
      <c r="W859" s="21" t="n">
        <f aca="false">Z859-P859*R859/(1-R859)</f>
        <v>52841.9696969697</v>
      </c>
      <c r="X859" s="21" t="n">
        <f aca="false">S859+V859+W859</f>
        <v>379974</v>
      </c>
      <c r="Y859" s="19" t="n">
        <v>324318</v>
      </c>
      <c r="Z859" s="19" t="n">
        <v>55656</v>
      </c>
      <c r="AA859" s="19" t="n">
        <v>1863615</v>
      </c>
      <c r="AB859" s="29" t="n">
        <v>54.18</v>
      </c>
      <c r="AC859" s="29" t="n">
        <v>55.17125</v>
      </c>
      <c r="AD859" s="24" t="n">
        <f aca="false">IFERROR(AA859/AC859,0)</f>
        <v>33778.7343951786</v>
      </c>
      <c r="AE859" s="25" t="n">
        <f aca="false">K859-Q859-X859</f>
        <v>-1</v>
      </c>
      <c r="AF859" s="25" t="n">
        <f aca="false">Q859-AA859</f>
        <v>0</v>
      </c>
      <c r="AG859" s="19" t="n">
        <v>1446062.71842599</v>
      </c>
      <c r="AH859" s="26" t="n">
        <f aca="false">IFERROR(AG859/Q859,0)</f>
        <v>0.775944987793074</v>
      </c>
      <c r="AI859" s="27" t="n">
        <v>398584699.453552</v>
      </c>
      <c r="AJ859" s="26" t="n">
        <f aca="false">IF(AI859&gt;0,AprCoef/SQRT(AI859),0)</f>
        <v>0.0237420398723679</v>
      </c>
      <c r="AK859" s="24" t="n">
        <f aca="false">AI859*AJ859/365</f>
        <v>25926.6132244986</v>
      </c>
      <c r="AL859" s="24" t="n">
        <f aca="false">AD859</f>
        <v>33778.7343951786</v>
      </c>
      <c r="AM859" s="24" t="n">
        <f aca="false">AK859-AL859</f>
        <v>-7852.12117068002</v>
      </c>
      <c r="AN859" s="28" t="str">
        <f aca="false">IF(A859&gt;=Hip3LaunchDate,"YES","")</f>
        <v/>
      </c>
      <c r="AO859" s="28" t="str">
        <f aca="false">IF(A859&lt;Hip4LaunchDate,"pre-launch","live (zero-fee)")</f>
        <v>pre-launch</v>
      </c>
      <c r="AP859" s="20"/>
      <c r="AQ859" s="20"/>
      <c r="AR859" s="20"/>
    </row>
    <row r="860" customFormat="false" ht="15" hidden="false" customHeight="false" outlineLevel="0" collapsed="false">
      <c r="A860" s="18" t="n">
        <v>45921</v>
      </c>
      <c r="B860" s="19" t="n">
        <v>5311897299.17</v>
      </c>
      <c r="C860" s="19" t="n">
        <v>0</v>
      </c>
      <c r="D860" s="19" t="n">
        <v>514163673</v>
      </c>
      <c r="E860" s="21" t="n">
        <f aca="false">B860+C860</f>
        <v>5311897299.17</v>
      </c>
      <c r="F860" s="21" t="n">
        <f aca="false">E860+D860</f>
        <v>5826060972.17</v>
      </c>
      <c r="G860" s="22" t="n">
        <f aca="false">IFERROR(C860/E860,0)</f>
        <v>0</v>
      </c>
      <c r="H860" s="19" t="n">
        <v>2165365</v>
      </c>
      <c r="I860" s="19" t="n">
        <v>269790</v>
      </c>
      <c r="J860" s="19" t="n">
        <v>21538</v>
      </c>
      <c r="K860" s="21" t="n">
        <f aca="false">H860+I860</f>
        <v>2435155</v>
      </c>
      <c r="L860" s="20"/>
      <c r="M860" s="21" t="n">
        <f aca="false">H860-L860</f>
        <v>2165365</v>
      </c>
      <c r="N860" s="23" t="n">
        <f aca="false">IFERROR(M860/B860*10000,0)</f>
        <v>4.07644364724134</v>
      </c>
      <c r="O860" s="19" t="n">
        <v>1905006</v>
      </c>
      <c r="P860" s="19" t="n">
        <v>227210</v>
      </c>
      <c r="Q860" s="21" t="n">
        <f aca="false">O860+P860</f>
        <v>2132216</v>
      </c>
      <c r="R860" s="22" t="n">
        <f aca="false">IF(A860&lt;HlpChangeDate,HlpSharePre,HlpSharePost)</f>
        <v>0.01</v>
      </c>
      <c r="S860" s="21" t="n">
        <f aca="false">Q860*R860/(1-R860)</f>
        <v>21537.5353535354</v>
      </c>
      <c r="T860" s="19" t="n">
        <v>21538</v>
      </c>
      <c r="U860" s="21" t="n">
        <f aca="false">S860-T860</f>
        <v>-0.464646464646648</v>
      </c>
      <c r="V860" s="21" t="n">
        <f aca="false">Y860-O860*R860/(1-R860)</f>
        <v>241117.515151515</v>
      </c>
      <c r="W860" s="21" t="n">
        <f aca="false">Z860-P860*R860/(1-R860)</f>
        <v>40285.9494949495</v>
      </c>
      <c r="X860" s="21" t="n">
        <f aca="false">S860+V860+W860</f>
        <v>302941</v>
      </c>
      <c r="Y860" s="19" t="n">
        <v>260360</v>
      </c>
      <c r="Z860" s="19" t="n">
        <v>42581</v>
      </c>
      <c r="AA860" s="19" t="n">
        <v>2132216</v>
      </c>
      <c r="AB860" s="29" t="n">
        <v>50.777</v>
      </c>
      <c r="AC860" s="29" t="n">
        <v>52.47125</v>
      </c>
      <c r="AD860" s="24" t="n">
        <f aca="false">IFERROR(AA860/AC860,0)</f>
        <v>40635.8910832122</v>
      </c>
      <c r="AE860" s="25" t="n">
        <f aca="false">K860-Q860-X860</f>
        <v>-2</v>
      </c>
      <c r="AF860" s="25" t="n">
        <f aca="false">Q860-AA860</f>
        <v>0</v>
      </c>
      <c r="AG860" s="19" t="n">
        <v>1740089.345011</v>
      </c>
      <c r="AH860" s="26" t="n">
        <f aca="false">IFERROR(AG860/Q860,0)</f>
        <v>0.816094309868698</v>
      </c>
      <c r="AI860" s="27" t="n">
        <v>398721311.47541</v>
      </c>
      <c r="AJ860" s="26" t="n">
        <f aca="false">IF(AI860&gt;0,AprCoef/SQRT(AI860),0)</f>
        <v>0.0237379722117662</v>
      </c>
      <c r="AK860" s="24" t="n">
        <f aca="false">AI860*AJ860/365</f>
        <v>25931.0559234035</v>
      </c>
      <c r="AL860" s="24" t="n">
        <f aca="false">AD860</f>
        <v>40635.8910832122</v>
      </c>
      <c r="AM860" s="24" t="n">
        <f aca="false">AK860-AL860</f>
        <v>-14704.8351598088</v>
      </c>
      <c r="AN860" s="28" t="str">
        <f aca="false">IF(A860&gt;=Hip3LaunchDate,"YES","")</f>
        <v/>
      </c>
      <c r="AO860" s="28" t="str">
        <f aca="false">IF(A860&lt;Hip4LaunchDate,"pre-launch","live (zero-fee)")</f>
        <v>pre-launch</v>
      </c>
      <c r="AP860" s="20"/>
      <c r="AQ860" s="20"/>
      <c r="AR860" s="20"/>
    </row>
    <row r="861" customFormat="false" ht="15" hidden="false" customHeight="false" outlineLevel="0" collapsed="false">
      <c r="A861" s="18" t="n">
        <v>45922</v>
      </c>
      <c r="B861" s="19" t="n">
        <v>16410899803.69</v>
      </c>
      <c r="C861" s="19" t="n">
        <v>0</v>
      </c>
      <c r="D861" s="19" t="n">
        <v>783516467</v>
      </c>
      <c r="E861" s="21" t="n">
        <f aca="false">B861+C861</f>
        <v>16410899803.69</v>
      </c>
      <c r="F861" s="21" t="n">
        <f aca="false">E861+D861</f>
        <v>17194416270.69</v>
      </c>
      <c r="G861" s="22" t="n">
        <f aca="false">IFERROR(C861/E861,0)</f>
        <v>0</v>
      </c>
      <c r="H861" s="19" t="n">
        <v>5759172</v>
      </c>
      <c r="I861" s="19" t="n">
        <v>327310</v>
      </c>
      <c r="J861" s="19" t="n">
        <v>57327</v>
      </c>
      <c r="K861" s="21" t="n">
        <f aca="false">H861+I861</f>
        <v>6086482</v>
      </c>
      <c r="L861" s="20"/>
      <c r="M861" s="21" t="n">
        <f aca="false">H861-L861</f>
        <v>5759172</v>
      </c>
      <c r="N861" s="23" t="n">
        <f aca="false">IFERROR(M861/B861*10000,0)</f>
        <v>3.50935784685313</v>
      </c>
      <c r="O861" s="19" t="n">
        <v>5422293</v>
      </c>
      <c r="P861" s="19" t="n">
        <v>253053</v>
      </c>
      <c r="Q861" s="21" t="n">
        <f aca="false">O861+P861</f>
        <v>5675346</v>
      </c>
      <c r="R861" s="22" t="n">
        <f aca="false">IF(A861&lt;HlpChangeDate,HlpSharePre,HlpSharePost)</f>
        <v>0.01</v>
      </c>
      <c r="S861" s="21" t="n">
        <f aca="false">Q861*R861/(1-R861)</f>
        <v>57326.7272727273</v>
      </c>
      <c r="T861" s="19" t="n">
        <v>57327</v>
      </c>
      <c r="U861" s="21" t="n">
        <f aca="false">S861-T861</f>
        <v>-0.272727272727934</v>
      </c>
      <c r="V861" s="21" t="n">
        <f aca="false">Y861-O861*R861/(1-R861)</f>
        <v>282107.363636364</v>
      </c>
      <c r="W861" s="21" t="n">
        <f aca="false">Z861-P861*R861/(1-R861)</f>
        <v>71700.9090909091</v>
      </c>
      <c r="X861" s="21" t="n">
        <f aca="false">S861+V861+W861</f>
        <v>411135</v>
      </c>
      <c r="Y861" s="19" t="n">
        <v>336878</v>
      </c>
      <c r="Z861" s="19" t="n">
        <v>74257</v>
      </c>
      <c r="AA861" s="19" t="n">
        <v>5675346</v>
      </c>
      <c r="AB861" s="29" t="n">
        <v>47.216</v>
      </c>
      <c r="AC861" s="29" t="n">
        <v>48.85525</v>
      </c>
      <c r="AD861" s="24" t="n">
        <f aca="false">IFERROR(AA861/AC861,0)</f>
        <v>116166.553236346</v>
      </c>
      <c r="AE861" s="25" t="n">
        <f aca="false">K861-Q861-X861</f>
        <v>1</v>
      </c>
      <c r="AF861" s="25" t="n">
        <f aca="false">Q861-AA861</f>
        <v>0</v>
      </c>
      <c r="AG861" s="19" t="n">
        <v>4871367.10276306</v>
      </c>
      <c r="AH861" s="26" t="n">
        <f aca="false">IFERROR(AG861/Q861,0)</f>
        <v>0.858338346730412</v>
      </c>
      <c r="AI861" s="27" t="n">
        <v>398857923.497268</v>
      </c>
      <c r="AJ861" s="26" t="n">
        <f aca="false">IF(AI861&gt;0,AprCoef/SQRT(AI861),0)</f>
        <v>0.0237339066411529</v>
      </c>
      <c r="AK861" s="24" t="n">
        <f aca="false">AI861*AJ861/365</f>
        <v>25935.4978612829</v>
      </c>
      <c r="AL861" s="24" t="n">
        <f aca="false">AD861</f>
        <v>116166.553236346</v>
      </c>
      <c r="AM861" s="24" t="n">
        <f aca="false">AK861-AL861</f>
        <v>-90231.0553750633</v>
      </c>
      <c r="AN861" s="28" t="str">
        <f aca="false">IF(A861&gt;=Hip3LaunchDate,"YES","")</f>
        <v/>
      </c>
      <c r="AO861" s="28" t="str">
        <f aca="false">IF(A861&lt;Hip4LaunchDate,"pre-launch","live (zero-fee)")</f>
        <v>pre-launch</v>
      </c>
      <c r="AP861" s="20"/>
      <c r="AQ861" s="20"/>
      <c r="AR861" s="20"/>
    </row>
    <row r="862" customFormat="false" ht="15" hidden="false" customHeight="false" outlineLevel="0" collapsed="false">
      <c r="A862" s="18" t="n">
        <v>45923</v>
      </c>
      <c r="B862" s="19" t="n">
        <v>9710818917.33</v>
      </c>
      <c r="C862" s="19" t="n">
        <v>0</v>
      </c>
      <c r="D862" s="19" t="n">
        <v>516089514</v>
      </c>
      <c r="E862" s="21" t="n">
        <f aca="false">B862+C862</f>
        <v>9710818917.33</v>
      </c>
      <c r="F862" s="21" t="n">
        <f aca="false">E862+D862</f>
        <v>10226908431.33</v>
      </c>
      <c r="G862" s="22" t="n">
        <f aca="false">IFERROR(C862/E862,0)</f>
        <v>0</v>
      </c>
      <c r="H862" s="19" t="n">
        <v>3293140</v>
      </c>
      <c r="I862" s="19" t="n">
        <v>222638</v>
      </c>
      <c r="J862" s="19" t="n">
        <v>32502</v>
      </c>
      <c r="K862" s="21" t="n">
        <f aca="false">H862+I862</f>
        <v>3515778</v>
      </c>
      <c r="L862" s="20"/>
      <c r="M862" s="21" t="n">
        <f aca="false">H862-L862</f>
        <v>3293140</v>
      </c>
      <c r="N862" s="23" t="n">
        <f aca="false">IFERROR(M862/B862*10000,0)</f>
        <v>3.39120729985299</v>
      </c>
      <c r="O862" s="19" t="n">
        <v>3038689</v>
      </c>
      <c r="P862" s="19" t="n">
        <v>179008</v>
      </c>
      <c r="Q862" s="21" t="n">
        <f aca="false">O862+P862</f>
        <v>3217697</v>
      </c>
      <c r="R862" s="22" t="n">
        <f aca="false">IF(A862&lt;HlpChangeDate,HlpSharePre,HlpSharePost)</f>
        <v>0.01</v>
      </c>
      <c r="S862" s="21" t="n">
        <f aca="false">Q862*R862/(1-R862)</f>
        <v>32501.9898989899</v>
      </c>
      <c r="T862" s="19" t="n">
        <v>32502</v>
      </c>
      <c r="U862" s="21" t="n">
        <f aca="false">S862-T862</f>
        <v>-0.0101010100988788</v>
      </c>
      <c r="V862" s="21" t="n">
        <f aca="false">Y862-O862*R862/(1-R862)</f>
        <v>223757.171717172</v>
      </c>
      <c r="W862" s="21" t="n">
        <f aca="false">Z862-P862*R862/(1-R862)</f>
        <v>41821.8383838384</v>
      </c>
      <c r="X862" s="21" t="n">
        <f aca="false">S862+V862+W862</f>
        <v>298081</v>
      </c>
      <c r="Y862" s="19" t="n">
        <v>254451</v>
      </c>
      <c r="Z862" s="19" t="n">
        <v>43630</v>
      </c>
      <c r="AA862" s="19" t="n">
        <v>3217697</v>
      </c>
      <c r="AB862" s="29" t="n">
        <v>44.595</v>
      </c>
      <c r="AC862" s="29" t="n">
        <v>46.2495</v>
      </c>
      <c r="AD862" s="24" t="n">
        <f aca="false">IFERROR(AA862/AC862,0)</f>
        <v>69572.579163018</v>
      </c>
      <c r="AE862" s="25" t="n">
        <f aca="false">K862-Q862-X862</f>
        <v>0</v>
      </c>
      <c r="AF862" s="25" t="n">
        <f aca="false">Q862-AA862</f>
        <v>0</v>
      </c>
      <c r="AG862" s="19" t="n">
        <v>2838180.84212995</v>
      </c>
      <c r="AH862" s="26" t="n">
        <f aca="false">IFERROR(AG862/Q862,0)</f>
        <v>0.882053481769709</v>
      </c>
      <c r="AI862" s="27" t="n">
        <v>398994535.519126</v>
      </c>
      <c r="AJ862" s="26" t="n">
        <f aca="false">IF(AI862&gt;0,AprCoef/SQRT(AI862),0)</f>
        <v>0.0237298431587387</v>
      </c>
      <c r="AK862" s="24" t="n">
        <f aca="false">AI862*AJ862/365</f>
        <v>25939.9390385278</v>
      </c>
      <c r="AL862" s="24" t="n">
        <f aca="false">AD862</f>
        <v>69572.579163018</v>
      </c>
      <c r="AM862" s="24" t="n">
        <f aca="false">AK862-AL862</f>
        <v>-43632.6401244902</v>
      </c>
      <c r="AN862" s="28" t="str">
        <f aca="false">IF(A862&gt;=Hip3LaunchDate,"YES","")</f>
        <v/>
      </c>
      <c r="AO862" s="28" t="str">
        <f aca="false">IF(A862&lt;Hip4LaunchDate,"pre-launch","live (zero-fee)")</f>
        <v>pre-launch</v>
      </c>
      <c r="AP862" s="20"/>
      <c r="AQ862" s="20"/>
      <c r="AR862" s="20"/>
    </row>
    <row r="863" customFormat="false" ht="15" hidden="false" customHeight="false" outlineLevel="0" collapsed="false">
      <c r="A863" s="18" t="n">
        <v>45924</v>
      </c>
      <c r="B863" s="19" t="n">
        <v>9364843437.61</v>
      </c>
      <c r="C863" s="19" t="n">
        <v>0</v>
      </c>
      <c r="D863" s="19" t="n">
        <v>536372957</v>
      </c>
      <c r="E863" s="21" t="n">
        <f aca="false">B863+C863</f>
        <v>9364843437.61</v>
      </c>
      <c r="F863" s="21" t="n">
        <f aca="false">E863+D863</f>
        <v>9901216394.61</v>
      </c>
      <c r="G863" s="22" t="n">
        <f aca="false">IFERROR(C863/E863,0)</f>
        <v>0</v>
      </c>
      <c r="H863" s="19" t="n">
        <v>2896945</v>
      </c>
      <c r="I863" s="19" t="n">
        <v>211012</v>
      </c>
      <c r="J863" s="19" t="n">
        <v>28617</v>
      </c>
      <c r="K863" s="21" t="n">
        <f aca="false">H863+I863</f>
        <v>3107957</v>
      </c>
      <c r="L863" s="20"/>
      <c r="M863" s="21" t="n">
        <f aca="false">H863-L863</f>
        <v>2896945</v>
      </c>
      <c r="N863" s="23" t="n">
        <f aca="false">IFERROR(M863/B863*10000,0)</f>
        <v>3.09342598122423</v>
      </c>
      <c r="O863" s="19" t="n">
        <v>2659902</v>
      </c>
      <c r="P863" s="19" t="n">
        <v>173179</v>
      </c>
      <c r="Q863" s="21" t="n">
        <f aca="false">O863+P863</f>
        <v>2833081</v>
      </c>
      <c r="R863" s="22" t="n">
        <f aca="false">IF(A863&lt;HlpChangeDate,HlpSharePre,HlpSharePost)</f>
        <v>0.01</v>
      </c>
      <c r="S863" s="21" t="n">
        <f aca="false">Q863*R863/(1-R863)</f>
        <v>28616.9797979798</v>
      </c>
      <c r="T863" s="19" t="n">
        <v>28617</v>
      </c>
      <c r="U863" s="21" t="n">
        <f aca="false">S863-T863</f>
        <v>-0.0202020202013955</v>
      </c>
      <c r="V863" s="21" t="n">
        <f aca="false">Y863-O863*R863/(1-R863)</f>
        <v>210175.303030303</v>
      </c>
      <c r="W863" s="21" t="n">
        <f aca="false">Z863-P863*R863/(1-R863)</f>
        <v>36083.7171717172</v>
      </c>
      <c r="X863" s="21" t="n">
        <f aca="false">S863+V863+W863</f>
        <v>274876</v>
      </c>
      <c r="Y863" s="19" t="n">
        <v>237043</v>
      </c>
      <c r="Z863" s="19" t="n">
        <v>37833</v>
      </c>
      <c r="AA863" s="19" t="n">
        <v>2833081</v>
      </c>
      <c r="AB863" s="29" t="n">
        <v>45.65</v>
      </c>
      <c r="AC863" s="29" t="n">
        <v>45.048</v>
      </c>
      <c r="AD863" s="24" t="n">
        <f aca="false">IFERROR(AA863/AC863,0)</f>
        <v>62890.2725981176</v>
      </c>
      <c r="AE863" s="25" t="n">
        <f aca="false">K863-Q863-X863</f>
        <v>0</v>
      </c>
      <c r="AF863" s="25" t="n">
        <f aca="false">Q863-AA863</f>
        <v>0</v>
      </c>
      <c r="AG863" s="19" t="n">
        <v>2705082.63421297</v>
      </c>
      <c r="AH863" s="26" t="n">
        <f aca="false">IFERROR(AG863/Q863,0)</f>
        <v>0.954820082522516</v>
      </c>
      <c r="AI863" s="27" t="n">
        <v>399131147.540984</v>
      </c>
      <c r="AJ863" s="26" t="n">
        <f aca="false">IF(AI863&gt;0,AprCoef/SQRT(AI863),0)</f>
        <v>0.0237257817627367</v>
      </c>
      <c r="AK863" s="24" t="n">
        <f aca="false">AI863*AJ863/365</f>
        <v>25944.3794555289</v>
      </c>
      <c r="AL863" s="24" t="n">
        <f aca="false">AD863</f>
        <v>62890.2725981176</v>
      </c>
      <c r="AM863" s="24" t="n">
        <f aca="false">AK863-AL863</f>
        <v>-36945.8931425887</v>
      </c>
      <c r="AN863" s="28" t="str">
        <f aca="false">IF(A863&gt;=Hip3LaunchDate,"YES","")</f>
        <v/>
      </c>
      <c r="AO863" s="28" t="str">
        <f aca="false">IF(A863&lt;Hip4LaunchDate,"pre-launch","live (zero-fee)")</f>
        <v>pre-launch</v>
      </c>
      <c r="AP863" s="20"/>
      <c r="AQ863" s="20"/>
      <c r="AR863" s="20"/>
    </row>
    <row r="864" customFormat="false" ht="15" hidden="false" customHeight="false" outlineLevel="0" collapsed="false">
      <c r="A864" s="18" t="n">
        <v>45925</v>
      </c>
      <c r="B864" s="19" t="n">
        <v>17338409014.87</v>
      </c>
      <c r="C864" s="19" t="n">
        <v>0</v>
      </c>
      <c r="D864" s="19" t="n">
        <v>1367424995</v>
      </c>
      <c r="E864" s="21" t="n">
        <f aca="false">B864+C864</f>
        <v>17338409014.87</v>
      </c>
      <c r="F864" s="21" t="n">
        <f aca="false">E864+D864</f>
        <v>18705834009.87</v>
      </c>
      <c r="G864" s="22" t="n">
        <f aca="false">IFERROR(C864/E864,0)</f>
        <v>0</v>
      </c>
      <c r="H864" s="19" t="n">
        <v>5362372</v>
      </c>
      <c r="I864" s="19" t="n">
        <v>607352</v>
      </c>
      <c r="J864" s="19" t="n">
        <v>54676</v>
      </c>
      <c r="K864" s="21" t="n">
        <f aca="false">H864+I864</f>
        <v>5969724</v>
      </c>
      <c r="L864" s="20"/>
      <c r="M864" s="21" t="n">
        <f aca="false">H864-L864</f>
        <v>5362372</v>
      </c>
      <c r="N864" s="23" t="n">
        <f aca="false">IFERROR(M864/B864*10000,0)</f>
        <v>3.09277050472223</v>
      </c>
      <c r="O864" s="19" t="n">
        <v>4996779</v>
      </c>
      <c r="P864" s="19" t="n">
        <v>416147</v>
      </c>
      <c r="Q864" s="21" t="n">
        <f aca="false">O864+P864</f>
        <v>5412926</v>
      </c>
      <c r="R864" s="22" t="n">
        <f aca="false">IF(A864&lt;HlpChangeDate,HlpSharePre,HlpSharePost)</f>
        <v>0.01</v>
      </c>
      <c r="S864" s="21" t="n">
        <f aca="false">Q864*R864/(1-R864)</f>
        <v>54676.0202020202</v>
      </c>
      <c r="T864" s="19" t="n">
        <v>54676</v>
      </c>
      <c r="U864" s="21" t="n">
        <f aca="false">S864-T864</f>
        <v>0.0202020202050335</v>
      </c>
      <c r="V864" s="21" t="n">
        <f aca="false">Y864-O864*R864/(1-R864)</f>
        <v>315120.484848485</v>
      </c>
      <c r="W864" s="21" t="n">
        <f aca="false">Z864-P864*R864/(1-R864)</f>
        <v>187001.494949495</v>
      </c>
      <c r="X864" s="21" t="n">
        <f aca="false">S864+V864+W864</f>
        <v>556798</v>
      </c>
      <c r="Y864" s="19" t="n">
        <v>365593</v>
      </c>
      <c r="Z864" s="19" t="n">
        <v>191205</v>
      </c>
      <c r="AA864" s="19" t="n">
        <v>5412926</v>
      </c>
      <c r="AB864" s="29" t="n">
        <v>40.367</v>
      </c>
      <c r="AC864" s="29" t="n">
        <v>42.9255</v>
      </c>
      <c r="AD864" s="24" t="n">
        <f aca="false">IFERROR(AA864/AC864,0)</f>
        <v>126100.476406798</v>
      </c>
      <c r="AE864" s="25" t="n">
        <f aca="false">K864-Q864-X864</f>
        <v>0</v>
      </c>
      <c r="AF864" s="25" t="n">
        <f aca="false">Q864-AA864</f>
        <v>0</v>
      </c>
      <c r="AG864" s="19" t="n">
        <v>5021710.53060198</v>
      </c>
      <c r="AH864" s="26" t="n">
        <f aca="false">IFERROR(AG864/Q864,0)</f>
        <v>0.927725694125872</v>
      </c>
      <c r="AI864" s="27" t="n">
        <v>399267759.562842</v>
      </c>
      <c r="AJ864" s="26" t="n">
        <f aca="false">IF(AI864&gt;0,AprCoef/SQRT(AI864),0)</f>
        <v>0.023721722451362</v>
      </c>
      <c r="AK864" s="24" t="n">
        <f aca="false">AI864*AJ864/365</f>
        <v>25948.8191126764</v>
      </c>
      <c r="AL864" s="24" t="n">
        <f aca="false">AD864</f>
        <v>126100.476406798</v>
      </c>
      <c r="AM864" s="24" t="n">
        <f aca="false">AK864-AL864</f>
        <v>-100151.657294121</v>
      </c>
      <c r="AN864" s="28" t="str">
        <f aca="false">IF(A864&gt;=Hip3LaunchDate,"YES","")</f>
        <v/>
      </c>
      <c r="AO864" s="28" t="str">
        <f aca="false">IF(A864&lt;Hip4LaunchDate,"pre-launch","live (zero-fee)")</f>
        <v>pre-launch</v>
      </c>
      <c r="AP864" s="20"/>
      <c r="AQ864" s="20"/>
      <c r="AR864" s="20"/>
    </row>
    <row r="865" customFormat="false" ht="15" hidden="false" customHeight="false" outlineLevel="0" collapsed="false">
      <c r="A865" s="18" t="n">
        <v>45926</v>
      </c>
      <c r="B865" s="19" t="n">
        <v>9099654714.81</v>
      </c>
      <c r="C865" s="19" t="n">
        <v>0</v>
      </c>
      <c r="D865" s="19" t="n">
        <v>1037080955</v>
      </c>
      <c r="E865" s="21" t="n">
        <f aca="false">B865+C865</f>
        <v>9099654714.81</v>
      </c>
      <c r="F865" s="21" t="n">
        <f aca="false">E865+D865</f>
        <v>10136735669.81</v>
      </c>
      <c r="G865" s="22" t="n">
        <f aca="false">IFERROR(C865/E865,0)</f>
        <v>0</v>
      </c>
      <c r="H865" s="19" t="n">
        <v>3139430</v>
      </c>
      <c r="I865" s="19" t="n">
        <v>497915</v>
      </c>
      <c r="J865" s="19" t="n">
        <v>32287</v>
      </c>
      <c r="K865" s="21" t="n">
        <f aca="false">H865+I865</f>
        <v>3637345</v>
      </c>
      <c r="L865" s="20"/>
      <c r="M865" s="21" t="n">
        <f aca="false">H865-L865</f>
        <v>3139430</v>
      </c>
      <c r="N865" s="23" t="n">
        <f aca="false">IFERROR(M865/B865*10000,0)</f>
        <v>3.45005398379619</v>
      </c>
      <c r="O865" s="19" t="n">
        <v>2877919</v>
      </c>
      <c r="P865" s="19" t="n">
        <v>318514</v>
      </c>
      <c r="Q865" s="21" t="n">
        <f aca="false">O865+P865</f>
        <v>3196433</v>
      </c>
      <c r="R865" s="22" t="n">
        <f aca="false">IF(A865&lt;HlpChangeDate,HlpSharePre,HlpSharePost)</f>
        <v>0.01</v>
      </c>
      <c r="S865" s="21" t="n">
        <f aca="false">Q865*R865/(1-R865)</f>
        <v>32287.202020202</v>
      </c>
      <c r="T865" s="19" t="n">
        <v>32287</v>
      </c>
      <c r="U865" s="21" t="n">
        <f aca="false">S865-T865</f>
        <v>0.202020202021231</v>
      </c>
      <c r="V865" s="21" t="n">
        <f aca="false">Y865-O865*R865/(1-R865)</f>
        <v>232441.111111111</v>
      </c>
      <c r="W865" s="21" t="n">
        <f aca="false">Z865-P865*R865/(1-R865)</f>
        <v>176183.686868687</v>
      </c>
      <c r="X865" s="21" t="n">
        <f aca="false">S865+V865+W865</f>
        <v>440912</v>
      </c>
      <c r="Y865" s="19" t="n">
        <v>261511</v>
      </c>
      <c r="Z865" s="19" t="n">
        <v>179401</v>
      </c>
      <c r="AA865" s="19" t="n">
        <v>3196433</v>
      </c>
      <c r="AB865" s="29" t="n">
        <v>44.822</v>
      </c>
      <c r="AC865" s="29" t="n">
        <v>42.79275</v>
      </c>
      <c r="AD865" s="24" t="n">
        <f aca="false">IFERROR(AA865/AC865,0)</f>
        <v>74695.6669061932</v>
      </c>
      <c r="AE865" s="25" t="n">
        <f aca="false">K865-Q865-X865</f>
        <v>0</v>
      </c>
      <c r="AF865" s="25" t="n">
        <f aca="false">Q865-AA865</f>
        <v>0</v>
      </c>
      <c r="AG865" s="19" t="n">
        <v>2971177.32124007</v>
      </c>
      <c r="AH865" s="26" t="n">
        <f aca="false">IFERROR(AG865/Q865,0)</f>
        <v>0.92952904729743</v>
      </c>
      <c r="AI865" s="27" t="n">
        <v>399404371.5847</v>
      </c>
      <c r="AJ865" s="26" t="n">
        <f aca="false">IF(AI865&gt;0,AprCoef/SQRT(AI865),0)</f>
        <v>0.023717665222832</v>
      </c>
      <c r="AK865" s="24" t="n">
        <f aca="false">AI865*AJ865/365</f>
        <v>25953.2580103602</v>
      </c>
      <c r="AL865" s="24" t="n">
        <f aca="false">AD865</f>
        <v>74695.6669061932</v>
      </c>
      <c r="AM865" s="24" t="n">
        <f aca="false">AK865-AL865</f>
        <v>-48742.408895833</v>
      </c>
      <c r="AN865" s="28" t="str">
        <f aca="false">IF(A865&gt;=Hip3LaunchDate,"YES","")</f>
        <v/>
      </c>
      <c r="AO865" s="28" t="str">
        <f aca="false">IF(A865&lt;Hip4LaunchDate,"pre-launch","live (zero-fee)")</f>
        <v>pre-launch</v>
      </c>
      <c r="AP865" s="20"/>
      <c r="AQ865" s="20"/>
      <c r="AR865" s="20"/>
    </row>
    <row r="866" customFormat="false" ht="15" hidden="false" customHeight="false" outlineLevel="0" collapsed="false">
      <c r="A866" s="18" t="n">
        <v>45927</v>
      </c>
      <c r="B866" s="19" t="n">
        <v>4181427581.76</v>
      </c>
      <c r="C866" s="19" t="n">
        <v>0</v>
      </c>
      <c r="D866" s="19" t="n">
        <v>639827893</v>
      </c>
      <c r="E866" s="21" t="n">
        <f aca="false">B866+C866</f>
        <v>4181427581.76</v>
      </c>
      <c r="F866" s="21" t="n">
        <f aca="false">E866+D866</f>
        <v>4821255474.76</v>
      </c>
      <c r="G866" s="22" t="n">
        <f aca="false">IFERROR(C866/E866,0)</f>
        <v>0</v>
      </c>
      <c r="H866" s="19" t="n">
        <v>1493261</v>
      </c>
      <c r="I866" s="19" t="n">
        <v>293605</v>
      </c>
      <c r="J866" s="19" t="n">
        <v>15445</v>
      </c>
      <c r="K866" s="21" t="n">
        <f aca="false">H866+I866</f>
        <v>1786866</v>
      </c>
      <c r="L866" s="20"/>
      <c r="M866" s="21" t="n">
        <f aca="false">H866-L866</f>
        <v>1493261</v>
      </c>
      <c r="N866" s="23" t="n">
        <f aca="false">IFERROR(M866/B866*10000,0)</f>
        <v>3.57117508506861</v>
      </c>
      <c r="O866" s="19" t="n">
        <v>1359127</v>
      </c>
      <c r="P866" s="19" t="n">
        <v>169956</v>
      </c>
      <c r="Q866" s="21" t="n">
        <f aca="false">O866+P866</f>
        <v>1529083</v>
      </c>
      <c r="R866" s="22" t="n">
        <f aca="false">IF(A866&lt;HlpChangeDate,HlpSharePre,HlpSharePost)</f>
        <v>0.01</v>
      </c>
      <c r="S866" s="21" t="n">
        <f aca="false">Q866*R866/(1-R866)</f>
        <v>15445.2828282828</v>
      </c>
      <c r="T866" s="19" t="n">
        <v>15445</v>
      </c>
      <c r="U866" s="21" t="n">
        <f aca="false">S866-T866</f>
        <v>0.282828282828632</v>
      </c>
      <c r="V866" s="21" t="n">
        <f aca="false">Y866-O866*R866/(1-R866)</f>
        <v>120404.444444444</v>
      </c>
      <c r="W866" s="21" t="n">
        <f aca="false">Z866-P866*R866/(1-R866)</f>
        <v>121932.272727273</v>
      </c>
      <c r="X866" s="21" t="n">
        <f aca="false">S866+V866+W866</f>
        <v>257782</v>
      </c>
      <c r="Y866" s="19" t="n">
        <v>134133</v>
      </c>
      <c r="Z866" s="19" t="n">
        <v>123649</v>
      </c>
      <c r="AA866" s="19" t="n">
        <v>1529083</v>
      </c>
      <c r="AB866" s="29" t="n">
        <v>45.755</v>
      </c>
      <c r="AC866" s="29" t="n">
        <v>45.083</v>
      </c>
      <c r="AD866" s="24" t="n">
        <f aca="false">IFERROR(AA866/AC866,0)</f>
        <v>33917.0640818047</v>
      </c>
      <c r="AE866" s="25" t="n">
        <f aca="false">K866-Q866-X866</f>
        <v>1</v>
      </c>
      <c r="AF866" s="25" t="n">
        <f aca="false">Q866-AA866</f>
        <v>0</v>
      </c>
      <c r="AG866" s="19" t="n">
        <v>1444572.34182096</v>
      </c>
      <c r="AH866" s="26" t="n">
        <f aca="false">IFERROR(AG866/Q866,0)</f>
        <v>0.94473115051371</v>
      </c>
      <c r="AI866" s="27" t="n">
        <v>399540983.606557</v>
      </c>
      <c r="AJ866" s="26" t="n">
        <f aca="false">IF(AI866&gt;0,AprCoef/SQRT(AI866),0)</f>
        <v>0.023713610075366</v>
      </c>
      <c r="AK866" s="24" t="n">
        <f aca="false">AI866*AJ866/365</f>
        <v>25957.6961489701</v>
      </c>
      <c r="AL866" s="24" t="n">
        <f aca="false">AD866</f>
        <v>33917.0640818047</v>
      </c>
      <c r="AM866" s="24" t="n">
        <f aca="false">AK866-AL866</f>
        <v>-7959.36793283455</v>
      </c>
      <c r="AN866" s="28" t="str">
        <f aca="false">IF(A866&gt;=Hip3LaunchDate,"YES","")</f>
        <v/>
      </c>
      <c r="AO866" s="28" t="str">
        <f aca="false">IF(A866&lt;Hip4LaunchDate,"pre-launch","live (zero-fee)")</f>
        <v>pre-launch</v>
      </c>
      <c r="AP866" s="20"/>
      <c r="AQ866" s="20"/>
      <c r="AR866" s="20"/>
    </row>
    <row r="867" customFormat="false" ht="15" hidden="false" customHeight="false" outlineLevel="0" collapsed="false">
      <c r="A867" s="18" t="n">
        <v>45928</v>
      </c>
      <c r="B867" s="19" t="n">
        <v>5697862969.07</v>
      </c>
      <c r="C867" s="19" t="n">
        <v>0</v>
      </c>
      <c r="D867" s="19" t="n">
        <v>477300071</v>
      </c>
      <c r="E867" s="21" t="n">
        <f aca="false">B867+C867</f>
        <v>5697862969.07</v>
      </c>
      <c r="F867" s="21" t="n">
        <f aca="false">E867+D867</f>
        <v>6175163040.07</v>
      </c>
      <c r="G867" s="22" t="n">
        <f aca="false">IFERROR(C867/E867,0)</f>
        <v>0</v>
      </c>
      <c r="H867" s="19" t="n">
        <v>1932888</v>
      </c>
      <c r="I867" s="19" t="n">
        <v>212923</v>
      </c>
      <c r="J867" s="19" t="n">
        <v>19477</v>
      </c>
      <c r="K867" s="21" t="n">
        <f aca="false">H867+I867</f>
        <v>2145811</v>
      </c>
      <c r="L867" s="20"/>
      <c r="M867" s="21" t="n">
        <f aca="false">H867-L867</f>
        <v>1932888</v>
      </c>
      <c r="N867" s="23" t="n">
        <f aca="false">IFERROR(M867/B867*10000,0)</f>
        <v>3.39230341356469</v>
      </c>
      <c r="O867" s="19" t="n">
        <v>1780315</v>
      </c>
      <c r="P867" s="19" t="n">
        <v>147917</v>
      </c>
      <c r="Q867" s="21" t="n">
        <f aca="false">O867+P867</f>
        <v>1928232</v>
      </c>
      <c r="R867" s="22" t="n">
        <f aca="false">IF(A867&lt;HlpChangeDate,HlpSharePre,HlpSharePost)</f>
        <v>0.01</v>
      </c>
      <c r="S867" s="21" t="n">
        <f aca="false">Q867*R867/(1-R867)</f>
        <v>19477.0909090909</v>
      </c>
      <c r="T867" s="19" t="n">
        <v>19477</v>
      </c>
      <c r="U867" s="21" t="n">
        <f aca="false">S867-T867</f>
        <v>0.0909090909080987</v>
      </c>
      <c r="V867" s="21" t="n">
        <f aca="false">Y867-O867*R867/(1-R867)</f>
        <v>134591.02020202</v>
      </c>
      <c r="W867" s="21" t="n">
        <f aca="false">Z867-P867*R867/(1-R867)</f>
        <v>63510.8888888889</v>
      </c>
      <c r="X867" s="21" t="n">
        <f aca="false">S867+V867+W867</f>
        <v>217579</v>
      </c>
      <c r="Y867" s="19" t="n">
        <v>152574</v>
      </c>
      <c r="Z867" s="19" t="n">
        <v>65005</v>
      </c>
      <c r="AA867" s="19" t="n">
        <v>1928232</v>
      </c>
      <c r="AB867" s="29" t="n">
        <v>47.224</v>
      </c>
      <c r="AC867" s="29" t="n">
        <v>45.81625</v>
      </c>
      <c r="AD867" s="24" t="n">
        <f aca="false">IFERROR(AA867/AC867,0)</f>
        <v>42086.2030393147</v>
      </c>
      <c r="AE867" s="25" t="n">
        <f aca="false">K867-Q867-X867</f>
        <v>0</v>
      </c>
      <c r="AF867" s="25" t="n">
        <f aca="false">Q867-AA867</f>
        <v>0</v>
      </c>
      <c r="AG867" s="19" t="n">
        <v>1765539.08360004</v>
      </c>
      <c r="AH867" s="26" t="n">
        <f aca="false">IFERROR(AG867/Q867,0)</f>
        <v>0.915625860166227</v>
      </c>
      <c r="AI867" s="27" t="n">
        <v>399677595.628415</v>
      </c>
      <c r="AJ867" s="26" t="n">
        <f aca="false">IF(AI867&gt;0,AprCoef/SQRT(AI867),0)</f>
        <v>0.0237095570071856</v>
      </c>
      <c r="AK867" s="24" t="n">
        <f aca="false">AI867*AJ867/365</f>
        <v>25962.1335288953</v>
      </c>
      <c r="AL867" s="24" t="n">
        <f aca="false">AD867</f>
        <v>42086.2030393147</v>
      </c>
      <c r="AM867" s="24" t="n">
        <f aca="false">AK867-AL867</f>
        <v>-16124.0695104194</v>
      </c>
      <c r="AN867" s="28" t="str">
        <f aca="false">IF(A867&gt;=Hip3LaunchDate,"YES","")</f>
        <v/>
      </c>
      <c r="AO867" s="28" t="str">
        <f aca="false">IF(A867&lt;Hip4LaunchDate,"pre-launch","live (zero-fee)")</f>
        <v>pre-launch</v>
      </c>
      <c r="AP867" s="20"/>
      <c r="AQ867" s="20"/>
      <c r="AR867" s="20"/>
    </row>
    <row r="868" customFormat="false" ht="15" hidden="false" customHeight="false" outlineLevel="0" collapsed="false">
      <c r="A868" s="18" t="n">
        <v>45929</v>
      </c>
      <c r="B868" s="19" t="n">
        <v>7934780754.13</v>
      </c>
      <c r="C868" s="19" t="n">
        <v>0</v>
      </c>
      <c r="D868" s="19" t="n">
        <v>548722349</v>
      </c>
      <c r="E868" s="21" t="n">
        <f aca="false">B868+C868</f>
        <v>7934780754.13</v>
      </c>
      <c r="F868" s="21" t="n">
        <f aca="false">E868+D868</f>
        <v>8483503103.13</v>
      </c>
      <c r="G868" s="22" t="n">
        <f aca="false">IFERROR(C868/E868,0)</f>
        <v>0</v>
      </c>
      <c r="H868" s="19" t="n">
        <v>2645646</v>
      </c>
      <c r="I868" s="19" t="n">
        <v>258840</v>
      </c>
      <c r="J868" s="19" t="n">
        <v>26272</v>
      </c>
      <c r="K868" s="21" t="n">
        <f aca="false">H868+I868</f>
        <v>2904486</v>
      </c>
      <c r="L868" s="20"/>
      <c r="M868" s="21" t="n">
        <f aca="false">H868-L868</f>
        <v>2645646</v>
      </c>
      <c r="N868" s="23" t="n">
        <f aca="false">IFERROR(M868/B868*10000,0)</f>
        <v>3.3342395738193</v>
      </c>
      <c r="O868" s="19" t="n">
        <v>2425905</v>
      </c>
      <c r="P868" s="19" t="n">
        <v>174982</v>
      </c>
      <c r="Q868" s="21" t="n">
        <f aca="false">O868+P868</f>
        <v>2600887</v>
      </c>
      <c r="R868" s="22" t="n">
        <f aca="false">IF(A868&lt;HlpChangeDate,HlpSharePre,HlpSharePost)</f>
        <v>0.01</v>
      </c>
      <c r="S868" s="21" t="n">
        <f aca="false">Q868*R868/(1-R868)</f>
        <v>26271.5858585859</v>
      </c>
      <c r="T868" s="19" t="n">
        <v>26272</v>
      </c>
      <c r="U868" s="21" t="n">
        <f aca="false">S868-T868</f>
        <v>-0.414141414141341</v>
      </c>
      <c r="V868" s="21" t="n">
        <f aca="false">Y868-O868*R868/(1-R868)</f>
        <v>195235.909090909</v>
      </c>
      <c r="W868" s="21" t="n">
        <f aca="false">Z868-P868*R868/(1-R868)</f>
        <v>82090.5050505051</v>
      </c>
      <c r="X868" s="21" t="n">
        <f aca="false">S868+V868+W868</f>
        <v>303598</v>
      </c>
      <c r="Y868" s="19" t="n">
        <v>219740</v>
      </c>
      <c r="Z868" s="19" t="n">
        <v>83858</v>
      </c>
      <c r="AA868" s="19" t="n">
        <v>2600887</v>
      </c>
      <c r="AB868" s="29" t="n">
        <v>46.205</v>
      </c>
      <c r="AC868" s="29" t="n">
        <v>46.633</v>
      </c>
      <c r="AD868" s="24" t="n">
        <f aca="false">IFERROR(AA868/AC868,0)</f>
        <v>55773.5294748354</v>
      </c>
      <c r="AE868" s="25" t="n">
        <f aca="false">K868-Q868-X868</f>
        <v>1</v>
      </c>
      <c r="AF868" s="25" t="n">
        <f aca="false">Q868-AA868</f>
        <v>0</v>
      </c>
      <c r="AG868" s="19" t="n">
        <v>2459428.14072692</v>
      </c>
      <c r="AH868" s="26" t="n">
        <f aca="false">IFERROR(AG868/Q868,0)</f>
        <v>0.945611301347165</v>
      </c>
      <c r="AI868" s="27" t="n">
        <v>399814207.650273</v>
      </c>
      <c r="AJ868" s="26" t="n">
        <f aca="false">IF(AI868&gt;0,AprCoef/SQRT(AI868),0)</f>
        <v>0.0237055060165144</v>
      </c>
      <c r="AK868" s="24" t="n">
        <f aca="false">AI868*AJ868/365</f>
        <v>25966.5701505247</v>
      </c>
      <c r="AL868" s="24" t="n">
        <f aca="false">AD868</f>
        <v>55773.5294748354</v>
      </c>
      <c r="AM868" s="24" t="n">
        <f aca="false">AK868-AL868</f>
        <v>-29806.9593243107</v>
      </c>
      <c r="AN868" s="28" t="str">
        <f aca="false">IF(A868&gt;=Hip3LaunchDate,"YES","")</f>
        <v/>
      </c>
      <c r="AO868" s="28" t="str">
        <f aca="false">IF(A868&lt;Hip4LaunchDate,"pre-launch","live (zero-fee)")</f>
        <v>pre-launch</v>
      </c>
      <c r="AP868" s="20"/>
      <c r="AQ868" s="20"/>
      <c r="AR868" s="20"/>
    </row>
    <row r="869" customFormat="false" ht="15" hidden="false" customHeight="false" outlineLevel="0" collapsed="false">
      <c r="A869" s="18" t="n">
        <v>45930</v>
      </c>
      <c r="B869" s="19" t="n">
        <v>8498007774.04</v>
      </c>
      <c r="C869" s="19" t="n">
        <v>0</v>
      </c>
      <c r="D869" s="19" t="n">
        <v>597586698</v>
      </c>
      <c r="E869" s="21" t="n">
        <f aca="false">B869+C869</f>
        <v>8498007774.04</v>
      </c>
      <c r="F869" s="21" t="n">
        <f aca="false">E869+D869</f>
        <v>9095594472.04</v>
      </c>
      <c r="G869" s="22" t="n">
        <f aca="false">IFERROR(C869/E869,0)</f>
        <v>0</v>
      </c>
      <c r="H869" s="19" t="n">
        <v>2738257</v>
      </c>
      <c r="I869" s="19" t="n">
        <v>272745</v>
      </c>
      <c r="J869" s="19" t="n">
        <v>27401</v>
      </c>
      <c r="K869" s="21" t="n">
        <f aca="false">H869+I869</f>
        <v>3011002</v>
      </c>
      <c r="L869" s="20"/>
      <c r="M869" s="21" t="n">
        <f aca="false">H869-L869</f>
        <v>2738257</v>
      </c>
      <c r="N869" s="23" t="n">
        <f aca="false">IFERROR(M869/B869*10000,0)</f>
        <v>3.22223404921436</v>
      </c>
      <c r="O869" s="19" t="n">
        <v>2521826</v>
      </c>
      <c r="P869" s="19" t="n">
        <v>190907</v>
      </c>
      <c r="Q869" s="21" t="n">
        <f aca="false">O869+P869</f>
        <v>2712733</v>
      </c>
      <c r="R869" s="22" t="n">
        <f aca="false">IF(A869&lt;HlpChangeDate,HlpSharePre,HlpSharePost)</f>
        <v>0.01</v>
      </c>
      <c r="S869" s="21" t="n">
        <f aca="false">Q869*R869/(1-R869)</f>
        <v>27401.3434343434</v>
      </c>
      <c r="T869" s="19" t="n">
        <v>27401</v>
      </c>
      <c r="U869" s="21" t="n">
        <f aca="false">S869-T869</f>
        <v>0.343434343434637</v>
      </c>
      <c r="V869" s="21" t="n">
        <f aca="false">Y869-O869*R869/(1-R869)</f>
        <v>190958.01010101</v>
      </c>
      <c r="W869" s="21" t="n">
        <f aca="false">Z869-P869*R869/(1-R869)</f>
        <v>79909.6464646465</v>
      </c>
      <c r="X869" s="21" t="n">
        <f aca="false">S869+V869+W869</f>
        <v>298269</v>
      </c>
      <c r="Y869" s="19" t="n">
        <v>216431</v>
      </c>
      <c r="Z869" s="19" t="n">
        <v>81838</v>
      </c>
      <c r="AA869" s="19" t="n">
        <v>2712733</v>
      </c>
      <c r="AB869" s="29" t="n">
        <v>45.212</v>
      </c>
      <c r="AC869" s="29" t="n">
        <v>45.32325</v>
      </c>
      <c r="AD869" s="24" t="n">
        <f aca="false">IFERROR(AA869/AC869,0)</f>
        <v>59853.0114234968</v>
      </c>
      <c r="AE869" s="25" t="n">
        <f aca="false">K869-Q869-X869</f>
        <v>0</v>
      </c>
      <c r="AF869" s="25" t="n">
        <f aca="false">Q869-AA869</f>
        <v>0</v>
      </c>
      <c r="AG869" s="19" t="n">
        <v>2573393.06640911</v>
      </c>
      <c r="AH869" s="26" t="n">
        <f aca="false">IFERROR(AG869/Q869,0)</f>
        <v>0.948634851424416</v>
      </c>
      <c r="AI869" s="27" t="n">
        <v>399950819.672131</v>
      </c>
      <c r="AJ869" s="26" t="n">
        <f aca="false">IF(AI869&gt;0,AprCoef/SQRT(AI869),0)</f>
        <v>0.0237014571015784</v>
      </c>
      <c r="AK869" s="24" t="n">
        <f aca="false">AI869*AJ869/365</f>
        <v>25971.0060142469</v>
      </c>
      <c r="AL869" s="24" t="n">
        <f aca="false">AD869</f>
        <v>59853.0114234968</v>
      </c>
      <c r="AM869" s="24" t="n">
        <f aca="false">AK869-AL869</f>
        <v>-33882.0054092499</v>
      </c>
      <c r="AN869" s="28" t="str">
        <f aca="false">IF(A869&gt;=Hip3LaunchDate,"YES","")</f>
        <v/>
      </c>
      <c r="AO869" s="28" t="str">
        <f aca="false">IF(A869&lt;Hip4LaunchDate,"pre-launch","live (zero-fee)")</f>
        <v>pre-launch</v>
      </c>
      <c r="AP869" s="20"/>
      <c r="AQ869" s="20"/>
      <c r="AR869" s="20"/>
    </row>
    <row r="870" customFormat="false" ht="15" hidden="false" customHeight="false" outlineLevel="0" collapsed="false">
      <c r="A870" s="18" t="n">
        <v>45931</v>
      </c>
      <c r="B870" s="19" t="n">
        <v>9824233176.32</v>
      </c>
      <c r="C870" s="19" t="n">
        <v>0</v>
      </c>
      <c r="D870" s="19" t="n">
        <v>558541161</v>
      </c>
      <c r="E870" s="21" t="n">
        <f aca="false">B870+C870</f>
        <v>9824233176.32</v>
      </c>
      <c r="F870" s="21" t="n">
        <f aca="false">E870+D870</f>
        <v>10382774337.32</v>
      </c>
      <c r="G870" s="22" t="n">
        <f aca="false">IFERROR(C870/E870,0)</f>
        <v>0</v>
      </c>
      <c r="H870" s="19" t="n">
        <v>3189888</v>
      </c>
      <c r="I870" s="19" t="n">
        <v>254301</v>
      </c>
      <c r="J870" s="19" t="n">
        <v>31400</v>
      </c>
      <c r="K870" s="21" t="n">
        <f aca="false">H870+I870</f>
        <v>3444189</v>
      </c>
      <c r="L870" s="20"/>
      <c r="M870" s="21" t="n">
        <f aca="false">H870-L870</f>
        <v>3189888</v>
      </c>
      <c r="N870" s="23" t="n">
        <f aca="false">IFERROR(M870/B870*10000,0)</f>
        <v>3.24695876283637</v>
      </c>
      <c r="O870" s="19" t="n">
        <v>2943149</v>
      </c>
      <c r="P870" s="19" t="n">
        <v>165450</v>
      </c>
      <c r="Q870" s="21" t="n">
        <f aca="false">O870+P870</f>
        <v>3108599</v>
      </c>
      <c r="R870" s="22" t="n">
        <f aca="false">IF(A870&lt;HlpChangeDate,HlpSharePre,HlpSharePost)</f>
        <v>0.01</v>
      </c>
      <c r="S870" s="21" t="n">
        <f aca="false">Q870*R870/(1-R870)</f>
        <v>31399.9898989899</v>
      </c>
      <c r="T870" s="19" t="n">
        <v>31400</v>
      </c>
      <c r="U870" s="21" t="n">
        <f aca="false">S870-T870</f>
        <v>-0.0101010100988788</v>
      </c>
      <c r="V870" s="21" t="n">
        <f aca="false">Y870-O870*R870/(1-R870)</f>
        <v>217011.222222222</v>
      </c>
      <c r="W870" s="21" t="n">
        <f aca="false">Z870-P870*R870/(1-R870)</f>
        <v>87179.7878787879</v>
      </c>
      <c r="X870" s="21" t="n">
        <f aca="false">S870+V870+W870</f>
        <v>335591</v>
      </c>
      <c r="Y870" s="19" t="n">
        <v>246740</v>
      </c>
      <c r="Z870" s="19" t="n">
        <v>88851</v>
      </c>
      <c r="AA870" s="19" t="n">
        <v>3108599</v>
      </c>
      <c r="AB870" s="29" t="n">
        <v>47.261</v>
      </c>
      <c r="AC870" s="29" t="n">
        <v>46.2865</v>
      </c>
      <c r="AD870" s="24" t="n">
        <f aca="false">IFERROR(AA870/AC870,0)</f>
        <v>67159.9494453026</v>
      </c>
      <c r="AE870" s="25" t="n">
        <f aca="false">K870-Q870-X870</f>
        <v>-1</v>
      </c>
      <c r="AF870" s="25" t="n">
        <f aca="false">Q870-AA870</f>
        <v>0</v>
      </c>
      <c r="AG870" s="19" t="n">
        <v>2896850.28836691</v>
      </c>
      <c r="AH870" s="26" t="n">
        <f aca="false">IFERROR(AG870/Q870,0)</f>
        <v>0.931882912002132</v>
      </c>
      <c r="AI870" s="27" t="n">
        <v>400087431.693989</v>
      </c>
      <c r="AJ870" s="26" t="n">
        <f aca="false">IF(AI870&gt;0,AprCoef/SQRT(AI870),0)</f>
        <v>0.0236974102606053</v>
      </c>
      <c r="AK870" s="24" t="n">
        <f aca="false">AI870*AJ870/365</f>
        <v>25975.4411204503</v>
      </c>
      <c r="AL870" s="24" t="n">
        <f aca="false">AD870</f>
        <v>67159.9494453026</v>
      </c>
      <c r="AM870" s="24" t="n">
        <f aca="false">AK870-AL870</f>
        <v>-41184.5083248523</v>
      </c>
      <c r="AN870" s="28" t="str">
        <f aca="false">IF(A870&gt;=Hip3LaunchDate,"YES","")</f>
        <v/>
      </c>
      <c r="AO870" s="28" t="str">
        <f aca="false">IF(A870&lt;Hip4LaunchDate,"pre-launch","live (zero-fee)")</f>
        <v>pre-launch</v>
      </c>
      <c r="AP870" s="20"/>
      <c r="AQ870" s="20"/>
      <c r="AR870" s="20"/>
    </row>
    <row r="871" customFormat="false" ht="15" hidden="false" customHeight="false" outlineLevel="0" collapsed="false">
      <c r="A871" s="18" t="n">
        <v>45932</v>
      </c>
      <c r="B871" s="19" t="n">
        <v>10644493010.44</v>
      </c>
      <c r="C871" s="19" t="n">
        <v>0</v>
      </c>
      <c r="D871" s="19" t="n">
        <v>490069503</v>
      </c>
      <c r="E871" s="21" t="n">
        <f aca="false">B871+C871</f>
        <v>10644493010.44</v>
      </c>
      <c r="F871" s="21" t="n">
        <f aca="false">E871+D871</f>
        <v>11134562513.44</v>
      </c>
      <c r="G871" s="22" t="n">
        <f aca="false">IFERROR(C871/E871,0)</f>
        <v>0</v>
      </c>
      <c r="H871" s="19" t="n">
        <v>3573808</v>
      </c>
      <c r="I871" s="19" t="n">
        <v>239666</v>
      </c>
      <c r="J871" s="19" t="n">
        <v>34910</v>
      </c>
      <c r="K871" s="21" t="n">
        <f aca="false">H871+I871</f>
        <v>3813474</v>
      </c>
      <c r="L871" s="20"/>
      <c r="M871" s="21" t="n">
        <f aca="false">H871-L871</f>
        <v>3573808</v>
      </c>
      <c r="N871" s="23" t="n">
        <f aca="false">IFERROR(M871/B871*10000,0)</f>
        <v>3.35742434749579</v>
      </c>
      <c r="O871" s="19" t="n">
        <v>3277470</v>
      </c>
      <c r="P871" s="19" t="n">
        <v>178645</v>
      </c>
      <c r="Q871" s="21" t="n">
        <f aca="false">O871+P871</f>
        <v>3456115</v>
      </c>
      <c r="R871" s="22" t="n">
        <f aca="false">IF(A871&lt;HlpChangeDate,HlpSharePre,HlpSharePost)</f>
        <v>0.01</v>
      </c>
      <c r="S871" s="21" t="n">
        <f aca="false">Q871*R871/(1-R871)</f>
        <v>34910.2525252525</v>
      </c>
      <c r="T871" s="19" t="n">
        <v>34910</v>
      </c>
      <c r="U871" s="21" t="n">
        <f aca="false">S871-T871</f>
        <v>0.252525252530177</v>
      </c>
      <c r="V871" s="21" t="n">
        <f aca="false">Y871-O871*R871/(1-R871)</f>
        <v>263232.242424242</v>
      </c>
      <c r="W871" s="21" t="n">
        <f aca="false">Z871-P871*R871/(1-R871)</f>
        <v>59216.5050505051</v>
      </c>
      <c r="X871" s="21" t="n">
        <f aca="false">S871+V871+W871</f>
        <v>357359</v>
      </c>
      <c r="Y871" s="19" t="n">
        <v>296338</v>
      </c>
      <c r="Z871" s="19" t="n">
        <v>61021</v>
      </c>
      <c r="AA871" s="19" t="n">
        <v>3456115</v>
      </c>
      <c r="AB871" s="29" t="n">
        <v>50.826</v>
      </c>
      <c r="AC871" s="29" t="n">
        <v>49.0595</v>
      </c>
      <c r="AD871" s="24" t="n">
        <f aca="false">IFERROR(AA871/AC871,0)</f>
        <v>70447.4158929463</v>
      </c>
      <c r="AE871" s="25" t="n">
        <f aca="false">K871-Q871-X871</f>
        <v>0</v>
      </c>
      <c r="AF871" s="25" t="n">
        <f aca="false">Q871-AA871</f>
        <v>0</v>
      </c>
      <c r="AG871" s="19" t="n">
        <v>3244541.72303808</v>
      </c>
      <c r="AH871" s="26" t="n">
        <f aca="false">IFERROR(AG871/Q871,0)</f>
        <v>0.938782917535463</v>
      </c>
      <c r="AI871" s="27" t="n">
        <v>400224043.715847</v>
      </c>
      <c r="AJ871" s="26" t="n">
        <f aca="false">IF(AI871&gt;0,AprCoef/SQRT(AI871),0)</f>
        <v>0.0236933654918252</v>
      </c>
      <c r="AK871" s="24" t="n">
        <f aca="false">AI871*AJ871/365</f>
        <v>25979.8754695227</v>
      </c>
      <c r="AL871" s="24" t="n">
        <f aca="false">AD871</f>
        <v>70447.4158929463</v>
      </c>
      <c r="AM871" s="24" t="n">
        <f aca="false">AK871-AL871</f>
        <v>-44467.5404234236</v>
      </c>
      <c r="AN871" s="28" t="str">
        <f aca="false">IF(A871&gt;=Hip3LaunchDate,"YES","")</f>
        <v/>
      </c>
      <c r="AO871" s="28" t="str">
        <f aca="false">IF(A871&lt;Hip4LaunchDate,"pre-launch","live (zero-fee)")</f>
        <v>pre-launch</v>
      </c>
      <c r="AP871" s="20"/>
      <c r="AQ871" s="20"/>
      <c r="AR871" s="20"/>
    </row>
    <row r="872" customFormat="false" ht="15" hidden="false" customHeight="false" outlineLevel="0" collapsed="false">
      <c r="A872" s="18" t="n">
        <v>45933</v>
      </c>
      <c r="B872" s="19" t="n">
        <v>10408189865.9</v>
      </c>
      <c r="C872" s="19" t="n">
        <v>0</v>
      </c>
      <c r="D872" s="19" t="n">
        <v>447594957</v>
      </c>
      <c r="E872" s="21" t="n">
        <f aca="false">B872+C872</f>
        <v>10408189865.9</v>
      </c>
      <c r="F872" s="21" t="n">
        <f aca="false">E872+D872</f>
        <v>10855784822.9</v>
      </c>
      <c r="G872" s="22" t="n">
        <f aca="false">IFERROR(C872/E872,0)</f>
        <v>0</v>
      </c>
      <c r="H872" s="19" t="n">
        <v>3423739</v>
      </c>
      <c r="I872" s="19" t="n">
        <v>219717</v>
      </c>
      <c r="J872" s="19" t="n">
        <v>33326</v>
      </c>
      <c r="K872" s="21" t="n">
        <f aca="false">H872+I872</f>
        <v>3643456</v>
      </c>
      <c r="L872" s="20"/>
      <c r="M872" s="21" t="n">
        <f aca="false">H872-L872</f>
        <v>3423739</v>
      </c>
      <c r="N872" s="23" t="n">
        <f aca="false">IFERROR(M872/B872*10000,0)</f>
        <v>3.28946631845858</v>
      </c>
      <c r="O872" s="19" t="n">
        <v>3143732</v>
      </c>
      <c r="P872" s="19" t="n">
        <v>155510</v>
      </c>
      <c r="Q872" s="21" t="n">
        <f aca="false">O872+P872</f>
        <v>3299242</v>
      </c>
      <c r="R872" s="22" t="n">
        <f aca="false">IF(A872&lt;HlpChangeDate,HlpSharePre,HlpSharePost)</f>
        <v>0.01</v>
      </c>
      <c r="S872" s="21" t="n">
        <f aca="false">Q872*R872/(1-R872)</f>
        <v>33325.6767676768</v>
      </c>
      <c r="T872" s="19" t="n">
        <v>33326</v>
      </c>
      <c r="U872" s="21" t="n">
        <f aca="false">S872-T872</f>
        <v>-0.32323232323688</v>
      </c>
      <c r="V872" s="21" t="n">
        <f aca="false">Y872-O872*R872/(1-R872)</f>
        <v>248252.131313131</v>
      </c>
      <c r="W872" s="21" t="n">
        <f aca="false">Z872-P872*R872/(1-R872)</f>
        <v>62636.1919191919</v>
      </c>
      <c r="X872" s="21" t="n">
        <f aca="false">S872+V872+W872</f>
        <v>344214</v>
      </c>
      <c r="Y872" s="19" t="n">
        <v>280007</v>
      </c>
      <c r="Z872" s="19" t="n">
        <v>64207</v>
      </c>
      <c r="AA872" s="19" t="n">
        <v>3299242</v>
      </c>
      <c r="AB872" s="29" t="n">
        <v>49.438</v>
      </c>
      <c r="AC872" s="29" t="n">
        <v>49.92325</v>
      </c>
      <c r="AD872" s="24" t="n">
        <f aca="false">IFERROR(AA872/AC872,0)</f>
        <v>66086.2824435509</v>
      </c>
      <c r="AE872" s="25" t="n">
        <f aca="false">K872-Q872-X872</f>
        <v>0</v>
      </c>
      <c r="AF872" s="25" t="n">
        <f aca="false">Q872-AA872</f>
        <v>0</v>
      </c>
      <c r="AG872" s="19" t="n">
        <v>3153303.367015</v>
      </c>
      <c r="AH872" s="26" t="n">
        <f aca="false">IFERROR(AG872/Q872,0)</f>
        <v>0.955766011409592</v>
      </c>
      <c r="AI872" s="27" t="n">
        <v>400360655.737705</v>
      </c>
      <c r="AJ872" s="26" t="n">
        <f aca="false">IF(AI872&gt;0,AprCoef/SQRT(AI872),0)</f>
        <v>0.0236893227934704</v>
      </c>
      <c r="AK872" s="24" t="n">
        <f aca="false">AI872*AJ872/365</f>
        <v>25984.3090618519</v>
      </c>
      <c r="AL872" s="24" t="n">
        <f aca="false">AD872</f>
        <v>66086.2824435509</v>
      </c>
      <c r="AM872" s="24" t="n">
        <f aca="false">AK872-AL872</f>
        <v>-40101.9733816989</v>
      </c>
      <c r="AN872" s="28" t="str">
        <f aca="false">IF(A872&gt;=Hip3LaunchDate,"YES","")</f>
        <v/>
      </c>
      <c r="AO872" s="28" t="str">
        <f aca="false">IF(A872&lt;Hip4LaunchDate,"pre-launch","live (zero-fee)")</f>
        <v>pre-launch</v>
      </c>
      <c r="AP872" s="20"/>
      <c r="AQ872" s="20"/>
      <c r="AR872" s="20"/>
    </row>
    <row r="873" customFormat="false" ht="15" hidden="false" customHeight="false" outlineLevel="0" collapsed="false">
      <c r="A873" s="18" t="n">
        <v>45934</v>
      </c>
      <c r="B873" s="19" t="n">
        <v>4766544219.28</v>
      </c>
      <c r="C873" s="19" t="n">
        <v>0</v>
      </c>
      <c r="D873" s="19" t="n">
        <v>290369030</v>
      </c>
      <c r="E873" s="21" t="n">
        <f aca="false">B873+C873</f>
        <v>4766544219.28</v>
      </c>
      <c r="F873" s="21" t="n">
        <f aca="false">E873+D873</f>
        <v>5056913249.28</v>
      </c>
      <c r="G873" s="22" t="n">
        <f aca="false">IFERROR(C873/E873,0)</f>
        <v>0</v>
      </c>
      <c r="H873" s="19" t="n">
        <v>1722791</v>
      </c>
      <c r="I873" s="19" t="n">
        <v>174444</v>
      </c>
      <c r="J873" s="19" t="n">
        <v>16462</v>
      </c>
      <c r="K873" s="21" t="n">
        <f aca="false">H873+I873</f>
        <v>1897235</v>
      </c>
      <c r="L873" s="20"/>
      <c r="M873" s="21" t="n">
        <f aca="false">H873-L873</f>
        <v>1722791</v>
      </c>
      <c r="N873" s="23" t="n">
        <f aca="false">IFERROR(M873/B873*10000,0)</f>
        <v>3.61433969925539</v>
      </c>
      <c r="O873" s="19" t="n">
        <v>1496243</v>
      </c>
      <c r="P873" s="19" t="n">
        <v>133499</v>
      </c>
      <c r="Q873" s="21" t="n">
        <f aca="false">O873+P873</f>
        <v>1629742</v>
      </c>
      <c r="R873" s="22" t="n">
        <f aca="false">IF(A873&lt;HlpChangeDate,HlpSharePre,HlpSharePost)</f>
        <v>0.01</v>
      </c>
      <c r="S873" s="21" t="n">
        <f aca="false">Q873*R873/(1-R873)</f>
        <v>16462.0404040404</v>
      </c>
      <c r="T873" s="19" t="n">
        <v>16462</v>
      </c>
      <c r="U873" s="21" t="n">
        <f aca="false">S873-T873</f>
        <v>0.040404040402791</v>
      </c>
      <c r="V873" s="21" t="n">
        <f aca="false">Y873-O873*R873/(1-R873)</f>
        <v>211434.434343434</v>
      </c>
      <c r="W873" s="21" t="n">
        <f aca="false">Z873-P873*R873/(1-R873)</f>
        <v>39596.5252525253</v>
      </c>
      <c r="X873" s="21" t="n">
        <f aca="false">S873+V873+W873</f>
        <v>267493</v>
      </c>
      <c r="Y873" s="19" t="n">
        <v>226548</v>
      </c>
      <c r="Z873" s="19" t="n">
        <v>40945</v>
      </c>
      <c r="AA873" s="19" t="n">
        <v>1629742</v>
      </c>
      <c r="AB873" s="29" t="n">
        <v>49.165</v>
      </c>
      <c r="AC873" s="29" t="n">
        <v>48.97675</v>
      </c>
      <c r="AD873" s="24" t="n">
        <f aca="false">IFERROR(AA873/AC873,0)</f>
        <v>33275.8298580449</v>
      </c>
      <c r="AE873" s="25" t="n">
        <f aca="false">K873-Q873-X873</f>
        <v>0</v>
      </c>
      <c r="AF873" s="25" t="n">
        <f aca="false">Q873-AA873</f>
        <v>0</v>
      </c>
      <c r="AG873" s="19" t="n">
        <v>1454220.63250792</v>
      </c>
      <c r="AH873" s="26" t="n">
        <f aca="false">IFERROR(AG873/Q873,0)</f>
        <v>0.892301132638123</v>
      </c>
      <c r="AI873" s="27" t="n">
        <v>400497267.759563</v>
      </c>
      <c r="AJ873" s="26" t="n">
        <f aca="false">IF(AI873&gt;0,AprCoef/SQRT(AI873),0)</f>
        <v>0.0236852821637749</v>
      </c>
      <c r="AK873" s="24" t="n">
        <f aca="false">AI873*AJ873/365</f>
        <v>25988.7418978251</v>
      </c>
      <c r="AL873" s="24" t="n">
        <f aca="false">AD873</f>
        <v>33275.8298580449</v>
      </c>
      <c r="AM873" s="24" t="n">
        <f aca="false">AK873-AL873</f>
        <v>-7287.08796021979</v>
      </c>
      <c r="AN873" s="28" t="str">
        <f aca="false">IF(A873&gt;=Hip3LaunchDate,"YES","")</f>
        <v/>
      </c>
      <c r="AO873" s="28" t="str">
        <f aca="false">IF(A873&lt;Hip4LaunchDate,"pre-launch","live (zero-fee)")</f>
        <v>pre-launch</v>
      </c>
      <c r="AP873" s="20"/>
      <c r="AQ873" s="20"/>
      <c r="AR873" s="20"/>
    </row>
    <row r="874" customFormat="false" ht="15" hidden="false" customHeight="false" outlineLevel="0" collapsed="false">
      <c r="A874" s="18" t="n">
        <v>45935</v>
      </c>
      <c r="B874" s="19" t="n">
        <v>9544080331.34</v>
      </c>
      <c r="C874" s="19" t="n">
        <v>0</v>
      </c>
      <c r="D874" s="19" t="n">
        <v>388743024</v>
      </c>
      <c r="E874" s="21" t="n">
        <f aca="false">B874+C874</f>
        <v>9544080331.34</v>
      </c>
      <c r="F874" s="21" t="n">
        <f aca="false">E874+D874</f>
        <v>9932823355.34</v>
      </c>
      <c r="G874" s="22" t="n">
        <f aca="false">IFERROR(C874/E874,0)</f>
        <v>0</v>
      </c>
      <c r="H874" s="19" t="n">
        <v>3229623</v>
      </c>
      <c r="I874" s="19" t="n">
        <v>194451</v>
      </c>
      <c r="J874" s="19" t="n">
        <v>30644</v>
      </c>
      <c r="K874" s="21" t="n">
        <f aca="false">H874+I874</f>
        <v>3424074</v>
      </c>
      <c r="L874" s="20"/>
      <c r="M874" s="21" t="n">
        <f aca="false">H874-L874</f>
        <v>3229623</v>
      </c>
      <c r="N874" s="23" t="n">
        <f aca="false">IFERROR(M874/B874*10000,0)</f>
        <v>3.38390173581718</v>
      </c>
      <c r="O874" s="19" t="n">
        <v>2902828</v>
      </c>
      <c r="P874" s="19" t="n">
        <v>130885</v>
      </c>
      <c r="Q874" s="21" t="n">
        <f aca="false">O874+P874</f>
        <v>3033713</v>
      </c>
      <c r="R874" s="22" t="n">
        <f aca="false">IF(A874&lt;HlpChangeDate,HlpSharePre,HlpSharePost)</f>
        <v>0.01</v>
      </c>
      <c r="S874" s="21" t="n">
        <f aca="false">Q874*R874/(1-R874)</f>
        <v>30643.5656565657</v>
      </c>
      <c r="T874" s="19" t="n">
        <v>30644</v>
      </c>
      <c r="U874" s="21" t="n">
        <f aca="false">S874-T874</f>
        <v>-0.434343434342736</v>
      </c>
      <c r="V874" s="21" t="n">
        <f aca="false">Y874-O874*R874/(1-R874)</f>
        <v>297473.505050505</v>
      </c>
      <c r="W874" s="21" t="n">
        <f aca="false">Z874-P874*R874/(1-R874)</f>
        <v>62243.9292929293</v>
      </c>
      <c r="X874" s="21" t="n">
        <f aca="false">S874+V874+W874</f>
        <v>390361</v>
      </c>
      <c r="Y874" s="19" t="n">
        <v>326795</v>
      </c>
      <c r="Z874" s="19" t="n">
        <v>63566</v>
      </c>
      <c r="AA874" s="19" t="n">
        <v>3033713</v>
      </c>
      <c r="AB874" s="29" t="n">
        <v>48.237</v>
      </c>
      <c r="AC874" s="29" t="n">
        <v>49.06075</v>
      </c>
      <c r="AD874" s="24" t="n">
        <f aca="false">IFERROR(AA874/AC874,0)</f>
        <v>61835.8463741382</v>
      </c>
      <c r="AE874" s="25" t="n">
        <f aca="false">K874-Q874-X874</f>
        <v>0</v>
      </c>
      <c r="AF874" s="25" t="n">
        <f aca="false">Q874-AA874</f>
        <v>0</v>
      </c>
      <c r="AG874" s="19" t="n">
        <v>2824966.60262108</v>
      </c>
      <c r="AH874" s="26" t="n">
        <f aca="false">IFERROR(AG874/Q874,0)</f>
        <v>0.931191118810869</v>
      </c>
      <c r="AI874" s="27" t="n">
        <v>400633879.781421</v>
      </c>
      <c r="AJ874" s="26" t="n">
        <f aca="false">IF(AI874&gt;0,AprCoef/SQRT(AI874),0)</f>
        <v>0.0236812436009753</v>
      </c>
      <c r="AK874" s="24" t="n">
        <f aca="false">AI874*AJ874/365</f>
        <v>25993.1739778293</v>
      </c>
      <c r="AL874" s="24" t="n">
        <f aca="false">AD874</f>
        <v>61835.8463741382</v>
      </c>
      <c r="AM874" s="24" t="n">
        <f aca="false">AK874-AL874</f>
        <v>-35842.6723963089</v>
      </c>
      <c r="AN874" s="28" t="str">
        <f aca="false">IF(A874&gt;=Hip3LaunchDate,"YES","")</f>
        <v/>
      </c>
      <c r="AO874" s="28" t="str">
        <f aca="false">IF(A874&lt;Hip4LaunchDate,"pre-launch","live (zero-fee)")</f>
        <v>pre-launch</v>
      </c>
      <c r="AP874" s="20"/>
      <c r="AQ874" s="20"/>
      <c r="AR874" s="20"/>
    </row>
    <row r="875" customFormat="false" ht="15" hidden="false" customHeight="false" outlineLevel="0" collapsed="false">
      <c r="A875" s="18" t="n">
        <v>45936</v>
      </c>
      <c r="B875" s="19" t="n">
        <v>10603772427.08</v>
      </c>
      <c r="C875" s="19" t="n">
        <v>0</v>
      </c>
      <c r="D875" s="19" t="n">
        <v>538793113</v>
      </c>
      <c r="E875" s="21" t="n">
        <f aca="false">B875+C875</f>
        <v>10603772427.08</v>
      </c>
      <c r="F875" s="21" t="n">
        <f aca="false">E875+D875</f>
        <v>11142565540.08</v>
      </c>
      <c r="G875" s="22" t="n">
        <f aca="false">IFERROR(C875/E875,0)</f>
        <v>0</v>
      </c>
      <c r="H875" s="19" t="n">
        <v>3481966</v>
      </c>
      <c r="I875" s="19" t="n">
        <v>350589</v>
      </c>
      <c r="J875" s="19" t="n">
        <v>34035</v>
      </c>
      <c r="K875" s="21" t="n">
        <f aca="false">H875+I875</f>
        <v>3832555</v>
      </c>
      <c r="L875" s="20"/>
      <c r="M875" s="21" t="n">
        <f aca="false">H875-L875</f>
        <v>3481966</v>
      </c>
      <c r="N875" s="23" t="n">
        <f aca="false">IFERROR(M875/B875*10000,0)</f>
        <v>3.28370494929496</v>
      </c>
      <c r="O875" s="19" t="n">
        <v>3105218</v>
      </c>
      <c r="P875" s="19" t="n">
        <v>264204</v>
      </c>
      <c r="Q875" s="21" t="n">
        <f aca="false">O875+P875</f>
        <v>3369422</v>
      </c>
      <c r="R875" s="22" t="n">
        <f aca="false">IF(A875&lt;HlpChangeDate,HlpSharePre,HlpSharePost)</f>
        <v>0.01</v>
      </c>
      <c r="S875" s="21" t="n">
        <f aca="false">Q875*R875/(1-R875)</f>
        <v>34034.5656565657</v>
      </c>
      <c r="T875" s="19" t="n">
        <v>34035</v>
      </c>
      <c r="U875" s="21" t="n">
        <f aca="false">S875-T875</f>
        <v>-0.434343434339098</v>
      </c>
      <c r="V875" s="21" t="n">
        <f aca="false">Y875-O875*R875/(1-R875)</f>
        <v>345382.161616162</v>
      </c>
      <c r="W875" s="21" t="n">
        <f aca="false">Z875-P875*R875/(1-R875)</f>
        <v>83715.2727272727</v>
      </c>
      <c r="X875" s="21" t="n">
        <f aca="false">S875+V875+W875</f>
        <v>463132</v>
      </c>
      <c r="Y875" s="19" t="n">
        <v>376748</v>
      </c>
      <c r="Z875" s="19" t="n">
        <v>86384</v>
      </c>
      <c r="AA875" s="19" t="n">
        <v>3369422</v>
      </c>
      <c r="AB875" s="29" t="n">
        <v>47.236</v>
      </c>
      <c r="AC875" s="29" t="n">
        <v>48.103</v>
      </c>
      <c r="AD875" s="24" t="n">
        <f aca="false">IFERROR(AA875/AC875,0)</f>
        <v>70045.9846579216</v>
      </c>
      <c r="AE875" s="25" t="n">
        <f aca="false">K875-Q875-X875</f>
        <v>1</v>
      </c>
      <c r="AF875" s="25" t="n">
        <f aca="false">Q875-AA875</f>
        <v>0</v>
      </c>
      <c r="AG875" s="19" t="n">
        <v>3125143.27704001</v>
      </c>
      <c r="AH875" s="26" t="n">
        <f aca="false">IFERROR(AG875/Q875,0)</f>
        <v>0.927501297563797</v>
      </c>
      <c r="AI875" s="27" t="n">
        <v>400770491.803279</v>
      </c>
      <c r="AJ875" s="26" t="n">
        <f aca="false">IF(AI875&gt;0,AprCoef/SQRT(AI875),0)</f>
        <v>0.02367720710331</v>
      </c>
      <c r="AK875" s="24" t="n">
        <f aca="false">AI875*AJ875/365</f>
        <v>25997.605302251</v>
      </c>
      <c r="AL875" s="24" t="n">
        <f aca="false">AD875</f>
        <v>70045.9846579216</v>
      </c>
      <c r="AM875" s="24" t="n">
        <f aca="false">AK875-AL875</f>
        <v>-44048.3793556706</v>
      </c>
      <c r="AN875" s="28" t="str">
        <f aca="false">IF(A875&gt;=Hip3LaunchDate,"YES","")</f>
        <v/>
      </c>
      <c r="AO875" s="28" t="str">
        <f aca="false">IF(A875&lt;Hip4LaunchDate,"pre-launch","live (zero-fee)")</f>
        <v>pre-launch</v>
      </c>
      <c r="AP875" s="20"/>
      <c r="AQ875" s="20"/>
      <c r="AR875" s="20"/>
    </row>
    <row r="876" customFormat="false" ht="15" hidden="false" customHeight="false" outlineLevel="0" collapsed="false">
      <c r="A876" s="18" t="n">
        <v>45937</v>
      </c>
      <c r="B876" s="19" t="n">
        <v>14676247652.04</v>
      </c>
      <c r="C876" s="19" t="n">
        <v>0</v>
      </c>
      <c r="D876" s="19" t="n">
        <v>738528778</v>
      </c>
      <c r="E876" s="21" t="n">
        <f aca="false">B876+C876</f>
        <v>14676247652.04</v>
      </c>
      <c r="F876" s="21" t="n">
        <f aca="false">E876+D876</f>
        <v>15414776430.04</v>
      </c>
      <c r="G876" s="22" t="n">
        <f aca="false">IFERROR(C876/E876,0)</f>
        <v>0</v>
      </c>
      <c r="H876" s="19" t="n">
        <v>4506897</v>
      </c>
      <c r="I876" s="19" t="n">
        <v>400627</v>
      </c>
      <c r="J876" s="19" t="n">
        <v>44615</v>
      </c>
      <c r="K876" s="21" t="n">
        <f aca="false">H876+I876</f>
        <v>4907524</v>
      </c>
      <c r="L876" s="20"/>
      <c r="M876" s="21" t="n">
        <f aca="false">H876-L876</f>
        <v>4506897</v>
      </c>
      <c r="N876" s="23" t="n">
        <f aca="false">IFERROR(M876/B876*10000,0)</f>
        <v>3.07087827001443</v>
      </c>
      <c r="O876" s="19" t="n">
        <v>4104820</v>
      </c>
      <c r="P876" s="19" t="n">
        <v>312019</v>
      </c>
      <c r="Q876" s="21" t="n">
        <f aca="false">O876+P876</f>
        <v>4416839</v>
      </c>
      <c r="R876" s="22" t="n">
        <f aca="false">IF(A876&lt;HlpChangeDate,HlpSharePre,HlpSharePost)</f>
        <v>0.01</v>
      </c>
      <c r="S876" s="21" t="n">
        <f aca="false">Q876*R876/(1-R876)</f>
        <v>44614.5353535354</v>
      </c>
      <c r="T876" s="19" t="n">
        <v>44615</v>
      </c>
      <c r="U876" s="21" t="n">
        <f aca="false">S876-T876</f>
        <v>-0.464646464650286</v>
      </c>
      <c r="V876" s="21" t="n">
        <f aca="false">Y876-O876*R876/(1-R876)</f>
        <v>360614.171717172</v>
      </c>
      <c r="W876" s="21" t="n">
        <f aca="false">Z876-P876*R876/(1-R876)</f>
        <v>85457.2929292929</v>
      </c>
      <c r="X876" s="21" t="n">
        <f aca="false">S876+V876+W876</f>
        <v>490686</v>
      </c>
      <c r="Y876" s="19" t="n">
        <v>402077</v>
      </c>
      <c r="Z876" s="19" t="n">
        <v>88609</v>
      </c>
      <c r="AA876" s="19" t="n">
        <v>4416839</v>
      </c>
      <c r="AB876" s="29" t="n">
        <v>45.128</v>
      </c>
      <c r="AC876" s="29" t="n">
        <v>46.16975</v>
      </c>
      <c r="AD876" s="24" t="n">
        <f aca="false">IFERROR(AA876/AC876,0)</f>
        <v>95665.2136951142</v>
      </c>
      <c r="AE876" s="25" t="n">
        <f aca="false">K876-Q876-X876</f>
        <v>-1.00000000005821</v>
      </c>
      <c r="AF876" s="25" t="n">
        <f aca="false">Q876-AA876</f>
        <v>0</v>
      </c>
      <c r="AG876" s="19" t="n">
        <v>4338414.57716191</v>
      </c>
      <c r="AH876" s="26" t="n">
        <f aca="false">IFERROR(AG876/Q876,0)</f>
        <v>0.982244219715029</v>
      </c>
      <c r="AI876" s="27" t="n">
        <v>400907103.825137</v>
      </c>
      <c r="AJ876" s="26" t="n">
        <f aca="false">IF(AI876&gt;0,AprCoef/SQRT(AI876),0)</f>
        <v>0.0236731726690195</v>
      </c>
      <c r="AK876" s="24" t="n">
        <f aca="false">AI876*AJ876/365</f>
        <v>26002.0358714767</v>
      </c>
      <c r="AL876" s="24" t="n">
        <f aca="false">AD876</f>
        <v>95665.2136951142</v>
      </c>
      <c r="AM876" s="24" t="n">
        <f aca="false">AK876-AL876</f>
        <v>-69663.1778236376</v>
      </c>
      <c r="AN876" s="28" t="str">
        <f aca="false">IF(A876&gt;=Hip3LaunchDate,"YES","")</f>
        <v/>
      </c>
      <c r="AO876" s="28" t="str">
        <f aca="false">IF(A876&lt;Hip4LaunchDate,"pre-launch","live (zero-fee)")</f>
        <v>pre-launch</v>
      </c>
      <c r="AP876" s="20"/>
      <c r="AQ876" s="20"/>
      <c r="AR876" s="20"/>
    </row>
    <row r="877" customFormat="false" ht="15" hidden="false" customHeight="false" outlineLevel="0" collapsed="false">
      <c r="A877" s="18" t="n">
        <v>45938</v>
      </c>
      <c r="B877" s="19" t="n">
        <v>8887739221.5</v>
      </c>
      <c r="C877" s="19" t="n">
        <v>0</v>
      </c>
      <c r="D877" s="19" t="n">
        <v>654600179</v>
      </c>
      <c r="E877" s="21" t="n">
        <f aca="false">B877+C877</f>
        <v>8887739221.5</v>
      </c>
      <c r="F877" s="21" t="n">
        <f aca="false">E877+D877</f>
        <v>9542339400.5</v>
      </c>
      <c r="G877" s="22" t="n">
        <f aca="false">IFERROR(C877/E877,0)</f>
        <v>0</v>
      </c>
      <c r="H877" s="19" t="n">
        <v>3037189</v>
      </c>
      <c r="I877" s="19" t="n">
        <v>316234</v>
      </c>
      <c r="J877" s="19" t="n">
        <v>29984</v>
      </c>
      <c r="K877" s="21" t="n">
        <f aca="false">H877+I877</f>
        <v>3353423</v>
      </c>
      <c r="L877" s="20"/>
      <c r="M877" s="21" t="n">
        <f aca="false">H877-L877</f>
        <v>3037189</v>
      </c>
      <c r="N877" s="23" t="n">
        <f aca="false">IFERROR(M877/B877*10000,0)</f>
        <v>3.41727960767891</v>
      </c>
      <c r="O877" s="19" t="n">
        <v>2722898</v>
      </c>
      <c r="P877" s="19" t="n">
        <v>245503</v>
      </c>
      <c r="Q877" s="21" t="n">
        <f aca="false">O877+P877</f>
        <v>2968401</v>
      </c>
      <c r="R877" s="22" t="n">
        <f aca="false">IF(A877&lt;HlpChangeDate,HlpSharePre,HlpSharePost)</f>
        <v>0.01</v>
      </c>
      <c r="S877" s="21" t="n">
        <f aca="false">Q877*R877/(1-R877)</f>
        <v>29983.8484848485</v>
      </c>
      <c r="T877" s="19" t="n">
        <v>29984</v>
      </c>
      <c r="U877" s="21" t="n">
        <f aca="false">S877-T877</f>
        <v>-0.151515151512285</v>
      </c>
      <c r="V877" s="21" t="n">
        <f aca="false">Y877-O877*R877/(1-R877)</f>
        <v>286786.97979798</v>
      </c>
      <c r="W877" s="21" t="n">
        <f aca="false">Z877-P877*R877/(1-R877)</f>
        <v>68251.1717171717</v>
      </c>
      <c r="X877" s="21" t="n">
        <f aca="false">S877+V877+W877</f>
        <v>385022</v>
      </c>
      <c r="Y877" s="19" t="n">
        <v>314291</v>
      </c>
      <c r="Z877" s="19" t="n">
        <v>70731</v>
      </c>
      <c r="AA877" s="19" t="n">
        <v>2968401</v>
      </c>
      <c r="AB877" s="29" t="n">
        <v>46.63</v>
      </c>
      <c r="AC877" s="29" t="n">
        <v>45.9905</v>
      </c>
      <c r="AD877" s="24" t="n">
        <f aca="false">IFERROR(AA877/AC877,0)</f>
        <v>64543.7862167187</v>
      </c>
      <c r="AE877" s="25" t="n">
        <f aca="false">K877-Q877-X877</f>
        <v>0</v>
      </c>
      <c r="AF877" s="25" t="n">
        <f aca="false">Q877-AA877</f>
        <v>0</v>
      </c>
      <c r="AG877" s="19" t="n">
        <v>2726997.02727807</v>
      </c>
      <c r="AH877" s="26" t="n">
        <f aca="false">IFERROR(AG877/Q877,0)</f>
        <v>0.918675417262717</v>
      </c>
      <c r="AI877" s="27" t="n">
        <v>401043715.846995</v>
      </c>
      <c r="AJ877" s="26" t="n">
        <f aca="false">IF(AI877&gt;0,AprCoef/SQRT(AI877),0)</f>
        <v>0.0236691402963466</v>
      </c>
      <c r="AK877" s="24" t="n">
        <f aca="false">AI877*AJ877/365</f>
        <v>26006.4656858922</v>
      </c>
      <c r="AL877" s="24" t="n">
        <f aca="false">AD877</f>
        <v>64543.7862167187</v>
      </c>
      <c r="AM877" s="24" t="n">
        <f aca="false">AK877-AL877</f>
        <v>-38537.3205308264</v>
      </c>
      <c r="AN877" s="28" t="str">
        <f aca="false">IF(A877&gt;=Hip3LaunchDate,"YES","")</f>
        <v/>
      </c>
      <c r="AO877" s="28" t="str">
        <f aca="false">IF(A877&lt;Hip4LaunchDate,"pre-launch","live (zero-fee)")</f>
        <v>pre-launch</v>
      </c>
      <c r="AP877" s="20"/>
      <c r="AQ877" s="20"/>
      <c r="AR877" s="20"/>
    </row>
    <row r="878" customFormat="false" ht="15" hidden="false" customHeight="false" outlineLevel="0" collapsed="false">
      <c r="A878" s="18" t="n">
        <v>45939</v>
      </c>
      <c r="B878" s="19" t="n">
        <v>12273094486.69</v>
      </c>
      <c r="C878" s="19" t="n">
        <v>0</v>
      </c>
      <c r="D878" s="19" t="n">
        <v>454122989</v>
      </c>
      <c r="E878" s="21" t="n">
        <f aca="false">B878+C878</f>
        <v>12273094486.69</v>
      </c>
      <c r="F878" s="21" t="n">
        <f aca="false">E878+D878</f>
        <v>12727217475.69</v>
      </c>
      <c r="G878" s="22" t="n">
        <f aca="false">IFERROR(C878/E878,0)</f>
        <v>0</v>
      </c>
      <c r="H878" s="19" t="n">
        <v>3544271</v>
      </c>
      <c r="I878" s="19" t="n">
        <v>253750</v>
      </c>
      <c r="J878" s="19" t="n">
        <v>34454</v>
      </c>
      <c r="K878" s="21" t="n">
        <f aca="false">H878+I878</f>
        <v>3798021</v>
      </c>
      <c r="L878" s="20"/>
      <c r="M878" s="21" t="n">
        <f aca="false">H878-L878</f>
        <v>3544271</v>
      </c>
      <c r="N878" s="23" t="n">
        <f aca="false">IFERROR(M878/B878*10000,0)</f>
        <v>2.88783811111673</v>
      </c>
      <c r="O878" s="19" t="n">
        <v>3224043</v>
      </c>
      <c r="P878" s="19" t="n">
        <v>186876</v>
      </c>
      <c r="Q878" s="21" t="n">
        <f aca="false">O878+P878</f>
        <v>3410919</v>
      </c>
      <c r="R878" s="22" t="n">
        <f aca="false">IF(A878&lt;HlpChangeDate,HlpSharePre,HlpSharePost)</f>
        <v>0.01</v>
      </c>
      <c r="S878" s="21" t="n">
        <f aca="false">Q878*R878/(1-R878)</f>
        <v>34453.7272727273</v>
      </c>
      <c r="T878" s="19" t="n">
        <v>34454</v>
      </c>
      <c r="U878" s="21" t="n">
        <f aca="false">S878-T878</f>
        <v>-0.272727272727934</v>
      </c>
      <c r="V878" s="21" t="n">
        <f aca="false">Y878-O878*R878/(1-R878)</f>
        <v>287661.909090909</v>
      </c>
      <c r="W878" s="21" t="n">
        <f aca="false">Z878-P878*R878/(1-R878)</f>
        <v>64986.3636363636</v>
      </c>
      <c r="X878" s="21" t="n">
        <f aca="false">S878+V878+W878</f>
        <v>387102</v>
      </c>
      <c r="Y878" s="19" t="n">
        <v>320228</v>
      </c>
      <c r="Z878" s="19" t="n">
        <v>66874</v>
      </c>
      <c r="AA878" s="19" t="n">
        <v>3410919</v>
      </c>
      <c r="AB878" s="29" t="n">
        <v>43.969</v>
      </c>
      <c r="AC878" s="29" t="n">
        <v>44.932</v>
      </c>
      <c r="AD878" s="24" t="n">
        <f aca="false">IFERROR(AA878/AC878,0)</f>
        <v>75912.9128460785</v>
      </c>
      <c r="AE878" s="25" t="n">
        <f aca="false">K878-Q878-X878</f>
        <v>0</v>
      </c>
      <c r="AF878" s="25" t="n">
        <f aca="false">Q878-AA878</f>
        <v>0</v>
      </c>
      <c r="AG878" s="19" t="n">
        <v>3541238.30151093</v>
      </c>
      <c r="AH878" s="26" t="n">
        <f aca="false">IFERROR(AG878/Q878,0)</f>
        <v>1.03820650725242</v>
      </c>
      <c r="AI878" s="27" t="n">
        <v>401180327.868852</v>
      </c>
      <c r="AJ878" s="26" t="n">
        <f aca="false">IF(AI878&gt;0,AprCoef/SQRT(AI878),0)</f>
        <v>0.023665109983536</v>
      </c>
      <c r="AK878" s="24" t="n">
        <f aca="false">AI878*AJ878/365</f>
        <v>26010.8947458833</v>
      </c>
      <c r="AL878" s="24" t="n">
        <f aca="false">AD878</f>
        <v>75912.9128460785</v>
      </c>
      <c r="AM878" s="24" t="n">
        <f aca="false">AK878-AL878</f>
        <v>-49902.0181001952</v>
      </c>
      <c r="AN878" s="28" t="str">
        <f aca="false">IF(A878&gt;=Hip3LaunchDate,"YES","")</f>
        <v/>
      </c>
      <c r="AO878" s="28" t="str">
        <f aca="false">IF(A878&lt;Hip4LaunchDate,"pre-launch","live (zero-fee)")</f>
        <v>pre-launch</v>
      </c>
      <c r="AP878" s="20"/>
      <c r="AQ878" s="20"/>
      <c r="AR878" s="20"/>
    </row>
    <row r="879" customFormat="false" ht="15" hidden="false" customHeight="false" outlineLevel="0" collapsed="false">
      <c r="A879" s="18" t="n">
        <v>45940</v>
      </c>
      <c r="B879" s="19" t="n">
        <v>28724586156.58</v>
      </c>
      <c r="C879" s="19" t="n">
        <v>0</v>
      </c>
      <c r="D879" s="19" t="n">
        <v>984610585</v>
      </c>
      <c r="E879" s="21" t="n">
        <f aca="false">B879+C879</f>
        <v>28724586156.58</v>
      </c>
      <c r="F879" s="21" t="n">
        <f aca="false">E879+D879</f>
        <v>29709196741.58</v>
      </c>
      <c r="G879" s="22" t="n">
        <f aca="false">IFERROR(C879/E879,0)</f>
        <v>0</v>
      </c>
      <c r="H879" s="19" t="n">
        <v>10141370</v>
      </c>
      <c r="I879" s="19" t="n">
        <v>510401</v>
      </c>
      <c r="J879" s="19" t="n">
        <v>99629</v>
      </c>
      <c r="K879" s="21" t="n">
        <f aca="false">H879+I879</f>
        <v>10651771</v>
      </c>
      <c r="L879" s="20"/>
      <c r="M879" s="21" t="n">
        <f aca="false">H879-L879</f>
        <v>10141370</v>
      </c>
      <c r="N879" s="23" t="n">
        <f aca="false">IFERROR(M879/B879*10000,0)</f>
        <v>3.53055391110549</v>
      </c>
      <c r="O879" s="19" t="n">
        <v>9509632</v>
      </c>
      <c r="P879" s="19" t="n">
        <v>353674</v>
      </c>
      <c r="Q879" s="21" t="n">
        <f aca="false">O879+P879</f>
        <v>9863306</v>
      </c>
      <c r="R879" s="22" t="n">
        <f aca="false">IF(A879&lt;HlpChangeDate,HlpSharePre,HlpSharePost)</f>
        <v>0.01</v>
      </c>
      <c r="S879" s="21" t="n">
        <f aca="false">Q879*R879/(1-R879)</f>
        <v>99629.3535353535</v>
      </c>
      <c r="T879" s="19" t="n">
        <v>99629</v>
      </c>
      <c r="U879" s="21" t="n">
        <f aca="false">S879-T879</f>
        <v>0.353535353540792</v>
      </c>
      <c r="V879" s="21" t="n">
        <f aca="false">Y879-O879*R879/(1-R879)</f>
        <v>535681.111111111</v>
      </c>
      <c r="W879" s="21" t="n">
        <f aca="false">Z879-P879*R879/(1-R879)</f>
        <v>153154.535353535</v>
      </c>
      <c r="X879" s="21" t="n">
        <f aca="false">S879+V879+W879</f>
        <v>788465</v>
      </c>
      <c r="Y879" s="19" t="n">
        <v>631738</v>
      </c>
      <c r="Z879" s="19" t="n">
        <v>156727</v>
      </c>
      <c r="AA879" s="19" t="n">
        <v>9863306</v>
      </c>
      <c r="AB879" s="29" t="n">
        <v>37.606</v>
      </c>
      <c r="AC879" s="29" t="n">
        <v>40.373</v>
      </c>
      <c r="AD879" s="24" t="n">
        <f aca="false">IFERROR(AA879/AC879,0)</f>
        <v>244304.510440146</v>
      </c>
      <c r="AE879" s="25" t="n">
        <f aca="false">K879-Q879-X879</f>
        <v>0</v>
      </c>
      <c r="AF879" s="25" t="n">
        <f aca="false">Q879-AA879</f>
        <v>0</v>
      </c>
      <c r="AG879" s="19" t="n">
        <v>20226867.868034</v>
      </c>
      <c r="AH879" s="26" t="n">
        <f aca="false">IFERROR(AG879/Q879,0)</f>
        <v>2.05071888350965</v>
      </c>
      <c r="AI879" s="27" t="n">
        <v>401316939.89071</v>
      </c>
      <c r="AJ879" s="26" t="n">
        <f aca="false">IF(AI879&gt;0,AprCoef/SQRT(AI879),0)</f>
        <v>0.0236610817288345</v>
      </c>
      <c r="AK879" s="24" t="n">
        <f aca="false">AI879*AJ879/365</f>
        <v>26015.3230518353</v>
      </c>
      <c r="AL879" s="24" t="n">
        <f aca="false">AD879</f>
        <v>244304.510440146</v>
      </c>
      <c r="AM879" s="24" t="n">
        <f aca="false">AK879-AL879</f>
        <v>-218289.18738831</v>
      </c>
      <c r="AN879" s="28" t="str">
        <f aca="false">IF(A879&gt;=Hip3LaunchDate,"YES","")</f>
        <v/>
      </c>
      <c r="AO879" s="28" t="str">
        <f aca="false">IF(A879&lt;Hip4LaunchDate,"pre-launch","live (zero-fee)")</f>
        <v>pre-launch</v>
      </c>
      <c r="AP879" s="20"/>
      <c r="AQ879" s="20"/>
      <c r="AR879" s="20"/>
    </row>
    <row r="880" customFormat="false" ht="15" hidden="false" customHeight="false" outlineLevel="0" collapsed="false">
      <c r="A880" s="18" t="n">
        <v>45941</v>
      </c>
      <c r="B880" s="19" t="n">
        <v>10333348903.64</v>
      </c>
      <c r="C880" s="19" t="n">
        <v>0</v>
      </c>
      <c r="D880" s="19" t="n">
        <v>704628551</v>
      </c>
      <c r="E880" s="21" t="n">
        <f aca="false">B880+C880</f>
        <v>10333348903.64</v>
      </c>
      <c r="F880" s="21" t="n">
        <f aca="false">E880+D880</f>
        <v>11037977454.64</v>
      </c>
      <c r="G880" s="22" t="n">
        <f aca="false">IFERROR(C880/E880,0)</f>
        <v>0</v>
      </c>
      <c r="H880" s="19" t="n">
        <v>3430802</v>
      </c>
      <c r="I880" s="19" t="n">
        <v>323696</v>
      </c>
      <c r="J880" s="19" t="n">
        <v>33959</v>
      </c>
      <c r="K880" s="21" t="n">
        <f aca="false">H880+I880</f>
        <v>3754498</v>
      </c>
      <c r="L880" s="20"/>
      <c r="M880" s="21" t="n">
        <f aca="false">H880-L880</f>
        <v>3430802</v>
      </c>
      <c r="N880" s="23" t="n">
        <f aca="false">IFERROR(M880/B880*10000,0)</f>
        <v>3.32012596496328</v>
      </c>
      <c r="O880" s="19" t="n">
        <v>3114694</v>
      </c>
      <c r="P880" s="19" t="n">
        <v>247275</v>
      </c>
      <c r="Q880" s="21" t="n">
        <f aca="false">O880+P880</f>
        <v>3361969</v>
      </c>
      <c r="R880" s="22" t="n">
        <f aca="false">IF(A880&lt;HlpChangeDate,HlpSharePre,HlpSharePost)</f>
        <v>0.01</v>
      </c>
      <c r="S880" s="21" t="n">
        <f aca="false">Q880*R880/(1-R880)</f>
        <v>33959.2828282828</v>
      </c>
      <c r="T880" s="19" t="n">
        <v>33959</v>
      </c>
      <c r="U880" s="21" t="n">
        <f aca="false">S880-T880</f>
        <v>0.282828282834089</v>
      </c>
      <c r="V880" s="21" t="n">
        <f aca="false">Y880-O880*R880/(1-R880)</f>
        <v>284646.444444444</v>
      </c>
      <c r="W880" s="21" t="n">
        <f aca="false">Z880-P880*R880/(1-R880)</f>
        <v>73923.2727272727</v>
      </c>
      <c r="X880" s="21" t="n">
        <f aca="false">S880+V880+W880</f>
        <v>392529</v>
      </c>
      <c r="Y880" s="19" t="n">
        <v>316108</v>
      </c>
      <c r="Z880" s="19" t="n">
        <v>76421</v>
      </c>
      <c r="AA880" s="19" t="n">
        <v>3361969</v>
      </c>
      <c r="AB880" s="29" t="n">
        <v>36.848</v>
      </c>
      <c r="AC880" s="29" t="n">
        <v>37.64675</v>
      </c>
      <c r="AD880" s="24" t="n">
        <f aca="false">IFERROR(AA880/AC880,0)</f>
        <v>89303.0341264518</v>
      </c>
      <c r="AE880" s="25" t="n">
        <f aca="false">K880-Q880-X880</f>
        <v>0</v>
      </c>
      <c r="AF880" s="25" t="n">
        <f aca="false">Q880-AA880</f>
        <v>0</v>
      </c>
      <c r="AG880" s="19" t="n">
        <v>3138648.90707505</v>
      </c>
      <c r="AH880" s="26" t="n">
        <f aca="false">IFERROR(AG880/Q880,0)</f>
        <v>0.933574612697216</v>
      </c>
      <c r="AI880" s="27" t="n">
        <v>401453551.912568</v>
      </c>
      <c r="AJ880" s="26" t="n">
        <f aca="false">IF(AI880&gt;0,AprCoef/SQRT(AI880),0)</f>
        <v>0.0236570555304912</v>
      </c>
      <c r="AK880" s="24" t="n">
        <f aca="false">AI880*AJ880/365</f>
        <v>26019.750604133</v>
      </c>
      <c r="AL880" s="24" t="n">
        <f aca="false">AD880</f>
        <v>89303.0341264518</v>
      </c>
      <c r="AM880" s="24" t="n">
        <f aca="false">AK880-AL880</f>
        <v>-63283.2835223188</v>
      </c>
      <c r="AN880" s="28" t="str">
        <f aca="false">IF(A880&gt;=Hip3LaunchDate,"YES","")</f>
        <v/>
      </c>
      <c r="AO880" s="28" t="str">
        <f aca="false">IF(A880&lt;Hip4LaunchDate,"pre-launch","live (zero-fee)")</f>
        <v>pre-launch</v>
      </c>
      <c r="AP880" s="20"/>
      <c r="AQ880" s="20"/>
      <c r="AR880" s="20"/>
    </row>
    <row r="881" customFormat="false" ht="15" hidden="false" customHeight="false" outlineLevel="0" collapsed="false">
      <c r="A881" s="18" t="n">
        <v>45942</v>
      </c>
      <c r="B881" s="19" t="n">
        <v>11787564657.26</v>
      </c>
      <c r="C881" s="19" t="n">
        <v>0</v>
      </c>
      <c r="D881" s="19" t="n">
        <v>484211693</v>
      </c>
      <c r="E881" s="21" t="n">
        <f aca="false">B881+C881</f>
        <v>11787564657.26</v>
      </c>
      <c r="F881" s="21" t="n">
        <f aca="false">E881+D881</f>
        <v>12271776350.26</v>
      </c>
      <c r="G881" s="22" t="n">
        <f aca="false">IFERROR(C881/E881,0)</f>
        <v>0</v>
      </c>
      <c r="H881" s="19" t="n">
        <v>3799559</v>
      </c>
      <c r="I881" s="19" t="n">
        <v>257362</v>
      </c>
      <c r="J881" s="19" t="n">
        <v>36538</v>
      </c>
      <c r="K881" s="21" t="n">
        <f aca="false">H881+I881</f>
        <v>4056921</v>
      </c>
      <c r="L881" s="20"/>
      <c r="M881" s="21" t="n">
        <f aca="false">H881-L881</f>
        <v>3799559</v>
      </c>
      <c r="N881" s="23" t="n">
        <f aca="false">IFERROR(M881/B881*10000,0)</f>
        <v>3.22336217062431</v>
      </c>
      <c r="O881" s="19" t="n">
        <v>3440902</v>
      </c>
      <c r="P881" s="19" t="n">
        <v>176358</v>
      </c>
      <c r="Q881" s="21" t="n">
        <f aca="false">O881+P881</f>
        <v>3617260</v>
      </c>
      <c r="R881" s="22" t="n">
        <f aca="false">IF(A881&lt;HlpChangeDate,HlpSharePre,HlpSharePost)</f>
        <v>0.01</v>
      </c>
      <c r="S881" s="21" t="n">
        <f aca="false">Q881*R881/(1-R881)</f>
        <v>36537.9797979798</v>
      </c>
      <c r="T881" s="19" t="n">
        <v>36538</v>
      </c>
      <c r="U881" s="21" t="n">
        <f aca="false">S881-T881</f>
        <v>-0.0202020202050335</v>
      </c>
      <c r="V881" s="21" t="n">
        <f aca="false">Y881-O881*R881/(1-R881)</f>
        <v>323900.414141414</v>
      </c>
      <c r="W881" s="21" t="n">
        <f aca="false">Z881-P881*R881/(1-R881)</f>
        <v>79222.6060606061</v>
      </c>
      <c r="X881" s="21" t="n">
        <f aca="false">S881+V881+W881</f>
        <v>439661</v>
      </c>
      <c r="Y881" s="19" t="n">
        <v>358657</v>
      </c>
      <c r="Z881" s="19" t="n">
        <v>81004</v>
      </c>
      <c r="AA881" s="19" t="n">
        <v>3617260</v>
      </c>
      <c r="AB881" s="29" t="n">
        <v>39.651</v>
      </c>
      <c r="AC881" s="29" t="n">
        <v>38.37225</v>
      </c>
      <c r="AD881" s="24" t="n">
        <f aca="false">IFERROR(AA881/AC881,0)</f>
        <v>94267.6022385969</v>
      </c>
      <c r="AE881" s="25" t="n">
        <f aca="false">K881-Q881-X881</f>
        <v>0</v>
      </c>
      <c r="AF881" s="25" t="n">
        <f aca="false">Q881-AA881</f>
        <v>0</v>
      </c>
      <c r="AG881" s="19" t="n">
        <v>3306971.16994298</v>
      </c>
      <c r="AH881" s="26" t="n">
        <f aca="false">IFERROR(AG881/Q881,0)</f>
        <v>0.914219926116169</v>
      </c>
      <c r="AI881" s="27" t="n">
        <v>401590163.934426</v>
      </c>
      <c r="AJ881" s="26" t="n">
        <f aca="false">IF(AI881&gt;0,AprCoef/SQRT(AI881),0)</f>
        <v>0.023653031386757</v>
      </c>
      <c r="AK881" s="24" t="n">
        <f aca="false">AI881*AJ881/365</f>
        <v>26024.1774031613</v>
      </c>
      <c r="AL881" s="24" t="n">
        <f aca="false">AD881</f>
        <v>94267.6022385969</v>
      </c>
      <c r="AM881" s="24" t="n">
        <f aca="false">AK881-AL881</f>
        <v>-68243.4248354356</v>
      </c>
      <c r="AN881" s="28" t="str">
        <f aca="false">IF(A881&gt;=Hip3LaunchDate,"YES","")</f>
        <v/>
      </c>
      <c r="AO881" s="28" t="str">
        <f aca="false">IF(A881&lt;Hip4LaunchDate,"pre-launch","live (zero-fee)")</f>
        <v>pre-launch</v>
      </c>
      <c r="AP881" s="20"/>
      <c r="AQ881" s="20"/>
      <c r="AR881" s="20"/>
    </row>
    <row r="882" customFormat="false" ht="15" hidden="false" customHeight="false" outlineLevel="0" collapsed="false">
      <c r="A882" s="18" t="n">
        <v>45943</v>
      </c>
      <c r="B882" s="19" t="n">
        <v>9587534833.11</v>
      </c>
      <c r="C882" s="19" t="n">
        <v>24137312.62</v>
      </c>
      <c r="D882" s="19" t="n">
        <v>433769946</v>
      </c>
      <c r="E882" s="21" t="n">
        <f aca="false">B882+C882</f>
        <v>9611672145.73</v>
      </c>
      <c r="F882" s="21" t="n">
        <f aca="false">E882+D882</f>
        <v>10045442091.73</v>
      </c>
      <c r="G882" s="22" t="n">
        <f aca="false">IFERROR(C882/E882,0)</f>
        <v>0.00251125009821762</v>
      </c>
      <c r="H882" s="19" t="n">
        <v>2991680</v>
      </c>
      <c r="I882" s="19" t="n">
        <v>217963</v>
      </c>
      <c r="J882" s="19" t="n">
        <v>28869</v>
      </c>
      <c r="K882" s="21" t="n">
        <f aca="false">H882+I882</f>
        <v>3209643</v>
      </c>
      <c r="L882" s="19" t="n">
        <v>6992.57946578948</v>
      </c>
      <c r="M882" s="21" t="n">
        <f aca="false">H882-L882</f>
        <v>2984687.42053421</v>
      </c>
      <c r="N882" s="23" t="n">
        <f aca="false">IFERROR(M882/B882*10000,0)</f>
        <v>3.11309160539033</v>
      </c>
      <c r="O882" s="19" t="n">
        <v>2695086</v>
      </c>
      <c r="P882" s="19" t="n">
        <v>162992</v>
      </c>
      <c r="Q882" s="21" t="n">
        <f aca="false">O882+P882</f>
        <v>2858078</v>
      </c>
      <c r="R882" s="22" t="n">
        <f aca="false">IF(A882&lt;HlpChangeDate,HlpSharePre,HlpSharePost)</f>
        <v>0.01</v>
      </c>
      <c r="S882" s="21" t="n">
        <f aca="false">Q882*R882/(1-R882)</f>
        <v>28869.4747474747</v>
      </c>
      <c r="T882" s="19" t="n">
        <v>28869</v>
      </c>
      <c r="U882" s="21" t="n">
        <f aca="false">S882-T882</f>
        <v>0.474747474745527</v>
      </c>
      <c r="V882" s="21" t="n">
        <f aca="false">Y882-O882*R882/(1-R882)</f>
        <v>269370.909090909</v>
      </c>
      <c r="W882" s="21" t="n">
        <f aca="false">Z882-P882*R882/(1-R882)</f>
        <v>53324.6161616162</v>
      </c>
      <c r="X882" s="21" t="n">
        <f aca="false">S882+V882+W882</f>
        <v>351565</v>
      </c>
      <c r="Y882" s="19" t="n">
        <v>296594</v>
      </c>
      <c r="Z882" s="19" t="n">
        <v>54971</v>
      </c>
      <c r="AA882" s="19" t="n">
        <v>2858078</v>
      </c>
      <c r="AB882" s="29" t="n">
        <v>42.489</v>
      </c>
      <c r="AC882" s="29" t="n">
        <v>40.98825</v>
      </c>
      <c r="AD882" s="24" t="n">
        <f aca="false">IFERROR(AA882/AC882,0)</f>
        <v>69729.2028813135</v>
      </c>
      <c r="AE882" s="25" t="n">
        <f aca="false">K882-Q882-X882</f>
        <v>0</v>
      </c>
      <c r="AF882" s="25" t="n">
        <f aca="false">Q882-AA882</f>
        <v>0</v>
      </c>
      <c r="AG882" s="19" t="n">
        <v>2766599.45402896</v>
      </c>
      <c r="AH882" s="26" t="n">
        <f aca="false">IFERROR(AG882/Q882,0)</f>
        <v>0.96799298480621</v>
      </c>
      <c r="AI882" s="27" t="n">
        <v>401726775.956284</v>
      </c>
      <c r="AJ882" s="26" t="n">
        <f aca="false">IF(AI882&gt;0,AprCoef/SQRT(AI882),0)</f>
        <v>0.0236490092958851</v>
      </c>
      <c r="AK882" s="24" t="n">
        <f aca="false">AI882*AJ882/365</f>
        <v>26028.6034493044</v>
      </c>
      <c r="AL882" s="24" t="n">
        <f aca="false">AD882</f>
        <v>69729.2028813135</v>
      </c>
      <c r="AM882" s="24" t="n">
        <f aca="false">AK882-AL882</f>
        <v>-43700.5994320091</v>
      </c>
      <c r="AN882" s="28" t="str">
        <f aca="false">IF(A882&gt;=Hip3LaunchDate,"YES","")</f>
        <v>YES</v>
      </c>
      <c r="AO882" s="28" t="str">
        <f aca="false">IF(A882&lt;Hip4LaunchDate,"pre-launch","live (zero-fee)")</f>
        <v>pre-launch</v>
      </c>
      <c r="AP882" s="30" t="n">
        <v>1</v>
      </c>
      <c r="AQ882" s="30" t="n">
        <v>0</v>
      </c>
      <c r="AR882" s="19" t="n">
        <v>6992.57946578948</v>
      </c>
    </row>
    <row r="883" customFormat="false" ht="15" hidden="false" customHeight="false" outlineLevel="0" collapsed="false">
      <c r="A883" s="18" t="n">
        <v>45944</v>
      </c>
      <c r="B883" s="19" t="n">
        <v>16329985172.88</v>
      </c>
      <c r="C883" s="19" t="n">
        <v>21893627.97</v>
      </c>
      <c r="D883" s="19" t="n">
        <v>421373162</v>
      </c>
      <c r="E883" s="21" t="n">
        <f aca="false">B883+C883</f>
        <v>16351878800.85</v>
      </c>
      <c r="F883" s="21" t="n">
        <f aca="false">E883+D883</f>
        <v>16773251962.85</v>
      </c>
      <c r="G883" s="22" t="n">
        <f aca="false">IFERROR(C883/E883,0)</f>
        <v>0.00133890595916488</v>
      </c>
      <c r="H883" s="19" t="n">
        <v>4915495</v>
      </c>
      <c r="I883" s="19" t="n">
        <v>198310</v>
      </c>
      <c r="J883" s="19" t="n">
        <v>46865</v>
      </c>
      <c r="K883" s="21" t="n">
        <f aca="false">H883+I883</f>
        <v>5113805</v>
      </c>
      <c r="L883" s="19" t="n">
        <v>6342.58402254688</v>
      </c>
      <c r="M883" s="21" t="n">
        <f aca="false">H883-L883</f>
        <v>4909152.41597745</v>
      </c>
      <c r="N883" s="23" t="n">
        <f aca="false">IFERROR(M883/B883*10000,0)</f>
        <v>3.00621976321835</v>
      </c>
      <c r="O883" s="19" t="n">
        <v>4488619</v>
      </c>
      <c r="P883" s="19" t="n">
        <v>150967</v>
      </c>
      <c r="Q883" s="21" t="n">
        <f aca="false">O883+P883</f>
        <v>4639586</v>
      </c>
      <c r="R883" s="22" t="n">
        <f aca="false">IF(A883&lt;HlpChangeDate,HlpSharePre,HlpSharePost)</f>
        <v>0.01</v>
      </c>
      <c r="S883" s="21" t="n">
        <f aca="false">Q883*R883/(1-R883)</f>
        <v>46864.5050505051</v>
      </c>
      <c r="T883" s="19" t="n">
        <v>46865</v>
      </c>
      <c r="U883" s="21" t="n">
        <f aca="false">S883-T883</f>
        <v>-0.494949494946923</v>
      </c>
      <c r="V883" s="21" t="n">
        <f aca="false">Y883-O883*R883/(1-R883)</f>
        <v>381536.414141414</v>
      </c>
      <c r="W883" s="21" t="n">
        <f aca="false">Z883-P883*R883/(1-R883)</f>
        <v>45818.0808080808</v>
      </c>
      <c r="X883" s="21" t="n">
        <f aca="false">S883+V883+W883</f>
        <v>474219</v>
      </c>
      <c r="Y883" s="19" t="n">
        <v>426876</v>
      </c>
      <c r="Z883" s="19" t="n">
        <v>47343</v>
      </c>
      <c r="AA883" s="19" t="n">
        <v>4639586</v>
      </c>
      <c r="AB883" s="29" t="n">
        <v>39.441</v>
      </c>
      <c r="AC883" s="29" t="n">
        <v>40.64975</v>
      </c>
      <c r="AD883" s="24" t="n">
        <f aca="false">IFERROR(AA883/AC883,0)</f>
        <v>114135.658890891</v>
      </c>
      <c r="AE883" s="25" t="n">
        <f aca="false">K883-Q883-X883</f>
        <v>0</v>
      </c>
      <c r="AF883" s="25" t="n">
        <f aca="false">Q883-AA883</f>
        <v>0</v>
      </c>
      <c r="AG883" s="19" t="n">
        <v>4426377.91588402</v>
      </c>
      <c r="AH883" s="26" t="n">
        <f aca="false">IFERROR(AG883/Q883,0)</f>
        <v>0.954045881654962</v>
      </c>
      <c r="AI883" s="27" t="n">
        <v>401863387.978142</v>
      </c>
      <c r="AJ883" s="26" t="n">
        <f aca="false">IF(AI883&gt;0,AprCoef/SQRT(AI883),0)</f>
        <v>0.0236449892561306</v>
      </c>
      <c r="AK883" s="24" t="n">
        <f aca="false">AI883*AJ883/365</f>
        <v>26033.0287429464</v>
      </c>
      <c r="AL883" s="24" t="n">
        <f aca="false">AD883</f>
        <v>114135.658890891</v>
      </c>
      <c r="AM883" s="24" t="n">
        <f aca="false">AK883-AL883</f>
        <v>-88102.6301479447</v>
      </c>
      <c r="AN883" s="28" t="str">
        <f aca="false">IF(A883&gt;=Hip3LaunchDate,"YES","")</f>
        <v>YES</v>
      </c>
      <c r="AO883" s="28" t="str">
        <f aca="false">IF(A883&lt;Hip4LaunchDate,"pre-launch","live (zero-fee)")</f>
        <v>pre-launch</v>
      </c>
      <c r="AP883" s="30" t="n">
        <v>1</v>
      </c>
      <c r="AQ883" s="30" t="n">
        <v>0</v>
      </c>
      <c r="AR883" s="19" t="n">
        <v>6342.58402254688</v>
      </c>
    </row>
    <row r="884" customFormat="false" ht="15" hidden="false" customHeight="false" outlineLevel="0" collapsed="false">
      <c r="A884" s="18" t="n">
        <v>45945</v>
      </c>
      <c r="B884" s="19" t="n">
        <v>10693663591.49</v>
      </c>
      <c r="C884" s="19" t="n">
        <v>20602638.16</v>
      </c>
      <c r="D884" s="19" t="n">
        <v>285617603</v>
      </c>
      <c r="E884" s="21" t="n">
        <f aca="false">B884+C884</f>
        <v>10714266229.65</v>
      </c>
      <c r="F884" s="21" t="n">
        <f aca="false">E884+D884</f>
        <v>10999883832.65</v>
      </c>
      <c r="G884" s="22" t="n">
        <f aca="false">IFERROR(C884/E884,0)</f>
        <v>0.0019229163918837</v>
      </c>
      <c r="H884" s="19" t="n">
        <v>2916662</v>
      </c>
      <c r="I884" s="19" t="n">
        <v>154768</v>
      </c>
      <c r="J884" s="19" t="n">
        <v>28010</v>
      </c>
      <c r="K884" s="21" t="n">
        <f aca="false">H884+I884</f>
        <v>3071430</v>
      </c>
      <c r="L884" s="19" t="n">
        <v>5968.58427487958</v>
      </c>
      <c r="M884" s="21" t="n">
        <f aca="false">H884-L884</f>
        <v>2910693.41572512</v>
      </c>
      <c r="N884" s="23" t="n">
        <f aca="false">IFERROR(M884/B884*10000,0)</f>
        <v>2.72188608779637</v>
      </c>
      <c r="O884" s="19" t="n">
        <v>2652721</v>
      </c>
      <c r="P884" s="19" t="n">
        <v>120242</v>
      </c>
      <c r="Q884" s="21" t="n">
        <f aca="false">O884+P884</f>
        <v>2772963</v>
      </c>
      <c r="R884" s="22" t="n">
        <f aca="false">IF(A884&lt;HlpChangeDate,HlpSharePre,HlpSharePost)</f>
        <v>0.01</v>
      </c>
      <c r="S884" s="21" t="n">
        <f aca="false">Q884*R884/(1-R884)</f>
        <v>28009.7272727273</v>
      </c>
      <c r="T884" s="19" t="n">
        <v>28010</v>
      </c>
      <c r="U884" s="21" t="n">
        <f aca="false">S884-T884</f>
        <v>-0.272727272724296</v>
      </c>
      <c r="V884" s="21" t="n">
        <f aca="false">Y884-O884*R884/(1-R884)</f>
        <v>237145.838383838</v>
      </c>
      <c r="W884" s="21" t="n">
        <f aca="false">Z884-P884*R884/(1-R884)</f>
        <v>33312.4343434344</v>
      </c>
      <c r="X884" s="21" t="n">
        <f aca="false">S884+V884+W884</f>
        <v>298468</v>
      </c>
      <c r="Y884" s="19" t="n">
        <v>263941</v>
      </c>
      <c r="Z884" s="19" t="n">
        <v>34527</v>
      </c>
      <c r="AA884" s="19" t="n">
        <v>2772963</v>
      </c>
      <c r="AB884" s="29" t="n">
        <v>37.463</v>
      </c>
      <c r="AC884" s="29" t="n">
        <v>38.73525</v>
      </c>
      <c r="AD884" s="24" t="n">
        <f aca="false">IFERROR(AA884/AC884,0)</f>
        <v>71587.5849516913</v>
      </c>
      <c r="AE884" s="25" t="n">
        <f aca="false">K884-Q884-X884</f>
        <v>-1</v>
      </c>
      <c r="AF884" s="25" t="n">
        <f aca="false">Q884-AA884</f>
        <v>0</v>
      </c>
      <c r="AG884" s="19" t="n">
        <v>3016434.355093</v>
      </c>
      <c r="AH884" s="26" t="n">
        <f aca="false">IFERROR(AG884/Q884,0)</f>
        <v>1.0878018765822</v>
      </c>
      <c r="AI884" s="27" t="n">
        <v>402000000</v>
      </c>
      <c r="AJ884" s="26" t="n">
        <f aca="false">IF(AI884&gt;0,AprCoef/SQRT(AI884),0)</f>
        <v>0.0236409712657509</v>
      </c>
      <c r="AK884" s="24" t="n">
        <f aca="false">AI884*AJ884/365</f>
        <v>26037.4532844709</v>
      </c>
      <c r="AL884" s="24" t="n">
        <f aca="false">AD884</f>
        <v>71587.5849516913</v>
      </c>
      <c r="AM884" s="24" t="n">
        <f aca="false">AK884-AL884</f>
        <v>-45550.1316672204</v>
      </c>
      <c r="AN884" s="28" t="str">
        <f aca="false">IF(A884&gt;=Hip3LaunchDate,"YES","")</f>
        <v>YES</v>
      </c>
      <c r="AO884" s="28" t="str">
        <f aca="false">IF(A884&lt;Hip4LaunchDate,"pre-launch","live (zero-fee)")</f>
        <v>pre-launch</v>
      </c>
      <c r="AP884" s="30" t="n">
        <v>1</v>
      </c>
      <c r="AQ884" s="30" t="n">
        <v>0</v>
      </c>
      <c r="AR884" s="19" t="n">
        <v>5968.58427487958</v>
      </c>
    </row>
    <row r="885" customFormat="false" ht="15" hidden="false" customHeight="false" outlineLevel="0" collapsed="false">
      <c r="A885" s="18" t="n">
        <v>45946</v>
      </c>
      <c r="B885" s="19" t="n">
        <v>11412829823.54</v>
      </c>
      <c r="C885" s="19" t="n">
        <v>19139743.64</v>
      </c>
      <c r="D885" s="19" t="n">
        <v>366551346</v>
      </c>
      <c r="E885" s="21" t="n">
        <f aca="false">B885+C885</f>
        <v>11431969567.18</v>
      </c>
      <c r="F885" s="21" t="n">
        <f aca="false">E885+D885</f>
        <v>11798520913.18</v>
      </c>
      <c r="G885" s="22" t="n">
        <f aca="false">IFERROR(C885/E885,0)</f>
        <v>0.00167422975783178</v>
      </c>
      <c r="H885" s="19" t="n">
        <v>3684799</v>
      </c>
      <c r="I885" s="19" t="n">
        <v>184541</v>
      </c>
      <c r="J885" s="19" t="n">
        <v>35211</v>
      </c>
      <c r="K885" s="21" t="n">
        <f aca="false">H885+I885</f>
        <v>3869340</v>
      </c>
      <c r="L885" s="19" t="n">
        <v>5544.78373381889</v>
      </c>
      <c r="M885" s="21" t="n">
        <f aca="false">H885-L885</f>
        <v>3679254.21626618</v>
      </c>
      <c r="N885" s="23" t="n">
        <f aca="false">IFERROR(M885/B885*10000,0)</f>
        <v>3.22378785380413</v>
      </c>
      <c r="O885" s="19" t="n">
        <v>3348649</v>
      </c>
      <c r="P885" s="19" t="n">
        <v>137248</v>
      </c>
      <c r="Q885" s="21" t="n">
        <f aca="false">O885+P885</f>
        <v>3485897</v>
      </c>
      <c r="R885" s="22" t="n">
        <f aca="false">IF(A885&lt;HlpChangeDate,HlpSharePre,HlpSharePost)</f>
        <v>0.01</v>
      </c>
      <c r="S885" s="21" t="n">
        <f aca="false">Q885*R885/(1-R885)</f>
        <v>35211.0808080808</v>
      </c>
      <c r="T885" s="19" t="n">
        <v>35211</v>
      </c>
      <c r="U885" s="21" t="n">
        <f aca="false">S885-T885</f>
        <v>0.080808080812858</v>
      </c>
      <c r="V885" s="21" t="n">
        <f aca="false">Y885-O885*R885/(1-R885)</f>
        <v>302326.262626263</v>
      </c>
      <c r="W885" s="21" t="n">
        <f aca="false">Z885-P885*R885/(1-R885)</f>
        <v>45906.6565656566</v>
      </c>
      <c r="X885" s="21" t="n">
        <f aca="false">S885+V885+W885</f>
        <v>383444</v>
      </c>
      <c r="Y885" s="19" t="n">
        <v>336151</v>
      </c>
      <c r="Z885" s="19" t="n">
        <v>47293</v>
      </c>
      <c r="AA885" s="19" t="n">
        <v>3485897</v>
      </c>
      <c r="AB885" s="29" t="n">
        <v>36.799</v>
      </c>
      <c r="AC885" s="29" t="n">
        <v>37.5245</v>
      </c>
      <c r="AD885" s="24" t="n">
        <f aca="false">IFERROR(AA885/AC885,0)</f>
        <v>92896.5609135365</v>
      </c>
      <c r="AE885" s="25" t="n">
        <f aca="false">K885-Q885-X885</f>
        <v>-1</v>
      </c>
      <c r="AF885" s="25" t="n">
        <f aca="false">Q885-AA885</f>
        <v>0</v>
      </c>
      <c r="AG885" s="19" t="n">
        <v>3181367.29421902</v>
      </c>
      <c r="AH885" s="26" t="n">
        <f aca="false">IFERROR(AG885/Q885,0)</f>
        <v>0.912639499738236</v>
      </c>
      <c r="AI885" s="27" t="n">
        <v>402154766.746544</v>
      </c>
      <c r="AJ885" s="26" t="n">
        <f aca="false">IF(AI885&gt;0,AprCoef/SQRT(AI885),0)</f>
        <v>0.0236364217880394</v>
      </c>
      <c r="AK885" s="24" t="n">
        <f aca="false">AI885*AJ885/365</f>
        <v>26042.4649065532</v>
      </c>
      <c r="AL885" s="24" t="n">
        <f aca="false">AD885</f>
        <v>92896.5609135365</v>
      </c>
      <c r="AM885" s="24" t="n">
        <f aca="false">AK885-AL885</f>
        <v>-66854.0960069833</v>
      </c>
      <c r="AN885" s="28" t="str">
        <f aca="false">IF(A885&gt;=Hip3LaunchDate,"YES","")</f>
        <v>YES</v>
      </c>
      <c r="AO885" s="28" t="str">
        <f aca="false">IF(A885&lt;Hip4LaunchDate,"pre-launch","live (zero-fee)")</f>
        <v>pre-launch</v>
      </c>
      <c r="AP885" s="30" t="n">
        <v>1</v>
      </c>
      <c r="AQ885" s="30" t="n">
        <v>0</v>
      </c>
      <c r="AR885" s="19" t="n">
        <v>5544.78373381889</v>
      </c>
    </row>
    <row r="886" customFormat="false" ht="15" hidden="false" customHeight="false" outlineLevel="0" collapsed="false">
      <c r="A886" s="18" t="n">
        <v>45947</v>
      </c>
      <c r="B886" s="19" t="n">
        <v>12042340690.94</v>
      </c>
      <c r="C886" s="19" t="n">
        <v>15100795.48</v>
      </c>
      <c r="D886" s="19" t="n">
        <v>440603237</v>
      </c>
      <c r="E886" s="21" t="n">
        <f aca="false">B886+C886</f>
        <v>12057441486.42</v>
      </c>
      <c r="F886" s="21" t="n">
        <f aca="false">E886+D886</f>
        <v>12498044723.42</v>
      </c>
      <c r="G886" s="22" t="n">
        <f aca="false">IFERROR(C886/E886,0)</f>
        <v>0.00125240462472969</v>
      </c>
      <c r="H886" s="19" t="n">
        <v>3859604</v>
      </c>
      <c r="I886" s="19" t="n">
        <v>235326</v>
      </c>
      <c r="J886" s="19" t="n">
        <v>36884</v>
      </c>
      <c r="K886" s="21" t="n">
        <f aca="false">H886+I886</f>
        <v>4094930</v>
      </c>
      <c r="L886" s="19" t="n">
        <v>4374.7004520045</v>
      </c>
      <c r="M886" s="21" t="n">
        <f aca="false">H886-L886</f>
        <v>3855229.299548</v>
      </c>
      <c r="N886" s="23" t="n">
        <f aca="false">IFERROR(M886/B886*10000,0)</f>
        <v>3.20139530884428</v>
      </c>
      <c r="O886" s="19" t="n">
        <v>3479105</v>
      </c>
      <c r="P886" s="19" t="n">
        <v>172445</v>
      </c>
      <c r="Q886" s="21" t="n">
        <f aca="false">O886+P886</f>
        <v>3651550</v>
      </c>
      <c r="R886" s="22" t="n">
        <f aca="false">IF(A886&lt;HlpChangeDate,HlpSharePre,HlpSharePost)</f>
        <v>0.01</v>
      </c>
      <c r="S886" s="21" t="n">
        <f aca="false">Q886*R886/(1-R886)</f>
        <v>36884.3434343434</v>
      </c>
      <c r="T886" s="19" t="n">
        <v>36884</v>
      </c>
      <c r="U886" s="21" t="n">
        <f aca="false">S886-T886</f>
        <v>0.343434343434637</v>
      </c>
      <c r="V886" s="21" t="n">
        <f aca="false">Y886-O886*R886/(1-R886)</f>
        <v>345356.525252525</v>
      </c>
      <c r="W886" s="21" t="n">
        <f aca="false">Z886-P886*R886/(1-R886)</f>
        <v>61139.1313131313</v>
      </c>
      <c r="X886" s="21" t="n">
        <f aca="false">S886+V886+W886</f>
        <v>443380</v>
      </c>
      <c r="Y886" s="19" t="n">
        <v>380499</v>
      </c>
      <c r="Z886" s="19" t="n">
        <v>62881</v>
      </c>
      <c r="AA886" s="19" t="n">
        <v>3651550</v>
      </c>
      <c r="AB886" s="29" t="n">
        <v>35.496</v>
      </c>
      <c r="AC886" s="29" t="n">
        <v>35.79825</v>
      </c>
      <c r="AD886" s="24" t="n">
        <f aca="false">IFERROR(AA886/AC886,0)</f>
        <v>102003.589560942</v>
      </c>
      <c r="AE886" s="25" t="n">
        <f aca="false">K886-Q886-X886</f>
        <v>0</v>
      </c>
      <c r="AF886" s="25" t="n">
        <f aca="false">Q886-AA886</f>
        <v>0</v>
      </c>
      <c r="AG886" s="19" t="n">
        <v>3394111.45129407</v>
      </c>
      <c r="AH886" s="26" t="n">
        <f aca="false">IFERROR(AG886/Q886,0)</f>
        <v>0.929498829618673</v>
      </c>
      <c r="AI886" s="27" t="n">
        <v>402309533.493088</v>
      </c>
      <c r="AJ886" s="26" t="n">
        <f aca="false">IF(AI886&gt;0,AprCoef/SQRT(AI886),0)</f>
        <v>0.0236318749358273</v>
      </c>
      <c r="AK886" s="24" t="n">
        <f aca="false">AI886*AJ886/365</f>
        <v>26047.4755643826</v>
      </c>
      <c r="AL886" s="24" t="n">
        <f aca="false">AD886</f>
        <v>102003.589560942</v>
      </c>
      <c r="AM886" s="24" t="n">
        <f aca="false">AK886-AL886</f>
        <v>-75956.1139965596</v>
      </c>
      <c r="AN886" s="28" t="str">
        <f aca="false">IF(A886&gt;=Hip3LaunchDate,"YES","")</f>
        <v>YES</v>
      </c>
      <c r="AO886" s="28" t="str">
        <f aca="false">IF(A886&lt;Hip4LaunchDate,"pre-launch","live (zero-fee)")</f>
        <v>pre-launch</v>
      </c>
      <c r="AP886" s="30" t="n">
        <v>1</v>
      </c>
      <c r="AQ886" s="30" t="n">
        <v>0</v>
      </c>
      <c r="AR886" s="19" t="n">
        <v>4374.7004520045</v>
      </c>
    </row>
    <row r="887" customFormat="false" ht="15" hidden="false" customHeight="false" outlineLevel="0" collapsed="false">
      <c r="A887" s="18" t="n">
        <v>45948</v>
      </c>
      <c r="B887" s="19" t="n">
        <v>3455398197.36</v>
      </c>
      <c r="C887" s="19" t="n">
        <v>6243638.83</v>
      </c>
      <c r="D887" s="19" t="n">
        <v>175437722</v>
      </c>
      <c r="E887" s="21" t="n">
        <f aca="false">B887+C887</f>
        <v>3461641836.19</v>
      </c>
      <c r="F887" s="21" t="n">
        <f aca="false">E887+D887</f>
        <v>3637079558.19</v>
      </c>
      <c r="G887" s="22" t="n">
        <f aca="false">IFERROR(C887/E887,0)</f>
        <v>0.00180366401998191</v>
      </c>
      <c r="H887" s="19" t="n">
        <v>1369242</v>
      </c>
      <c r="I887" s="19" t="n">
        <v>121569</v>
      </c>
      <c r="J887" s="19" t="n">
        <v>13037</v>
      </c>
      <c r="K887" s="21" t="n">
        <f aca="false">H887+I887</f>
        <v>1490811</v>
      </c>
      <c r="L887" s="19" t="n">
        <v>1808.78216821087</v>
      </c>
      <c r="M887" s="21" t="n">
        <f aca="false">H887-L887</f>
        <v>1367433.21783179</v>
      </c>
      <c r="N887" s="23" t="n">
        <f aca="false">IFERROR(M887/B887*10000,0)</f>
        <v>3.95738244835729</v>
      </c>
      <c r="O887" s="19" t="n">
        <v>1199221</v>
      </c>
      <c r="P887" s="19" t="n">
        <v>91488</v>
      </c>
      <c r="Q887" s="21" t="n">
        <f aca="false">O887+P887</f>
        <v>1290709</v>
      </c>
      <c r="R887" s="22" t="n">
        <f aca="false">IF(A887&lt;HlpChangeDate,HlpSharePre,HlpSharePost)</f>
        <v>0.01</v>
      </c>
      <c r="S887" s="21" t="n">
        <f aca="false">Q887*R887/(1-R887)</f>
        <v>13037.4646464646</v>
      </c>
      <c r="T887" s="19" t="n">
        <v>13037</v>
      </c>
      <c r="U887" s="21" t="n">
        <f aca="false">S887-T887</f>
        <v>0.464646464646648</v>
      </c>
      <c r="V887" s="21" t="n">
        <f aca="false">Y887-O887*R887/(1-R887)</f>
        <v>157907.656565657</v>
      </c>
      <c r="W887" s="21" t="n">
        <f aca="false">Z887-P887*R887/(1-R887)</f>
        <v>29156.8787878788</v>
      </c>
      <c r="X887" s="21" t="n">
        <f aca="false">S887+V887+W887</f>
        <v>200102</v>
      </c>
      <c r="Y887" s="19" t="n">
        <v>170021</v>
      </c>
      <c r="Z887" s="19" t="n">
        <v>30081</v>
      </c>
      <c r="AA887" s="19" t="n">
        <v>1290709</v>
      </c>
      <c r="AB887" s="29" t="n">
        <v>36.854</v>
      </c>
      <c r="AC887" s="29" t="n">
        <v>35.975</v>
      </c>
      <c r="AD887" s="24" t="n">
        <f aca="false">IFERROR(AA887/AC887,0)</f>
        <v>35877.9430159833</v>
      </c>
      <c r="AE887" s="25" t="n">
        <f aca="false">K887-Q887-X887</f>
        <v>0</v>
      </c>
      <c r="AF887" s="25" t="n">
        <f aca="false">Q887-AA887</f>
        <v>0</v>
      </c>
      <c r="AG887" s="19" t="n">
        <v>1044871.14889491</v>
      </c>
      <c r="AH887" s="26" t="n">
        <f aca="false">IFERROR(AG887/Q887,0)</f>
        <v>0.809532705586547</v>
      </c>
      <c r="AI887" s="27" t="n">
        <v>402464300.239631</v>
      </c>
      <c r="AJ887" s="26" t="n">
        <f aca="false">IF(AI887&gt;0,AprCoef/SQRT(AI887),0)</f>
        <v>0.0236273307065901</v>
      </c>
      <c r="AK887" s="24" t="n">
        <f aca="false">AI887*AJ887/365</f>
        <v>26052.4852585154</v>
      </c>
      <c r="AL887" s="24" t="n">
        <f aca="false">AD887</f>
        <v>35877.9430159833</v>
      </c>
      <c r="AM887" s="24" t="n">
        <f aca="false">AK887-AL887</f>
        <v>-9825.45775746789</v>
      </c>
      <c r="AN887" s="28" t="str">
        <f aca="false">IF(A887&gt;=Hip3LaunchDate,"YES","")</f>
        <v>YES</v>
      </c>
      <c r="AO887" s="28" t="str">
        <f aca="false">IF(A887&lt;Hip4LaunchDate,"pre-launch","live (zero-fee)")</f>
        <v>pre-launch</v>
      </c>
      <c r="AP887" s="30" t="n">
        <v>1</v>
      </c>
      <c r="AQ887" s="30" t="n">
        <v>0</v>
      </c>
      <c r="AR887" s="19" t="n">
        <v>1808.78216821087</v>
      </c>
    </row>
    <row r="888" customFormat="false" ht="15" hidden="false" customHeight="false" outlineLevel="0" collapsed="false">
      <c r="A888" s="18" t="n">
        <v>45949</v>
      </c>
      <c r="B888" s="19" t="n">
        <v>5239254970.26</v>
      </c>
      <c r="C888" s="19" t="n">
        <v>7838676.35</v>
      </c>
      <c r="D888" s="19" t="n">
        <v>196378165</v>
      </c>
      <c r="E888" s="21" t="n">
        <f aca="false">B888+C888</f>
        <v>5247093646.61</v>
      </c>
      <c r="F888" s="21" t="n">
        <f aca="false">E888+D888</f>
        <v>5443471811.61</v>
      </c>
      <c r="G888" s="22" t="n">
        <f aca="false">IFERROR(C888/E888,0)</f>
        <v>0.00149390822385348</v>
      </c>
      <c r="H888" s="19" t="n">
        <v>2018874</v>
      </c>
      <c r="I888" s="19" t="n">
        <v>121130</v>
      </c>
      <c r="J888" s="19" t="n">
        <v>19219</v>
      </c>
      <c r="K888" s="21" t="n">
        <f aca="false">H888+I888</f>
        <v>2140004</v>
      </c>
      <c r="L888" s="19" t="n">
        <v>2270.86453931925</v>
      </c>
      <c r="M888" s="21" t="n">
        <f aca="false">H888-L888</f>
        <v>2016603.13546068</v>
      </c>
      <c r="N888" s="23" t="n">
        <f aca="false">IFERROR(M888/B888*10000,0)</f>
        <v>3.84902652554168</v>
      </c>
      <c r="O888" s="19" t="n">
        <v>1810336</v>
      </c>
      <c r="P888" s="19" t="n">
        <v>92346</v>
      </c>
      <c r="Q888" s="21" t="n">
        <f aca="false">O888+P888</f>
        <v>1902682</v>
      </c>
      <c r="R888" s="22" t="n">
        <f aca="false">IF(A888&lt;HlpChangeDate,HlpSharePre,HlpSharePost)</f>
        <v>0.01</v>
      </c>
      <c r="S888" s="21" t="n">
        <f aca="false">Q888*R888/(1-R888)</f>
        <v>19219.0101010101</v>
      </c>
      <c r="T888" s="19" t="n">
        <v>19219</v>
      </c>
      <c r="U888" s="21" t="n">
        <f aca="false">S888-T888</f>
        <v>0.0101010101025167</v>
      </c>
      <c r="V888" s="21" t="n">
        <f aca="false">Y888-O888*R888/(1-R888)</f>
        <v>190251.777777778</v>
      </c>
      <c r="W888" s="21" t="n">
        <f aca="false">Z888-P888*R888/(1-R888)</f>
        <v>27852.2121212121</v>
      </c>
      <c r="X888" s="21" t="n">
        <f aca="false">S888+V888+W888</f>
        <v>237323</v>
      </c>
      <c r="Y888" s="19" t="n">
        <v>208538</v>
      </c>
      <c r="Z888" s="19" t="n">
        <v>28785</v>
      </c>
      <c r="AA888" s="19" t="n">
        <v>1902682</v>
      </c>
      <c r="AB888" s="29" t="n">
        <v>37.4</v>
      </c>
      <c r="AC888" s="29" t="n">
        <v>37.12075</v>
      </c>
      <c r="AD888" s="24" t="n">
        <f aca="false">IFERROR(AA888/AC888,0)</f>
        <v>51256.5613571924</v>
      </c>
      <c r="AE888" s="25" t="n">
        <f aca="false">K888-Q888-X888</f>
        <v>-1</v>
      </c>
      <c r="AF888" s="25" t="n">
        <f aca="false">Q888-AA888</f>
        <v>0</v>
      </c>
      <c r="AG888" s="19" t="n">
        <v>1517488.53251004</v>
      </c>
      <c r="AH888" s="26" t="n">
        <f aca="false">IFERROR(AG888/Q888,0)</f>
        <v>0.797552366874781</v>
      </c>
      <c r="AI888" s="27" t="n">
        <v>402619066.986175</v>
      </c>
      <c r="AJ888" s="26" t="n">
        <f aca="false">IF(AI888&gt;0,AprCoef/SQRT(AI888),0)</f>
        <v>0.0236227890978069</v>
      </c>
      <c r="AK888" s="24" t="n">
        <f aca="false">AI888*AJ888/365</f>
        <v>26057.4939895075</v>
      </c>
      <c r="AL888" s="24" t="n">
        <f aca="false">AD888</f>
        <v>51256.5613571924</v>
      </c>
      <c r="AM888" s="24" t="n">
        <f aca="false">AK888-AL888</f>
        <v>-25199.0673676849</v>
      </c>
      <c r="AN888" s="28" t="str">
        <f aca="false">IF(A888&gt;=Hip3LaunchDate,"YES","")</f>
        <v>YES</v>
      </c>
      <c r="AO888" s="28" t="str">
        <f aca="false">IF(A888&lt;Hip4LaunchDate,"pre-launch","live (zero-fee)")</f>
        <v>pre-launch</v>
      </c>
      <c r="AP888" s="30" t="n">
        <v>1</v>
      </c>
      <c r="AQ888" s="30" t="n">
        <v>0</v>
      </c>
      <c r="AR888" s="19" t="n">
        <v>2270.86453931925</v>
      </c>
    </row>
    <row r="889" customFormat="false" ht="15" hidden="false" customHeight="false" outlineLevel="0" collapsed="false">
      <c r="A889" s="18" t="n">
        <v>45950</v>
      </c>
      <c r="B889" s="19" t="n">
        <v>8312329683.03</v>
      </c>
      <c r="C889" s="19" t="n">
        <v>10597513.03</v>
      </c>
      <c r="D889" s="19" t="n">
        <v>262337970</v>
      </c>
      <c r="E889" s="21" t="n">
        <f aca="false">B889+C889</f>
        <v>8322927196.06</v>
      </c>
      <c r="F889" s="21" t="n">
        <f aca="false">E889+D889</f>
        <v>8585265166.06</v>
      </c>
      <c r="G889" s="22" t="n">
        <f aca="false">IFERROR(C889/E889,0)</f>
        <v>0.001273291569223</v>
      </c>
      <c r="H889" s="19" t="n">
        <v>3051422</v>
      </c>
      <c r="I889" s="19" t="n">
        <v>148185</v>
      </c>
      <c r="J889" s="19" t="n">
        <v>29337</v>
      </c>
      <c r="K889" s="21" t="n">
        <f aca="false">H889+I889</f>
        <v>3199607</v>
      </c>
      <c r="L889" s="19" t="n">
        <v>3070.09952341493</v>
      </c>
      <c r="M889" s="21" t="n">
        <f aca="false">H889-L889</f>
        <v>3048351.90047659</v>
      </c>
      <c r="N889" s="23" t="n">
        <f aca="false">IFERROR(M889/B889*10000,0)</f>
        <v>3.66726539576496</v>
      </c>
      <c r="O889" s="19" t="n">
        <v>2790163</v>
      </c>
      <c r="P889" s="19" t="n">
        <v>114214</v>
      </c>
      <c r="Q889" s="21" t="n">
        <f aca="false">O889+P889</f>
        <v>2904377</v>
      </c>
      <c r="R889" s="22" t="n">
        <f aca="false">IF(A889&lt;HlpChangeDate,HlpSharePre,HlpSharePost)</f>
        <v>0.01</v>
      </c>
      <c r="S889" s="21" t="n">
        <f aca="false">Q889*R889/(1-R889)</f>
        <v>29337.1414141414</v>
      </c>
      <c r="T889" s="19" t="n">
        <v>29337</v>
      </c>
      <c r="U889" s="21" t="n">
        <f aca="false">S889-T889</f>
        <v>0.141414141413406</v>
      </c>
      <c r="V889" s="21" t="n">
        <f aca="false">Y889-O889*R889/(1-R889)</f>
        <v>233075.535353535</v>
      </c>
      <c r="W889" s="21" t="n">
        <f aca="false">Z889-P889*R889/(1-R889)</f>
        <v>32817.3232323232</v>
      </c>
      <c r="X889" s="21" t="n">
        <f aca="false">S889+V889+W889</f>
        <v>295230</v>
      </c>
      <c r="Y889" s="19" t="n">
        <v>261259</v>
      </c>
      <c r="Z889" s="19" t="n">
        <v>33971</v>
      </c>
      <c r="AA889" s="19" t="n">
        <v>2904377</v>
      </c>
      <c r="AB889" s="29" t="n">
        <v>37.948</v>
      </c>
      <c r="AC889" s="29" t="n">
        <v>37.94175</v>
      </c>
      <c r="AD889" s="24" t="n">
        <f aca="false">IFERROR(AA889/AC889,0)</f>
        <v>76548.3141921498</v>
      </c>
      <c r="AE889" s="25" t="n">
        <f aca="false">K889-Q889-X889</f>
        <v>0</v>
      </c>
      <c r="AF889" s="25" t="n">
        <f aca="false">Q889-AA889</f>
        <v>0</v>
      </c>
      <c r="AG889" s="19" t="n">
        <v>2387834.45849097</v>
      </c>
      <c r="AH889" s="26" t="n">
        <f aca="false">IFERROR(AG889/Q889,0)</f>
        <v>0.822150312611265</v>
      </c>
      <c r="AI889" s="27" t="n">
        <v>402773833.732719</v>
      </c>
      <c r="AJ889" s="26" t="n">
        <f aca="false">IF(AI889&gt;0,AprCoef/SQRT(AI889),0)</f>
        <v>0.0236182501069603</v>
      </c>
      <c r="AK889" s="24" t="n">
        <f aca="false">AI889*AJ889/365</f>
        <v>26062.501757914</v>
      </c>
      <c r="AL889" s="24" t="n">
        <f aca="false">AD889</f>
        <v>76548.3141921498</v>
      </c>
      <c r="AM889" s="24" t="n">
        <f aca="false">AK889-AL889</f>
        <v>-50485.8124342358</v>
      </c>
      <c r="AN889" s="28" t="str">
        <f aca="false">IF(A889&gt;=Hip3LaunchDate,"YES","")</f>
        <v>YES</v>
      </c>
      <c r="AO889" s="28" t="str">
        <f aca="false">IF(A889&lt;Hip4LaunchDate,"pre-launch","live (zero-fee)")</f>
        <v>pre-launch</v>
      </c>
      <c r="AP889" s="30" t="n">
        <v>1</v>
      </c>
      <c r="AQ889" s="30" t="n">
        <v>0</v>
      </c>
      <c r="AR889" s="19" t="n">
        <v>3070.09952341493</v>
      </c>
    </row>
    <row r="890" customFormat="false" ht="15" hidden="false" customHeight="false" outlineLevel="0" collapsed="false">
      <c r="A890" s="18" t="n">
        <v>45951</v>
      </c>
      <c r="B890" s="19" t="n">
        <v>14602505766.97</v>
      </c>
      <c r="C890" s="19" t="n">
        <v>23304373.19</v>
      </c>
      <c r="D890" s="19" t="n">
        <v>354661810</v>
      </c>
      <c r="E890" s="21" t="n">
        <f aca="false">B890+C890</f>
        <v>14625810140.16</v>
      </c>
      <c r="F890" s="21" t="n">
        <f aca="false">E890+D890</f>
        <v>14980471950.16</v>
      </c>
      <c r="G890" s="22" t="n">
        <f aca="false">IFERROR(C890/E890,0)</f>
        <v>0.00159337315107148</v>
      </c>
      <c r="H890" s="19" t="n">
        <v>5167560</v>
      </c>
      <c r="I890" s="19" t="n">
        <v>201314</v>
      </c>
      <c r="J890" s="19" t="n">
        <v>49790</v>
      </c>
      <c r="K890" s="21" t="n">
        <f aca="false">H890+I890</f>
        <v>5368874</v>
      </c>
      <c r="L890" s="19" t="n">
        <v>6751.27691246221</v>
      </c>
      <c r="M890" s="21" t="n">
        <f aca="false">H890-L890</f>
        <v>5160808.72308754</v>
      </c>
      <c r="N890" s="23" t="n">
        <f aca="false">IFERROR(M890/B890*10000,0)</f>
        <v>3.53419392907276</v>
      </c>
      <c r="O890" s="19" t="n">
        <v>4773028</v>
      </c>
      <c r="P890" s="19" t="n">
        <v>156162</v>
      </c>
      <c r="Q890" s="21" t="n">
        <f aca="false">O890+P890</f>
        <v>4929190</v>
      </c>
      <c r="R890" s="22" t="n">
        <f aca="false">IF(A890&lt;HlpChangeDate,HlpSharePre,HlpSharePost)</f>
        <v>0.01</v>
      </c>
      <c r="S890" s="21" t="n">
        <f aca="false">Q890*R890/(1-R890)</f>
        <v>49789.797979798</v>
      </c>
      <c r="T890" s="19" t="n">
        <v>49790</v>
      </c>
      <c r="U890" s="21" t="n">
        <f aca="false">S890-T890</f>
        <v>-0.202020202021231</v>
      </c>
      <c r="V890" s="21" t="n">
        <f aca="false">Y890-O890*R890/(1-R890)</f>
        <v>346319.595959596</v>
      </c>
      <c r="W890" s="21" t="n">
        <f aca="false">Z890-P890*R890/(1-R890)</f>
        <v>43573.6060606061</v>
      </c>
      <c r="X890" s="21" t="n">
        <f aca="false">S890+V890+W890</f>
        <v>439683</v>
      </c>
      <c r="Y890" s="19" t="n">
        <v>394532</v>
      </c>
      <c r="Z890" s="19" t="n">
        <v>45151</v>
      </c>
      <c r="AA890" s="19" t="n">
        <v>4929190</v>
      </c>
      <c r="AB890" s="29" t="n">
        <v>35.378</v>
      </c>
      <c r="AC890" s="29" t="n">
        <v>36.7305</v>
      </c>
      <c r="AD890" s="24" t="n">
        <f aca="false">IFERROR(AA890/AC890,0)</f>
        <v>134198.826588258</v>
      </c>
      <c r="AE890" s="25" t="n">
        <f aca="false">K890-Q890-X890</f>
        <v>0.999999999941792</v>
      </c>
      <c r="AF890" s="25" t="n">
        <f aca="false">Q890-AA890</f>
        <v>0</v>
      </c>
      <c r="AG890" s="19" t="n">
        <v>4035762.92489708</v>
      </c>
      <c r="AH890" s="26" t="n">
        <f aca="false">IFERROR(AG890/Q890,0)</f>
        <v>0.818747689761822</v>
      </c>
      <c r="AI890" s="27" t="n">
        <v>402928600.479263</v>
      </c>
      <c r="AJ890" s="26" t="n">
        <f aca="false">IF(AI890&gt;0,AprCoef/SQRT(AI890),0)</f>
        <v>0.0236137137315361</v>
      </c>
      <c r="AK890" s="24" t="n">
        <f aca="false">AI890*AJ890/365</f>
        <v>26067.5085642899</v>
      </c>
      <c r="AL890" s="24" t="n">
        <f aca="false">AD890</f>
        <v>134198.826588258</v>
      </c>
      <c r="AM890" s="24" t="n">
        <f aca="false">AK890-AL890</f>
        <v>-108131.318023968</v>
      </c>
      <c r="AN890" s="28" t="str">
        <f aca="false">IF(A890&gt;=Hip3LaunchDate,"YES","")</f>
        <v>YES</v>
      </c>
      <c r="AO890" s="28" t="str">
        <f aca="false">IF(A890&lt;Hip4LaunchDate,"pre-launch","live (zero-fee)")</f>
        <v>pre-launch</v>
      </c>
      <c r="AP890" s="30" t="n">
        <v>1</v>
      </c>
      <c r="AQ890" s="30" t="n">
        <v>0</v>
      </c>
      <c r="AR890" s="19" t="n">
        <v>6751.27691246221</v>
      </c>
    </row>
    <row r="891" customFormat="false" ht="15" hidden="false" customHeight="false" outlineLevel="0" collapsed="false">
      <c r="A891" s="18" t="n">
        <v>45952</v>
      </c>
      <c r="B891" s="19" t="n">
        <v>11713117815.67</v>
      </c>
      <c r="C891" s="19" t="n">
        <v>36702796.55</v>
      </c>
      <c r="D891" s="19" t="n">
        <v>292734754</v>
      </c>
      <c r="E891" s="21" t="n">
        <f aca="false">B891+C891</f>
        <v>11749820612.22</v>
      </c>
      <c r="F891" s="21" t="n">
        <f aca="false">E891+D891</f>
        <v>12042555366.22</v>
      </c>
      <c r="G891" s="22" t="n">
        <f aca="false">IFERROR(C891/E891,0)</f>
        <v>0.00312368994908982</v>
      </c>
      <c r="H891" s="19" t="n">
        <v>4058966</v>
      </c>
      <c r="I891" s="19" t="n">
        <v>159923</v>
      </c>
      <c r="J891" s="19" t="n">
        <v>39655</v>
      </c>
      <c r="K891" s="21" t="n">
        <f aca="false">H891+I891</f>
        <v>4218889</v>
      </c>
      <c r="L891" s="19" t="n">
        <v>10632.8001595211</v>
      </c>
      <c r="M891" s="21" t="n">
        <f aca="false">H891-L891</f>
        <v>4048333.19984048</v>
      </c>
      <c r="N891" s="23" t="n">
        <f aca="false">IFERROR(M891/B891*10000,0)</f>
        <v>3.45623877736853</v>
      </c>
      <c r="O891" s="19" t="n">
        <v>3802459</v>
      </c>
      <c r="P891" s="19" t="n">
        <v>123392</v>
      </c>
      <c r="Q891" s="21" t="n">
        <f aca="false">O891+P891</f>
        <v>3925851</v>
      </c>
      <c r="R891" s="22" t="n">
        <f aca="false">IF(A891&lt;HlpChangeDate,HlpSharePre,HlpSharePost)</f>
        <v>0.01</v>
      </c>
      <c r="S891" s="21" t="n">
        <f aca="false">Q891*R891/(1-R891)</f>
        <v>39655.0606060606</v>
      </c>
      <c r="T891" s="19" t="n">
        <v>39655</v>
      </c>
      <c r="U891" s="21" t="n">
        <f aca="false">S891-T891</f>
        <v>0.0606060606078245</v>
      </c>
      <c r="V891" s="21" t="n">
        <f aca="false">Y891-O891*R891/(1-R891)</f>
        <v>218098.323232323</v>
      </c>
      <c r="W891" s="21" t="n">
        <f aca="false">Z891-P891*R891/(1-R891)</f>
        <v>35285.6161616162</v>
      </c>
      <c r="X891" s="21" t="n">
        <f aca="false">S891+V891+W891</f>
        <v>293039</v>
      </c>
      <c r="Y891" s="19" t="n">
        <v>256507</v>
      </c>
      <c r="Z891" s="19" t="n">
        <v>36532</v>
      </c>
      <c r="AA891" s="19" t="n">
        <v>3925851</v>
      </c>
      <c r="AB891" s="29" t="n">
        <v>36.266</v>
      </c>
      <c r="AC891" s="29" t="n">
        <v>35.74175</v>
      </c>
      <c r="AD891" s="24" t="n">
        <f aca="false">IFERROR(AA891/AC891,0)</f>
        <v>109839.361530983</v>
      </c>
      <c r="AE891" s="25" t="n">
        <f aca="false">K891-Q891-X891</f>
        <v>-1</v>
      </c>
      <c r="AF891" s="25" t="n">
        <f aca="false">Q891-AA891</f>
        <v>0</v>
      </c>
      <c r="AG891" s="19" t="n">
        <v>3276576.74982393</v>
      </c>
      <c r="AH891" s="26" t="n">
        <f aca="false">IFERROR(AG891/Q891,0)</f>
        <v>0.834615666723961</v>
      </c>
      <c r="AI891" s="27" t="n">
        <v>403083367.225807</v>
      </c>
      <c r="AJ891" s="26" t="n">
        <f aca="false">IF(AI891&gt;0,AprCoef/SQRT(AI891),0)</f>
        <v>0.0236091799690235</v>
      </c>
      <c r="AK891" s="24" t="n">
        <f aca="false">AI891*AJ891/365</f>
        <v>26072.5144091892</v>
      </c>
      <c r="AL891" s="24" t="n">
        <f aca="false">AD891</f>
        <v>109839.361530983</v>
      </c>
      <c r="AM891" s="24" t="n">
        <f aca="false">AK891-AL891</f>
        <v>-83766.8471217935</v>
      </c>
      <c r="AN891" s="28" t="str">
        <f aca="false">IF(A891&gt;=Hip3LaunchDate,"YES","")</f>
        <v>YES</v>
      </c>
      <c r="AO891" s="28" t="str">
        <f aca="false">IF(A891&lt;Hip4LaunchDate,"pre-launch","live (zero-fee)")</f>
        <v>pre-launch</v>
      </c>
      <c r="AP891" s="30" t="n">
        <v>1</v>
      </c>
      <c r="AQ891" s="30" t="n">
        <v>0</v>
      </c>
      <c r="AR891" s="19" t="n">
        <v>10632.8001595211</v>
      </c>
    </row>
    <row r="892" customFormat="false" ht="15" hidden="false" customHeight="false" outlineLevel="0" collapsed="false">
      <c r="A892" s="18" t="n">
        <v>45953</v>
      </c>
      <c r="B892" s="19" t="n">
        <v>8724893109.04</v>
      </c>
      <c r="C892" s="19" t="n">
        <v>30181936.88</v>
      </c>
      <c r="D892" s="19" t="n">
        <v>277126381</v>
      </c>
      <c r="E892" s="21" t="n">
        <f aca="false">B892+C892</f>
        <v>8755075045.92</v>
      </c>
      <c r="F892" s="21" t="n">
        <f aca="false">E892+D892</f>
        <v>9032201426.92</v>
      </c>
      <c r="G892" s="22" t="n">
        <f aca="false">IFERROR(C892/E892,0)</f>
        <v>0.00344736472522474</v>
      </c>
      <c r="H892" s="19" t="n">
        <v>3138968</v>
      </c>
      <c r="I892" s="19" t="n">
        <v>159178</v>
      </c>
      <c r="J892" s="19" t="n">
        <v>30487</v>
      </c>
      <c r="K892" s="21" t="n">
        <f aca="false">H892+I892</f>
        <v>3298146</v>
      </c>
      <c r="L892" s="19" t="n">
        <v>8743.7071129772</v>
      </c>
      <c r="M892" s="21" t="n">
        <f aca="false">H892-L892</f>
        <v>3130224.29288702</v>
      </c>
      <c r="N892" s="23" t="n">
        <f aca="false">IFERROR(M892/B892*10000,0)</f>
        <v>3.58769357259374</v>
      </c>
      <c r="O892" s="19" t="n">
        <v>2892600</v>
      </c>
      <c r="P892" s="19" t="n">
        <v>125618</v>
      </c>
      <c r="Q892" s="21" t="n">
        <f aca="false">O892+P892</f>
        <v>3018218</v>
      </c>
      <c r="R892" s="22" t="n">
        <f aca="false">IF(A892&lt;HlpChangeDate,HlpSharePre,HlpSharePost)</f>
        <v>0.01</v>
      </c>
      <c r="S892" s="21" t="n">
        <f aca="false">Q892*R892/(1-R892)</f>
        <v>30487.0505050505</v>
      </c>
      <c r="T892" s="19" t="n">
        <v>30487</v>
      </c>
      <c r="U892" s="21" t="n">
        <f aca="false">S892-T892</f>
        <v>0.0505050505053077</v>
      </c>
      <c r="V892" s="21" t="n">
        <f aca="false">Y892-O892*R892/(1-R892)</f>
        <v>217149.818181818</v>
      </c>
      <c r="W892" s="21" t="n">
        <f aca="false">Z892-P892*R892/(1-R892)</f>
        <v>32291.1313131313</v>
      </c>
      <c r="X892" s="21" t="n">
        <f aca="false">S892+V892+W892</f>
        <v>279928</v>
      </c>
      <c r="Y892" s="19" t="n">
        <v>246368</v>
      </c>
      <c r="Z892" s="19" t="n">
        <v>33560</v>
      </c>
      <c r="AA892" s="19" t="n">
        <v>3018218</v>
      </c>
      <c r="AB892" s="29" t="n">
        <v>40.246</v>
      </c>
      <c r="AC892" s="29" t="n">
        <v>38.36675</v>
      </c>
      <c r="AD892" s="24" t="n">
        <f aca="false">IFERROR(AA892/AC892,0)</f>
        <v>78667.5441625887</v>
      </c>
      <c r="AE892" s="25" t="n">
        <f aca="false">K892-Q892-X892</f>
        <v>0</v>
      </c>
      <c r="AF892" s="25" t="n">
        <f aca="false">Q892-AA892</f>
        <v>0</v>
      </c>
      <c r="AG892" s="19" t="n">
        <v>2506413.34937406</v>
      </c>
      <c r="AH892" s="26" t="n">
        <f aca="false">IFERROR(AG892/Q892,0)</f>
        <v>0.830428202791865</v>
      </c>
      <c r="AI892" s="27" t="n">
        <v>403238133.97235</v>
      </c>
      <c r="AJ892" s="26" t="n">
        <f aca="false">IF(AI892&gt;0,AprCoef/SQRT(AI892),0)</f>
        <v>0.0236046488169151</v>
      </c>
      <c r="AK892" s="24" t="n">
        <f aca="false">AI892*AJ892/365</f>
        <v>26077.5192931658</v>
      </c>
      <c r="AL892" s="24" t="n">
        <f aca="false">AD892</f>
        <v>78667.5441625887</v>
      </c>
      <c r="AM892" s="24" t="n">
        <f aca="false">AK892-AL892</f>
        <v>-52590.0248694229</v>
      </c>
      <c r="AN892" s="28" t="str">
        <f aca="false">IF(A892&gt;=Hip3LaunchDate,"YES","")</f>
        <v>YES</v>
      </c>
      <c r="AO892" s="28" t="str">
        <f aca="false">IF(A892&lt;Hip4LaunchDate,"pre-launch","live (zero-fee)")</f>
        <v>pre-launch</v>
      </c>
      <c r="AP892" s="30" t="n">
        <v>1</v>
      </c>
      <c r="AQ892" s="30" t="n">
        <v>0</v>
      </c>
      <c r="AR892" s="19" t="n">
        <v>8743.7071129772</v>
      </c>
    </row>
    <row r="893" customFormat="false" ht="15" hidden="false" customHeight="false" outlineLevel="0" collapsed="false">
      <c r="A893" s="18" t="n">
        <v>45954</v>
      </c>
      <c r="B893" s="19" t="n">
        <v>6750264123.22</v>
      </c>
      <c r="C893" s="19" t="n">
        <v>27291719.56</v>
      </c>
      <c r="D893" s="19" t="n">
        <v>183360265</v>
      </c>
      <c r="E893" s="21" t="n">
        <f aca="false">B893+C893</f>
        <v>6777555842.78</v>
      </c>
      <c r="F893" s="21" t="n">
        <f aca="false">E893+D893</f>
        <v>6960916107.78</v>
      </c>
      <c r="G893" s="22" t="n">
        <f aca="false">IFERROR(C893/E893,0)</f>
        <v>0.00402677900309347</v>
      </c>
      <c r="H893" s="19" t="n">
        <v>2562271</v>
      </c>
      <c r="I893" s="19" t="n">
        <v>110772</v>
      </c>
      <c r="J893" s="19" t="n">
        <v>24237</v>
      </c>
      <c r="K893" s="21" t="n">
        <f aca="false">H893+I893</f>
        <v>2673043</v>
      </c>
      <c r="L893" s="19" t="n">
        <v>7906.41115511247</v>
      </c>
      <c r="M893" s="21" t="n">
        <f aca="false">H893-L893</f>
        <v>2554364.58884489</v>
      </c>
      <c r="N893" s="23" t="n">
        <f aca="false">IFERROR(M893/B893*10000,0)</f>
        <v>3.78409576605783</v>
      </c>
      <c r="O893" s="19" t="n">
        <v>2318418</v>
      </c>
      <c r="P893" s="19" t="n">
        <v>81020</v>
      </c>
      <c r="Q893" s="21" t="n">
        <f aca="false">O893+P893</f>
        <v>2399438</v>
      </c>
      <c r="R893" s="22" t="n">
        <f aca="false">IF(A893&lt;HlpChangeDate,HlpSharePre,HlpSharePost)</f>
        <v>0.01</v>
      </c>
      <c r="S893" s="21" t="n">
        <f aca="false">Q893*R893/(1-R893)</f>
        <v>24236.7474747475</v>
      </c>
      <c r="T893" s="19" t="n">
        <v>24237</v>
      </c>
      <c r="U893" s="21" t="n">
        <f aca="false">S893-T893</f>
        <v>-0.252525252522901</v>
      </c>
      <c r="V893" s="21" t="n">
        <f aca="false">Y893-O893*R893/(1-R893)</f>
        <v>220434.636363636</v>
      </c>
      <c r="W893" s="21" t="n">
        <f aca="false">Z893-P893*R893/(1-R893)</f>
        <v>28933.6161616162</v>
      </c>
      <c r="X893" s="21" t="n">
        <f aca="false">S893+V893+W893</f>
        <v>273605</v>
      </c>
      <c r="Y893" s="19" t="n">
        <v>243853</v>
      </c>
      <c r="Z893" s="19" t="n">
        <v>29752</v>
      </c>
      <c r="AA893" s="19" t="n">
        <v>2399438</v>
      </c>
      <c r="AB893" s="29" t="n">
        <v>39.345</v>
      </c>
      <c r="AC893" s="29" t="n">
        <v>39.79725</v>
      </c>
      <c r="AD893" s="24" t="n">
        <f aca="false">IFERROR(AA893/AC893,0)</f>
        <v>60291.5528082971</v>
      </c>
      <c r="AE893" s="25" t="n">
        <f aca="false">K893-Q893-X893</f>
        <v>0</v>
      </c>
      <c r="AF893" s="25" t="n">
        <f aca="false">Q893-AA893</f>
        <v>0</v>
      </c>
      <c r="AG893" s="19" t="n">
        <v>1921774.89951897</v>
      </c>
      <c r="AH893" s="26" t="n">
        <f aca="false">IFERROR(AG893/Q893,0)</f>
        <v>0.800927091893588</v>
      </c>
      <c r="AI893" s="27" t="n">
        <v>403392900.718894</v>
      </c>
      <c r="AJ893" s="26" t="n">
        <f aca="false">IF(AI893&gt;0,AprCoef/SQRT(AI893),0)</f>
        <v>0.023600120272707</v>
      </c>
      <c r="AK893" s="24" t="n">
        <f aca="false">AI893*AJ893/365</f>
        <v>26082.5232167727</v>
      </c>
      <c r="AL893" s="24" t="n">
        <f aca="false">AD893</f>
        <v>60291.5528082971</v>
      </c>
      <c r="AM893" s="24" t="n">
        <f aca="false">AK893-AL893</f>
        <v>-34209.0295915244</v>
      </c>
      <c r="AN893" s="28" t="str">
        <f aca="false">IF(A893&gt;=Hip3LaunchDate,"YES","")</f>
        <v>YES</v>
      </c>
      <c r="AO893" s="28" t="str">
        <f aca="false">IF(A893&lt;Hip4LaunchDate,"pre-launch","live (zero-fee)")</f>
        <v>pre-launch</v>
      </c>
      <c r="AP893" s="30" t="n">
        <v>1</v>
      </c>
      <c r="AQ893" s="30" t="n">
        <v>0</v>
      </c>
      <c r="AR893" s="19" t="n">
        <v>7906.41115511247</v>
      </c>
    </row>
    <row r="894" customFormat="false" ht="15" hidden="false" customHeight="false" outlineLevel="0" collapsed="false">
      <c r="A894" s="18" t="n">
        <v>45955</v>
      </c>
      <c r="B894" s="19" t="n">
        <v>3195465059.06</v>
      </c>
      <c r="C894" s="19" t="n">
        <v>49065137.02</v>
      </c>
      <c r="D894" s="19" t="n">
        <v>174559654</v>
      </c>
      <c r="E894" s="21" t="n">
        <f aca="false">B894+C894</f>
        <v>3244530196.08</v>
      </c>
      <c r="F894" s="21" t="n">
        <f aca="false">E894+D894</f>
        <v>3419089850.08</v>
      </c>
      <c r="G894" s="22" t="n">
        <f aca="false">IFERROR(C894/E894,0)</f>
        <v>0.01512241651481</v>
      </c>
      <c r="H894" s="19" t="n">
        <v>1321850</v>
      </c>
      <c r="I894" s="19" t="n">
        <v>110935</v>
      </c>
      <c r="J894" s="19" t="n">
        <v>12698</v>
      </c>
      <c r="K894" s="21" t="n">
        <f aca="false">H894+I894</f>
        <v>1432785</v>
      </c>
      <c r="L894" s="19" t="n">
        <v>14214.1701959832</v>
      </c>
      <c r="M894" s="21" t="n">
        <f aca="false">H894-L894</f>
        <v>1307635.82980402</v>
      </c>
      <c r="N894" s="23" t="n">
        <f aca="false">IFERROR(M894/B894*10000,0)</f>
        <v>4.09216125238647</v>
      </c>
      <c r="O894" s="19" t="n">
        <v>1170044</v>
      </c>
      <c r="P894" s="19" t="n">
        <v>87107</v>
      </c>
      <c r="Q894" s="21" t="n">
        <f aca="false">O894+P894</f>
        <v>1257151</v>
      </c>
      <c r="R894" s="22" t="n">
        <f aca="false">IF(A894&lt;HlpChangeDate,HlpSharePre,HlpSharePost)</f>
        <v>0.01</v>
      </c>
      <c r="S894" s="21" t="n">
        <f aca="false">Q894*R894/(1-R894)</f>
        <v>12698.494949495</v>
      </c>
      <c r="T894" s="19" t="n">
        <v>12698</v>
      </c>
      <c r="U894" s="21" t="n">
        <f aca="false">S894-T894</f>
        <v>0.494949494950561</v>
      </c>
      <c r="V894" s="21" t="n">
        <f aca="false">Y894-O894*R894/(1-R894)</f>
        <v>139987.373737374</v>
      </c>
      <c r="W894" s="21" t="n">
        <f aca="false">Z894-P894*R894/(1-R894)</f>
        <v>22948.1313131313</v>
      </c>
      <c r="X894" s="21" t="n">
        <f aca="false">S894+V894+W894</f>
        <v>175634</v>
      </c>
      <c r="Y894" s="19" t="n">
        <v>151806</v>
      </c>
      <c r="Z894" s="19" t="n">
        <v>23828</v>
      </c>
      <c r="AA894" s="19" t="n">
        <v>1257151</v>
      </c>
      <c r="AB894" s="29" t="n">
        <v>44.25</v>
      </c>
      <c r="AC894" s="29" t="n">
        <v>41.79475</v>
      </c>
      <c r="AD894" s="24" t="n">
        <f aca="false">IFERROR(AA894/AC894,0)</f>
        <v>30079.1606601308</v>
      </c>
      <c r="AE894" s="25" t="n">
        <f aca="false">K894-Q894-X894</f>
        <v>0</v>
      </c>
      <c r="AF894" s="25" t="n">
        <f aca="false">Q894-AA894</f>
        <v>0</v>
      </c>
      <c r="AG894" s="19" t="n">
        <v>1020198.37114</v>
      </c>
      <c r="AH894" s="26" t="n">
        <f aca="false">IFERROR(AG894/Q894,0)</f>
        <v>0.81151617517705</v>
      </c>
      <c r="AI894" s="27" t="n">
        <v>403547667.465438</v>
      </c>
      <c r="AJ894" s="26" t="n">
        <f aca="false">IF(AI894&gt;0,AprCoef/SQRT(AI894),0)</f>
        <v>0.0235955943338983</v>
      </c>
      <c r="AK894" s="24" t="n">
        <f aca="false">AI894*AJ894/365</f>
        <v>26087.5261805626</v>
      </c>
      <c r="AL894" s="24" t="n">
        <f aca="false">AD894</f>
        <v>30079.1606601308</v>
      </c>
      <c r="AM894" s="24" t="n">
        <f aca="false">AK894-AL894</f>
        <v>-3991.63447956814</v>
      </c>
      <c r="AN894" s="28" t="str">
        <f aca="false">IF(A894&gt;=Hip3LaunchDate,"YES","")</f>
        <v>YES</v>
      </c>
      <c r="AO894" s="28" t="str">
        <f aca="false">IF(A894&lt;Hip4LaunchDate,"pre-launch","live (zero-fee)")</f>
        <v>pre-launch</v>
      </c>
      <c r="AP894" s="30" t="n">
        <v>1</v>
      </c>
      <c r="AQ894" s="30" t="n">
        <v>0</v>
      </c>
      <c r="AR894" s="19" t="n">
        <v>14214.1701959832</v>
      </c>
    </row>
    <row r="895" customFormat="false" ht="15" hidden="false" customHeight="false" outlineLevel="0" collapsed="false">
      <c r="A895" s="18" t="n">
        <v>45956</v>
      </c>
      <c r="B895" s="19" t="n">
        <v>6150301937.43</v>
      </c>
      <c r="C895" s="19" t="n">
        <v>47095459.86</v>
      </c>
      <c r="D895" s="19" t="n">
        <v>250980235</v>
      </c>
      <c r="E895" s="21" t="n">
        <f aca="false">B895+C895</f>
        <v>6197397397.29</v>
      </c>
      <c r="F895" s="21" t="n">
        <f aca="false">E895+D895</f>
        <v>6448377632.29</v>
      </c>
      <c r="G895" s="22" t="n">
        <f aca="false">IFERROR(C895/E895,0)</f>
        <v>0.00759923187765786</v>
      </c>
      <c r="H895" s="19" t="n">
        <v>2506397</v>
      </c>
      <c r="I895" s="19" t="n">
        <v>153309</v>
      </c>
      <c r="J895" s="19" t="n">
        <v>23948</v>
      </c>
      <c r="K895" s="21" t="n">
        <f aca="false">H895+I895</f>
        <v>2659706</v>
      </c>
      <c r="L895" s="19" t="n">
        <v>13643.5547208409</v>
      </c>
      <c r="M895" s="21" t="n">
        <f aca="false">H895-L895</f>
        <v>2492753.44527916</v>
      </c>
      <c r="N895" s="23" t="n">
        <f aca="false">IFERROR(M895/B895*10000,0)</f>
        <v>4.05305864759023</v>
      </c>
      <c r="O895" s="19" t="n">
        <v>2245309</v>
      </c>
      <c r="P895" s="19" t="n">
        <v>125584</v>
      </c>
      <c r="Q895" s="21" t="n">
        <f aca="false">O895+P895</f>
        <v>2370893</v>
      </c>
      <c r="R895" s="22" t="n">
        <f aca="false">IF(A895&lt;HlpChangeDate,HlpSharePre,HlpSharePost)</f>
        <v>0.01</v>
      </c>
      <c r="S895" s="21" t="n">
        <f aca="false">Q895*R895/(1-R895)</f>
        <v>23948.4141414141</v>
      </c>
      <c r="T895" s="19" t="n">
        <v>23948</v>
      </c>
      <c r="U895" s="21" t="n">
        <f aca="false">S895-T895</f>
        <v>0.414141414141341</v>
      </c>
      <c r="V895" s="21" t="n">
        <f aca="false">Y895-O895*R895/(1-R895)</f>
        <v>238407.111111111</v>
      </c>
      <c r="W895" s="21" t="n">
        <f aca="false">Z895-P895*R895/(1-R895)</f>
        <v>26455.4747474748</v>
      </c>
      <c r="X895" s="21" t="n">
        <f aca="false">S895+V895+W895</f>
        <v>288811</v>
      </c>
      <c r="Y895" s="19" t="n">
        <v>261087</v>
      </c>
      <c r="Z895" s="19" t="n">
        <v>27724</v>
      </c>
      <c r="AA895" s="19" t="n">
        <v>2370893</v>
      </c>
      <c r="AB895" s="29" t="n">
        <v>47.339</v>
      </c>
      <c r="AC895" s="29" t="n">
        <v>45.95925</v>
      </c>
      <c r="AD895" s="24" t="n">
        <f aca="false">IFERROR(AA895/AC895,0)</f>
        <v>51586.8513955297</v>
      </c>
      <c r="AE895" s="25" t="n">
        <f aca="false">K895-Q895-X895</f>
        <v>1.99999999994179</v>
      </c>
      <c r="AF895" s="25" t="n">
        <f aca="false">Q895-AA895</f>
        <v>0</v>
      </c>
      <c r="AG895" s="19" t="n">
        <v>1903566.95298398</v>
      </c>
      <c r="AH895" s="26" t="n">
        <f aca="false">IFERROR(AG895/Q895,0)</f>
        <v>0.802890283527757</v>
      </c>
      <c r="AI895" s="27" t="n">
        <v>403702434.211982</v>
      </c>
      <c r="AJ895" s="26" t="n">
        <f aca="false">IF(AI895&gt;0,AprCoef/SQRT(AI895),0)</f>
        <v>0.0235910709979919</v>
      </c>
      <c r="AK895" s="24" t="n">
        <f aca="false">AI895*AJ895/365</f>
        <v>26092.5281850877</v>
      </c>
      <c r="AL895" s="24" t="n">
        <f aca="false">AD895</f>
        <v>51586.8513955297</v>
      </c>
      <c r="AM895" s="24" t="n">
        <f aca="false">AK895-AL895</f>
        <v>-25494.3232104421</v>
      </c>
      <c r="AN895" s="28" t="str">
        <f aca="false">IF(A895&gt;=Hip3LaunchDate,"YES","")</f>
        <v>YES</v>
      </c>
      <c r="AO895" s="28" t="str">
        <f aca="false">IF(A895&lt;Hip4LaunchDate,"pre-launch","live (zero-fee)")</f>
        <v>pre-launch</v>
      </c>
      <c r="AP895" s="30" t="n">
        <v>1</v>
      </c>
      <c r="AQ895" s="30" t="n">
        <v>0</v>
      </c>
      <c r="AR895" s="19" t="n">
        <v>13643.5547208409</v>
      </c>
    </row>
    <row r="896" customFormat="false" ht="15" hidden="false" customHeight="false" outlineLevel="0" collapsed="false">
      <c r="A896" s="18" t="n">
        <v>45957</v>
      </c>
      <c r="B896" s="19" t="n">
        <v>8295248015.44</v>
      </c>
      <c r="C896" s="19" t="n">
        <v>65432776.41</v>
      </c>
      <c r="D896" s="19" t="n">
        <v>299657027</v>
      </c>
      <c r="E896" s="21" t="n">
        <f aca="false">B896+C896</f>
        <v>8360680791.85</v>
      </c>
      <c r="F896" s="21" t="n">
        <f aca="false">E896+D896</f>
        <v>8660337818.85</v>
      </c>
      <c r="G896" s="22" t="n">
        <f aca="false">IFERROR(C896/E896,0)</f>
        <v>0.00782624980417671</v>
      </c>
      <c r="H896" s="19" t="n">
        <v>3340973</v>
      </c>
      <c r="I896" s="19" t="n">
        <v>180324</v>
      </c>
      <c r="J896" s="19" t="n">
        <v>31769</v>
      </c>
      <c r="K896" s="21" t="n">
        <f aca="false">H896+I896</f>
        <v>3521297</v>
      </c>
      <c r="L896" s="19" t="n">
        <v>18955.8753266723</v>
      </c>
      <c r="M896" s="21" t="n">
        <f aca="false">H896-L896</f>
        <v>3322017.12467333</v>
      </c>
      <c r="N896" s="23" t="n">
        <f aca="false">IFERROR(M896/B896*10000,0)</f>
        <v>4.00472308783298</v>
      </c>
      <c r="O896" s="19" t="n">
        <v>3003261</v>
      </c>
      <c r="P896" s="19" t="n">
        <v>141883</v>
      </c>
      <c r="Q896" s="21" t="n">
        <f aca="false">O896+P896</f>
        <v>3145144</v>
      </c>
      <c r="R896" s="22" t="n">
        <f aca="false">IF(A896&lt;HlpChangeDate,HlpSharePre,HlpSharePost)</f>
        <v>0.01</v>
      </c>
      <c r="S896" s="21" t="n">
        <f aca="false">Q896*R896/(1-R896)</f>
        <v>31769.1313131313</v>
      </c>
      <c r="T896" s="19" t="n">
        <v>31769</v>
      </c>
      <c r="U896" s="21" t="n">
        <f aca="false">S896-T896</f>
        <v>0.131313131314528</v>
      </c>
      <c r="V896" s="21" t="n">
        <f aca="false">Y896-O896*R896/(1-R896)</f>
        <v>307377.03030303</v>
      </c>
      <c r="W896" s="21" t="n">
        <f aca="false">Z896-P896*R896/(1-R896)</f>
        <v>37008.8383838384</v>
      </c>
      <c r="X896" s="21" t="n">
        <f aca="false">S896+V896+W896</f>
        <v>376155</v>
      </c>
      <c r="Y896" s="19" t="n">
        <v>337713</v>
      </c>
      <c r="Z896" s="19" t="n">
        <v>38442</v>
      </c>
      <c r="AA896" s="19" t="n">
        <v>3145144</v>
      </c>
      <c r="AB896" s="29" t="n">
        <v>46.583</v>
      </c>
      <c r="AC896" s="29" t="n">
        <v>47.189</v>
      </c>
      <c r="AD896" s="24" t="n">
        <f aca="false">IFERROR(AA896/AC896,0)</f>
        <v>66649.9396045689</v>
      </c>
      <c r="AE896" s="25" t="n">
        <f aca="false">K896-Q896-X896</f>
        <v>-1.99999999994179</v>
      </c>
      <c r="AF896" s="25" t="n">
        <f aca="false">Q896-AA896</f>
        <v>0</v>
      </c>
      <c r="AG896" s="19" t="n">
        <v>2551789.18114507</v>
      </c>
      <c r="AH896" s="26" t="n">
        <f aca="false">IFERROR(AG896/Q896,0)</f>
        <v>0.811342558924193</v>
      </c>
      <c r="AI896" s="27" t="n">
        <v>403857200.958525</v>
      </c>
      <c r="AJ896" s="26" t="n">
        <f aca="false">IF(AI896&gt;0,AprCoef/SQRT(AI896),0)</f>
        <v>0.0235865502624937</v>
      </c>
      <c r="AK896" s="24" t="n">
        <f aca="false">AI896*AJ896/365</f>
        <v>26097.5292308994</v>
      </c>
      <c r="AL896" s="24" t="n">
        <f aca="false">AD896</f>
        <v>66649.9396045689</v>
      </c>
      <c r="AM896" s="24" t="n">
        <f aca="false">AK896-AL896</f>
        <v>-40552.4103736695</v>
      </c>
      <c r="AN896" s="28" t="str">
        <f aca="false">IF(A896&gt;=Hip3LaunchDate,"YES","")</f>
        <v>YES</v>
      </c>
      <c r="AO896" s="28" t="str">
        <f aca="false">IF(A896&lt;Hip4LaunchDate,"pre-launch","live (zero-fee)")</f>
        <v>pre-launch</v>
      </c>
      <c r="AP896" s="30" t="n">
        <v>1</v>
      </c>
      <c r="AQ896" s="30" t="n">
        <v>0</v>
      </c>
      <c r="AR896" s="19" t="n">
        <v>18955.8753266723</v>
      </c>
    </row>
    <row r="897" customFormat="false" ht="15" hidden="false" customHeight="false" outlineLevel="0" collapsed="false">
      <c r="A897" s="18" t="n">
        <v>45958</v>
      </c>
      <c r="B897" s="19" t="n">
        <v>9675678919.31</v>
      </c>
      <c r="C897" s="19" t="n">
        <v>80509374.28</v>
      </c>
      <c r="D897" s="19" t="n">
        <v>309914355</v>
      </c>
      <c r="E897" s="21" t="n">
        <f aca="false">B897+C897</f>
        <v>9756188293.59</v>
      </c>
      <c r="F897" s="21" t="n">
        <f aca="false">E897+D897</f>
        <v>10066102648.59</v>
      </c>
      <c r="G897" s="22" t="n">
        <f aca="false">IFERROR(C897/E897,0)</f>
        <v>0.00825213411808546</v>
      </c>
      <c r="H897" s="19" t="n">
        <v>3787273</v>
      </c>
      <c r="I897" s="19" t="n">
        <v>195777</v>
      </c>
      <c r="J897" s="19" t="n">
        <v>35891</v>
      </c>
      <c r="K897" s="21" t="n">
        <f aca="false">H897+I897</f>
        <v>3983050</v>
      </c>
      <c r="L897" s="19" t="n">
        <v>23323.5657299806</v>
      </c>
      <c r="M897" s="21" t="n">
        <f aca="false">H897-L897</f>
        <v>3763949.43427002</v>
      </c>
      <c r="N897" s="23" t="n">
        <f aca="false">IFERROR(M897/B897*10000,0)</f>
        <v>3.89011403298864</v>
      </c>
      <c r="O897" s="19" t="n">
        <v>3405906</v>
      </c>
      <c r="P897" s="19" t="n">
        <v>147331</v>
      </c>
      <c r="Q897" s="21" t="n">
        <f aca="false">O897+P897</f>
        <v>3553237</v>
      </c>
      <c r="R897" s="22" t="n">
        <f aca="false">IF(A897&lt;HlpChangeDate,HlpSharePre,HlpSharePost)</f>
        <v>0.01</v>
      </c>
      <c r="S897" s="21" t="n">
        <f aca="false">Q897*R897/(1-R897)</f>
        <v>35891.2828282828</v>
      </c>
      <c r="T897" s="19" t="n">
        <v>35891</v>
      </c>
      <c r="U897" s="21" t="n">
        <f aca="false">S897-T897</f>
        <v>0.282828282834089</v>
      </c>
      <c r="V897" s="21" t="n">
        <f aca="false">Y897-O897*R897/(1-R897)</f>
        <v>346964.909090909</v>
      </c>
      <c r="W897" s="21" t="n">
        <f aca="false">Z897-P897*R897/(1-R897)</f>
        <v>46956.8080808081</v>
      </c>
      <c r="X897" s="21" t="n">
        <f aca="false">S897+V897+W897</f>
        <v>429813</v>
      </c>
      <c r="Y897" s="19" t="n">
        <v>381368</v>
      </c>
      <c r="Z897" s="19" t="n">
        <v>48445</v>
      </c>
      <c r="AA897" s="19" t="n">
        <v>3553237</v>
      </c>
      <c r="AB897" s="29" t="n">
        <v>47.718</v>
      </c>
      <c r="AC897" s="29" t="n">
        <v>47.44625</v>
      </c>
      <c r="AD897" s="24" t="n">
        <f aca="false">IFERROR(AA897/AC897,0)</f>
        <v>74889.7331190558</v>
      </c>
      <c r="AE897" s="25" t="n">
        <f aca="false">K897-Q897-X897</f>
        <v>0</v>
      </c>
      <c r="AF897" s="25" t="n">
        <f aca="false">Q897-AA897</f>
        <v>0</v>
      </c>
      <c r="AG897" s="19" t="n">
        <v>2813088.756194</v>
      </c>
      <c r="AH897" s="26" t="n">
        <f aca="false">IFERROR(AG897/Q897,0)</f>
        <v>0.791697473654022</v>
      </c>
      <c r="AI897" s="27" t="n">
        <v>404011967.705069</v>
      </c>
      <c r="AJ897" s="26" t="n">
        <f aca="false">IF(AI897&gt;0,AprCoef/SQRT(AI897),0)</f>
        <v>0.0235820321249132</v>
      </c>
      <c r="AK897" s="24" t="n">
        <f aca="false">AI897*AJ897/365</f>
        <v>26102.5293185488</v>
      </c>
      <c r="AL897" s="24" t="n">
        <f aca="false">AD897</f>
        <v>74889.7331190558</v>
      </c>
      <c r="AM897" s="24" t="n">
        <f aca="false">AK897-AL897</f>
        <v>-48787.2038005069</v>
      </c>
      <c r="AN897" s="28" t="str">
        <f aca="false">IF(A897&gt;=Hip3LaunchDate,"YES","")</f>
        <v>YES</v>
      </c>
      <c r="AO897" s="28" t="str">
        <f aca="false">IF(A897&lt;Hip4LaunchDate,"pre-launch","live (zero-fee)")</f>
        <v>pre-launch</v>
      </c>
      <c r="AP897" s="30" t="n">
        <v>1</v>
      </c>
      <c r="AQ897" s="30" t="n">
        <v>0</v>
      </c>
      <c r="AR897" s="19" t="n">
        <v>23323.5657299806</v>
      </c>
    </row>
    <row r="898" customFormat="false" ht="15" hidden="false" customHeight="false" outlineLevel="0" collapsed="false">
      <c r="A898" s="18" t="n">
        <v>45959</v>
      </c>
      <c r="B898" s="19" t="n">
        <v>10872804255.18</v>
      </c>
      <c r="C898" s="19" t="n">
        <v>94164067.49</v>
      </c>
      <c r="D898" s="19" t="n">
        <v>299660704</v>
      </c>
      <c r="E898" s="21" t="n">
        <f aca="false">B898+C898</f>
        <v>10966968322.67</v>
      </c>
      <c r="F898" s="21" t="n">
        <f aca="false">E898+D898</f>
        <v>11266629026.67</v>
      </c>
      <c r="G898" s="22" t="n">
        <f aca="false">IFERROR(C898/E898,0)</f>
        <v>0.00858615295672478</v>
      </c>
      <c r="H898" s="19" t="n">
        <v>4043911</v>
      </c>
      <c r="I898" s="19" t="n">
        <v>180724</v>
      </c>
      <c r="J898" s="19" t="n">
        <v>38633</v>
      </c>
      <c r="K898" s="21" t="n">
        <f aca="false">H898+I898</f>
        <v>4224635</v>
      </c>
      <c r="L898" s="19" t="n">
        <v>27279.3303526062</v>
      </c>
      <c r="M898" s="21" t="n">
        <f aca="false">H898-L898</f>
        <v>4016631.66964739</v>
      </c>
      <c r="N898" s="23" t="n">
        <f aca="false">IFERROR(M898/B898*10000,0)</f>
        <v>3.69420029587473</v>
      </c>
      <c r="O898" s="19" t="n">
        <v>3682046</v>
      </c>
      <c r="P898" s="19" t="n">
        <v>142583</v>
      </c>
      <c r="Q898" s="21" t="n">
        <f aca="false">O898+P898</f>
        <v>3824629</v>
      </c>
      <c r="R898" s="22" t="n">
        <f aca="false">IF(A898&lt;HlpChangeDate,HlpSharePre,HlpSharePost)</f>
        <v>0.01</v>
      </c>
      <c r="S898" s="21" t="n">
        <f aca="false">Q898*R898/(1-R898)</f>
        <v>38632.6161616162</v>
      </c>
      <c r="T898" s="19" t="n">
        <v>38633</v>
      </c>
      <c r="U898" s="21" t="n">
        <f aca="false">S898-T898</f>
        <v>-0.383838383837428</v>
      </c>
      <c r="V898" s="21" t="n">
        <f aca="false">Y898-O898*R898/(1-R898)</f>
        <v>324673.616161616</v>
      </c>
      <c r="W898" s="21" t="n">
        <f aca="false">Z898-P898*R898/(1-R898)</f>
        <v>36700.7676767677</v>
      </c>
      <c r="X898" s="21" t="n">
        <f aca="false">S898+V898+W898</f>
        <v>400007</v>
      </c>
      <c r="Y898" s="19" t="n">
        <v>361866</v>
      </c>
      <c r="Z898" s="19" t="n">
        <v>38141</v>
      </c>
      <c r="AA898" s="19" t="n">
        <v>3824629</v>
      </c>
      <c r="AB898" s="29" t="n">
        <v>48.037</v>
      </c>
      <c r="AC898" s="29" t="n">
        <v>47.90025</v>
      </c>
      <c r="AD898" s="24" t="n">
        <f aca="false">IFERROR(AA898/AC898,0)</f>
        <v>79845.7001790179</v>
      </c>
      <c r="AE898" s="25" t="n">
        <f aca="false">K898-Q898-X898</f>
        <v>-1</v>
      </c>
      <c r="AF898" s="25" t="n">
        <f aca="false">Q898-AA898</f>
        <v>0</v>
      </c>
      <c r="AG898" s="19" t="n">
        <v>3068460.58124197</v>
      </c>
      <c r="AH898" s="26" t="n">
        <f aca="false">IFERROR(AG898/Q898,0)</f>
        <v>0.802289733524994</v>
      </c>
      <c r="AI898" s="27" t="n">
        <v>404166734.451613</v>
      </c>
      <c r="AJ898" s="26" t="n">
        <f aca="false">IF(AI898&gt;0,AprCoef/SQRT(AI898),0)</f>
        <v>0.023577516582763</v>
      </c>
      <c r="AK898" s="24" t="n">
        <f aca="false">AI898*AJ898/365</f>
        <v>26107.5284485865</v>
      </c>
      <c r="AL898" s="24" t="n">
        <f aca="false">AD898</f>
        <v>79845.7001790179</v>
      </c>
      <c r="AM898" s="24" t="n">
        <f aca="false">AK898-AL898</f>
        <v>-53738.1717304313</v>
      </c>
      <c r="AN898" s="28" t="str">
        <f aca="false">IF(A898&gt;=Hip3LaunchDate,"YES","")</f>
        <v>YES</v>
      </c>
      <c r="AO898" s="28" t="str">
        <f aca="false">IF(A898&lt;Hip4LaunchDate,"pre-launch","live (zero-fee)")</f>
        <v>pre-launch</v>
      </c>
      <c r="AP898" s="30" t="n">
        <v>1</v>
      </c>
      <c r="AQ898" s="30" t="n">
        <v>0</v>
      </c>
      <c r="AR898" s="19" t="n">
        <v>27279.3303526062</v>
      </c>
    </row>
    <row r="899" customFormat="false" ht="15" hidden="false" customHeight="false" outlineLevel="0" collapsed="false">
      <c r="A899" s="18" t="n">
        <v>45960</v>
      </c>
      <c r="B899" s="19" t="n">
        <v>12206281208.31</v>
      </c>
      <c r="C899" s="19" t="n">
        <v>116186101.46</v>
      </c>
      <c r="D899" s="19" t="n">
        <v>433695347</v>
      </c>
      <c r="E899" s="21" t="n">
        <f aca="false">B899+C899</f>
        <v>12322467309.77</v>
      </c>
      <c r="F899" s="21" t="n">
        <f aca="false">E899+D899</f>
        <v>12756162656.77</v>
      </c>
      <c r="G899" s="22" t="n">
        <f aca="false">IFERROR(C899/E899,0)</f>
        <v>0.00942880176017027</v>
      </c>
      <c r="H899" s="19" t="n">
        <v>4671167</v>
      </c>
      <c r="I899" s="19" t="n">
        <v>249350</v>
      </c>
      <c r="J899" s="19" t="n">
        <v>44921</v>
      </c>
      <c r="K899" s="21" t="n">
        <f aca="false">H899+I899</f>
        <v>4920517</v>
      </c>
      <c r="L899" s="19" t="n">
        <v>33659.113592187</v>
      </c>
      <c r="M899" s="21" t="n">
        <f aca="false">H899-L899</f>
        <v>4637507.88640781</v>
      </c>
      <c r="N899" s="23" t="n">
        <f aca="false">IFERROR(M899/B899*10000,0)</f>
        <v>3.79927990127789</v>
      </c>
      <c r="O899" s="19" t="n">
        <v>4243783</v>
      </c>
      <c r="P899" s="19" t="n">
        <v>203424</v>
      </c>
      <c r="Q899" s="21" t="n">
        <f aca="false">O899+P899</f>
        <v>4447207</v>
      </c>
      <c r="R899" s="22" t="n">
        <f aca="false">IF(A899&lt;HlpChangeDate,HlpSharePre,HlpSharePost)</f>
        <v>0.01</v>
      </c>
      <c r="S899" s="21" t="n">
        <f aca="false">Q899*R899/(1-R899)</f>
        <v>44921.2828282828</v>
      </c>
      <c r="T899" s="19" t="n">
        <v>44921</v>
      </c>
      <c r="U899" s="21" t="n">
        <f aca="false">S899-T899</f>
        <v>0.282828282826813</v>
      </c>
      <c r="V899" s="21" t="n">
        <f aca="false">Y899-O899*R899/(1-R899)</f>
        <v>384517.505050505</v>
      </c>
      <c r="W899" s="21" t="n">
        <f aca="false">Z899-P899*R899/(1-R899)</f>
        <v>43871.2121212121</v>
      </c>
      <c r="X899" s="21" t="n">
        <f aca="false">S899+V899+W899</f>
        <v>473310</v>
      </c>
      <c r="Y899" s="19" t="n">
        <v>427384</v>
      </c>
      <c r="Z899" s="19" t="n">
        <v>45926</v>
      </c>
      <c r="AA899" s="19" t="n">
        <v>4447207</v>
      </c>
      <c r="AB899" s="29" t="n">
        <v>45.391</v>
      </c>
      <c r="AC899" s="29" t="n">
        <v>46.56075</v>
      </c>
      <c r="AD899" s="24" t="n">
        <f aca="false">IFERROR(AA899/AC899,0)</f>
        <v>95514.0756968047</v>
      </c>
      <c r="AE899" s="25" t="n">
        <f aca="false">K899-Q899-X899</f>
        <v>0</v>
      </c>
      <c r="AF899" s="25" t="n">
        <f aca="false">Q899-AA899</f>
        <v>0</v>
      </c>
      <c r="AG899" s="19" t="n">
        <v>3616115.24096</v>
      </c>
      <c r="AH899" s="26" t="n">
        <f aca="false">IFERROR(AG899/Q899,0)</f>
        <v>0.813120513832615</v>
      </c>
      <c r="AI899" s="27" t="n">
        <v>404321501.198157</v>
      </c>
      <c r="AJ899" s="26" t="n">
        <f aca="false">IF(AI899&gt;0,AprCoef/SQRT(AI899),0)</f>
        <v>0.0235730036335593</v>
      </c>
      <c r="AK899" s="24" t="n">
        <f aca="false">AI899*AJ899/365</f>
        <v>26112.5266215625</v>
      </c>
      <c r="AL899" s="24" t="n">
        <f aca="false">AD899</f>
        <v>95514.0756968047</v>
      </c>
      <c r="AM899" s="24" t="n">
        <f aca="false">AK899-AL899</f>
        <v>-69401.5490752422</v>
      </c>
      <c r="AN899" s="28" t="str">
        <f aca="false">IF(A899&gt;=Hip3LaunchDate,"YES","")</f>
        <v>YES</v>
      </c>
      <c r="AO899" s="28" t="str">
        <f aca="false">IF(A899&lt;Hip4LaunchDate,"pre-launch","live (zero-fee)")</f>
        <v>pre-launch</v>
      </c>
      <c r="AP899" s="30" t="n">
        <v>1</v>
      </c>
      <c r="AQ899" s="30" t="n">
        <v>0</v>
      </c>
      <c r="AR899" s="19" t="n">
        <v>33659.113592187</v>
      </c>
    </row>
    <row r="900" customFormat="false" ht="15" hidden="false" customHeight="false" outlineLevel="0" collapsed="false">
      <c r="A900" s="18" t="n">
        <v>45961</v>
      </c>
      <c r="B900" s="19" t="n">
        <v>7103496025.92</v>
      </c>
      <c r="C900" s="19" t="n">
        <v>60153173.4</v>
      </c>
      <c r="D900" s="19" t="n">
        <v>271790520</v>
      </c>
      <c r="E900" s="21" t="n">
        <f aca="false">B900+C900</f>
        <v>7163649199.32</v>
      </c>
      <c r="F900" s="21" t="n">
        <f aca="false">E900+D900</f>
        <v>7435439719.32</v>
      </c>
      <c r="G900" s="22" t="n">
        <f aca="false">IFERROR(C900/E900,0)</f>
        <v>0.00839700154576385</v>
      </c>
      <c r="H900" s="19" t="n">
        <v>2783995</v>
      </c>
      <c r="I900" s="19" t="n">
        <v>153519</v>
      </c>
      <c r="J900" s="19" t="n">
        <v>26644</v>
      </c>
      <c r="K900" s="21" t="n">
        <f aca="false">H900+I900</f>
        <v>2937514</v>
      </c>
      <c r="L900" s="19" t="n">
        <v>17426.3743335165</v>
      </c>
      <c r="M900" s="21" t="n">
        <f aca="false">H900-L900</f>
        <v>2766568.62566648</v>
      </c>
      <c r="N900" s="23" t="n">
        <f aca="false">IFERROR(M900/B900*10000,0)</f>
        <v>3.89465780732689</v>
      </c>
      <c r="O900" s="19" t="n">
        <v>2513758</v>
      </c>
      <c r="P900" s="19" t="n">
        <v>123962</v>
      </c>
      <c r="Q900" s="21" t="n">
        <f aca="false">O900+P900</f>
        <v>2637720</v>
      </c>
      <c r="R900" s="22" t="n">
        <f aca="false">IF(A900&lt;HlpChangeDate,HlpSharePre,HlpSharePost)</f>
        <v>0.01</v>
      </c>
      <c r="S900" s="21" t="n">
        <f aca="false">Q900*R900/(1-R900)</f>
        <v>26643.6363636364</v>
      </c>
      <c r="T900" s="19" t="n">
        <v>26644</v>
      </c>
      <c r="U900" s="21" t="n">
        <f aca="false">S900-T900</f>
        <v>-0.363636363636033</v>
      </c>
      <c r="V900" s="21" t="n">
        <f aca="false">Y900-O900*R900/(1-R900)</f>
        <v>244845.505050505</v>
      </c>
      <c r="W900" s="21" t="n">
        <f aca="false">Z900-P900*R900/(1-R900)</f>
        <v>28304.8585858586</v>
      </c>
      <c r="X900" s="21" t="n">
        <f aca="false">S900+V900+W900</f>
        <v>299794</v>
      </c>
      <c r="Y900" s="19" t="n">
        <v>270237</v>
      </c>
      <c r="Z900" s="19" t="n">
        <v>29557</v>
      </c>
      <c r="AA900" s="19" t="n">
        <v>2637720</v>
      </c>
      <c r="AB900" s="29" t="n">
        <v>43.671</v>
      </c>
      <c r="AC900" s="29" t="n">
        <v>44.38825</v>
      </c>
      <c r="AD900" s="24" t="n">
        <f aca="false">IFERROR(AA900/AC900,0)</f>
        <v>59423.8340101265</v>
      </c>
      <c r="AE900" s="25" t="n">
        <f aca="false">K900-Q900-X900</f>
        <v>0</v>
      </c>
      <c r="AF900" s="25" t="n">
        <f aca="false">Q900-AA900</f>
        <v>0</v>
      </c>
      <c r="AG900" s="19" t="n">
        <v>2166573.07446802</v>
      </c>
      <c r="AH900" s="26" t="n">
        <f aca="false">IFERROR(AG900/Q900,0)</f>
        <v>0.821380993611156</v>
      </c>
      <c r="AI900" s="27" t="n">
        <v>404476267.944701</v>
      </c>
      <c r="AJ900" s="26" t="n">
        <f aca="false">IF(AI900&gt;0,AprCoef/SQRT(AI900),0)</f>
        <v>0.0235684932748214</v>
      </c>
      <c r="AK900" s="24" t="n">
        <f aca="false">AI900*AJ900/365</f>
        <v>26117.5238380261</v>
      </c>
      <c r="AL900" s="24" t="n">
        <f aca="false">AD900</f>
        <v>59423.8340101265</v>
      </c>
      <c r="AM900" s="24" t="n">
        <f aca="false">AK900-AL900</f>
        <v>-33306.3101721004</v>
      </c>
      <c r="AN900" s="28" t="str">
        <f aca="false">IF(A900&gt;=Hip3LaunchDate,"YES","")</f>
        <v>YES</v>
      </c>
      <c r="AO900" s="28" t="str">
        <f aca="false">IF(A900&lt;Hip4LaunchDate,"pre-launch","live (zero-fee)")</f>
        <v>pre-launch</v>
      </c>
      <c r="AP900" s="30" t="n">
        <v>1</v>
      </c>
      <c r="AQ900" s="30" t="n">
        <v>0</v>
      </c>
      <c r="AR900" s="19" t="n">
        <v>17426.3743335165</v>
      </c>
    </row>
    <row r="901" customFormat="false" ht="15" hidden="false" customHeight="false" outlineLevel="0" collapsed="false">
      <c r="A901" s="18" t="n">
        <v>45962</v>
      </c>
      <c r="B901" s="19" t="n">
        <v>2887228047.64</v>
      </c>
      <c r="C901" s="19" t="n">
        <v>44938796.78</v>
      </c>
      <c r="D901" s="19" t="n">
        <v>160757118</v>
      </c>
      <c r="E901" s="21" t="n">
        <f aca="false">B901+C901</f>
        <v>2932166844.42</v>
      </c>
      <c r="F901" s="21" t="n">
        <f aca="false">E901+D901</f>
        <v>3092923962.42</v>
      </c>
      <c r="G901" s="22" t="n">
        <f aca="false">IFERROR(C901/E901,0)</f>
        <v>0.0153261390515754</v>
      </c>
      <c r="H901" s="19" t="n">
        <v>1249160</v>
      </c>
      <c r="I901" s="19" t="n">
        <v>97376</v>
      </c>
      <c r="J901" s="19" t="n">
        <v>11753</v>
      </c>
      <c r="K901" s="21" t="n">
        <f aca="false">H901+I901</f>
        <v>1346536</v>
      </c>
      <c r="L901" s="19" t="n">
        <v>13018.7694273688</v>
      </c>
      <c r="M901" s="21" t="n">
        <f aca="false">H901-L901</f>
        <v>1236141.23057263</v>
      </c>
      <c r="N901" s="23" t="n">
        <f aca="false">IFERROR(M901/B901*10000,0)</f>
        <v>4.28141182537709</v>
      </c>
      <c r="O901" s="19" t="n">
        <v>1084561</v>
      </c>
      <c r="P901" s="19" t="n">
        <v>79034</v>
      </c>
      <c r="Q901" s="21" t="n">
        <f aca="false">O901+P901</f>
        <v>1163595</v>
      </c>
      <c r="R901" s="22" t="n">
        <f aca="false">IF(A901&lt;HlpChangeDate,HlpSharePre,HlpSharePost)</f>
        <v>0.01</v>
      </c>
      <c r="S901" s="21" t="n">
        <f aca="false">Q901*R901/(1-R901)</f>
        <v>11753.4848484849</v>
      </c>
      <c r="T901" s="19" t="n">
        <v>11753</v>
      </c>
      <c r="U901" s="21" t="n">
        <f aca="false">S901-T901</f>
        <v>0.484848484849863</v>
      </c>
      <c r="V901" s="21" t="n">
        <f aca="false">Y901-O901*R901/(1-R901)</f>
        <v>153643.838383838</v>
      </c>
      <c r="W901" s="21" t="n">
        <f aca="false">Z901-P901*R901/(1-R901)</f>
        <v>17543.6767676768</v>
      </c>
      <c r="X901" s="21" t="n">
        <f aca="false">S901+V901+W901</f>
        <v>182941</v>
      </c>
      <c r="Y901" s="19" t="n">
        <v>164599</v>
      </c>
      <c r="Z901" s="19" t="n">
        <v>18342</v>
      </c>
      <c r="AA901" s="19" t="n">
        <v>1163595</v>
      </c>
      <c r="AB901" s="29" t="n">
        <v>43.269</v>
      </c>
      <c r="AC901" s="29" t="n">
        <v>43.53675</v>
      </c>
      <c r="AD901" s="24" t="n">
        <f aca="false">IFERROR(AA901/AC901,0)</f>
        <v>26726.7308653035</v>
      </c>
      <c r="AE901" s="25" t="n">
        <f aca="false">K901-Q901-X901</f>
        <v>0</v>
      </c>
      <c r="AF901" s="25" t="n">
        <f aca="false">Q901-AA901</f>
        <v>0</v>
      </c>
      <c r="AG901" s="19" t="n">
        <v>938072.788919926</v>
      </c>
      <c r="AH901" s="26" t="n">
        <f aca="false">IFERROR(AG901/Q901,0)</f>
        <v>0.806184960334073</v>
      </c>
      <c r="AI901" s="27" t="n">
        <v>404631034.691244</v>
      </c>
      <c r="AJ901" s="26" t="n">
        <f aca="false">IF(AI901&gt;0,AprCoef/SQRT(AI901),0)</f>
        <v>0.023563985504072</v>
      </c>
      <c r="AK901" s="24" t="n">
        <f aca="false">AI901*AJ901/365</f>
        <v>26122.5200985264</v>
      </c>
      <c r="AL901" s="24" t="n">
        <f aca="false">AD901</f>
        <v>26726.7308653035</v>
      </c>
      <c r="AM901" s="24" t="n">
        <f aca="false">AK901-AL901</f>
        <v>-604.210766777032</v>
      </c>
      <c r="AN901" s="28" t="str">
        <f aca="false">IF(A901&gt;=Hip3LaunchDate,"YES","")</f>
        <v>YES</v>
      </c>
      <c r="AO901" s="28" t="str">
        <f aca="false">IF(A901&lt;Hip4LaunchDate,"pre-launch","live (zero-fee)")</f>
        <v>pre-launch</v>
      </c>
      <c r="AP901" s="30" t="n">
        <v>1</v>
      </c>
      <c r="AQ901" s="30" t="n">
        <v>0</v>
      </c>
      <c r="AR901" s="19" t="n">
        <v>13018.7694273688</v>
      </c>
    </row>
    <row r="902" customFormat="false" ht="15" hidden="false" customHeight="false" outlineLevel="0" collapsed="false">
      <c r="A902" s="18" t="n">
        <v>45963</v>
      </c>
      <c r="B902" s="19" t="n">
        <v>4074309349.14</v>
      </c>
      <c r="C902" s="19" t="n">
        <v>32927392.56</v>
      </c>
      <c r="D902" s="19" t="n">
        <v>182378150</v>
      </c>
      <c r="E902" s="21" t="n">
        <f aca="false">B902+C902</f>
        <v>4107236741.7</v>
      </c>
      <c r="F902" s="21" t="n">
        <f aca="false">E902+D902</f>
        <v>4289614891.7</v>
      </c>
      <c r="G902" s="22" t="n">
        <f aca="false">IFERROR(C902/E902,0)</f>
        <v>0.00801692101789371</v>
      </c>
      <c r="H902" s="19" t="n">
        <v>1686909</v>
      </c>
      <c r="I902" s="19" t="n">
        <v>117319</v>
      </c>
      <c r="J902" s="19" t="n">
        <v>15965</v>
      </c>
      <c r="K902" s="21" t="n">
        <f aca="false">H902+I902</f>
        <v>1804228</v>
      </c>
      <c r="L902" s="19" t="n">
        <v>9539.06562500861</v>
      </c>
      <c r="M902" s="21" t="n">
        <f aca="false">H902-L902</f>
        <v>1677369.93437499</v>
      </c>
      <c r="N902" s="23" t="n">
        <f aca="false">IFERROR(M902/B902*10000,0)</f>
        <v>4.11694299729364</v>
      </c>
      <c r="O902" s="19" t="n">
        <v>1489755</v>
      </c>
      <c r="P902" s="19" t="n">
        <v>90793</v>
      </c>
      <c r="Q902" s="21" t="n">
        <f aca="false">O902+P902</f>
        <v>1580548</v>
      </c>
      <c r="R902" s="22" t="n">
        <f aca="false">IF(A902&lt;HlpChangeDate,HlpSharePre,HlpSharePost)</f>
        <v>0.01</v>
      </c>
      <c r="S902" s="21" t="n">
        <f aca="false">Q902*R902/(1-R902)</f>
        <v>15965.1313131313</v>
      </c>
      <c r="T902" s="19" t="n">
        <v>15965</v>
      </c>
      <c r="U902" s="21" t="n">
        <f aca="false">S902-T902</f>
        <v>0.131313131312709</v>
      </c>
      <c r="V902" s="21" t="n">
        <f aca="false">Y902-O902*R902/(1-R902)</f>
        <v>182105.96969697</v>
      </c>
      <c r="W902" s="21" t="n">
        <f aca="false">Z902-P902*R902/(1-R902)</f>
        <v>25608.898989899</v>
      </c>
      <c r="X902" s="21" t="n">
        <f aca="false">S902+V902+W902</f>
        <v>223680</v>
      </c>
      <c r="Y902" s="19" t="n">
        <v>197154</v>
      </c>
      <c r="Z902" s="19" t="n">
        <v>26526</v>
      </c>
      <c r="AA902" s="19" t="n">
        <v>1580548</v>
      </c>
      <c r="AB902" s="29" t="n">
        <v>42.446</v>
      </c>
      <c r="AC902" s="29" t="n">
        <v>42.57475</v>
      </c>
      <c r="AD902" s="24" t="n">
        <f aca="false">IFERROR(AA902/AC902,0)</f>
        <v>37124.0700180271</v>
      </c>
      <c r="AE902" s="25" t="n">
        <f aca="false">K902-Q902-X902</f>
        <v>0</v>
      </c>
      <c r="AF902" s="25" t="n">
        <f aca="false">Q902-AA902</f>
        <v>0</v>
      </c>
      <c r="AG902" s="19" t="n">
        <v>1225213.53610802</v>
      </c>
      <c r="AH902" s="26" t="n">
        <f aca="false">IFERROR(AG902/Q902,0)</f>
        <v>0.775182744281108</v>
      </c>
      <c r="AI902" s="27" t="n">
        <v>404785801.437788</v>
      </c>
      <c r="AJ902" s="26" t="n">
        <f aca="false">IF(AI902&gt;0,AprCoef/SQRT(AI902),0)</f>
        <v>0.0235594803188372</v>
      </c>
      <c r="AK902" s="24" t="n">
        <f aca="false">AI902*AJ902/365</f>
        <v>26127.5154036118</v>
      </c>
      <c r="AL902" s="24" t="n">
        <f aca="false">AD902</f>
        <v>37124.0700180271</v>
      </c>
      <c r="AM902" s="24" t="n">
        <f aca="false">AK902-AL902</f>
        <v>-10996.5546144154</v>
      </c>
      <c r="AN902" s="28" t="str">
        <f aca="false">IF(A902&gt;=Hip3LaunchDate,"YES","")</f>
        <v>YES</v>
      </c>
      <c r="AO902" s="28" t="str">
        <f aca="false">IF(A902&lt;Hip4LaunchDate,"pre-launch","live (zero-fee)")</f>
        <v>pre-launch</v>
      </c>
      <c r="AP902" s="30" t="n">
        <v>1</v>
      </c>
      <c r="AQ902" s="30" t="n">
        <v>0</v>
      </c>
      <c r="AR902" s="19" t="n">
        <v>9539.06562500861</v>
      </c>
    </row>
    <row r="903" customFormat="false" ht="15" hidden="false" customHeight="false" outlineLevel="0" collapsed="false">
      <c r="A903" s="18" t="n">
        <v>45964</v>
      </c>
      <c r="B903" s="19" t="n">
        <v>12463078980.92</v>
      </c>
      <c r="C903" s="19" t="n">
        <v>76756338.61</v>
      </c>
      <c r="D903" s="19" t="n">
        <v>372136175</v>
      </c>
      <c r="E903" s="21" t="n">
        <f aca="false">B903+C903</f>
        <v>12539835319.53</v>
      </c>
      <c r="F903" s="21" t="n">
        <f aca="false">E903+D903</f>
        <v>12911971494.53</v>
      </c>
      <c r="G903" s="22" t="n">
        <f aca="false">IFERROR(C903/E903,0)</f>
        <v>0.00612100052785038</v>
      </c>
      <c r="H903" s="19" t="n">
        <v>4574333</v>
      </c>
      <c r="I903" s="19" t="n">
        <v>205746</v>
      </c>
      <c r="J903" s="19" t="n">
        <v>43426</v>
      </c>
      <c r="K903" s="21" t="n">
        <f aca="false">H903+I903</f>
        <v>4780079</v>
      </c>
      <c r="L903" s="19" t="n">
        <v>22236.3112952591</v>
      </c>
      <c r="M903" s="21" t="n">
        <f aca="false">H903-L903</f>
        <v>4552096.68870474</v>
      </c>
      <c r="N903" s="23" t="n">
        <f aca="false">IFERROR(M903/B903*10000,0)</f>
        <v>3.65246557104681</v>
      </c>
      <c r="O903" s="19" t="n">
        <v>4146440</v>
      </c>
      <c r="P903" s="19" t="n">
        <v>152770</v>
      </c>
      <c r="Q903" s="21" t="n">
        <f aca="false">O903+P903</f>
        <v>4299210</v>
      </c>
      <c r="R903" s="22" t="n">
        <f aca="false">IF(A903&lt;HlpChangeDate,HlpSharePre,HlpSharePost)</f>
        <v>0.01</v>
      </c>
      <c r="S903" s="21" t="n">
        <f aca="false">Q903*R903/(1-R903)</f>
        <v>43426.3636363636</v>
      </c>
      <c r="T903" s="19" t="n">
        <v>43426</v>
      </c>
      <c r="U903" s="21" t="n">
        <f aca="false">S903-T903</f>
        <v>0.363636363632395</v>
      </c>
      <c r="V903" s="21" t="n">
        <f aca="false">Y903-O903*R903/(1-R903)</f>
        <v>386009.767676768</v>
      </c>
      <c r="W903" s="21" t="n">
        <f aca="false">Z903-P903*R903/(1-R903)</f>
        <v>51432.8686868687</v>
      </c>
      <c r="X903" s="21" t="n">
        <f aca="false">S903+V903+W903</f>
        <v>480869</v>
      </c>
      <c r="Y903" s="19" t="n">
        <v>427893</v>
      </c>
      <c r="Z903" s="19" t="n">
        <v>52976</v>
      </c>
      <c r="AA903" s="19" t="n">
        <v>4299210</v>
      </c>
      <c r="AB903" s="29" t="n">
        <v>40.173</v>
      </c>
      <c r="AC903" s="29" t="n">
        <v>40.90625</v>
      </c>
      <c r="AD903" s="24" t="n">
        <f aca="false">IFERROR(AA903/AC903,0)</f>
        <v>105099.09854851</v>
      </c>
      <c r="AE903" s="25" t="n">
        <f aca="false">K903-Q903-X903</f>
        <v>0</v>
      </c>
      <c r="AF903" s="25" t="n">
        <f aca="false">Q903-AA903</f>
        <v>0</v>
      </c>
      <c r="AG903" s="19" t="n">
        <v>3463001.02276409</v>
      </c>
      <c r="AH903" s="26" t="n">
        <f aca="false">IFERROR(AG903/Q903,0)</f>
        <v>0.805497061730896</v>
      </c>
      <c r="AI903" s="27" t="n">
        <v>404940568.184332</v>
      </c>
      <c r="AJ903" s="26" t="n">
        <f aca="false">IF(AI903&gt;0,AprCoef/SQRT(AI903),0)</f>
        <v>0.0235549777166462</v>
      </c>
      <c r="AK903" s="24" t="n">
        <f aca="false">AI903*AJ903/365</f>
        <v>26132.5097538301</v>
      </c>
      <c r="AL903" s="24" t="n">
        <f aca="false">AD903</f>
        <v>105099.09854851</v>
      </c>
      <c r="AM903" s="24" t="n">
        <f aca="false">AK903-AL903</f>
        <v>-78966.5887946802</v>
      </c>
      <c r="AN903" s="28" t="str">
        <f aca="false">IF(A903&gt;=Hip3LaunchDate,"YES","")</f>
        <v>YES</v>
      </c>
      <c r="AO903" s="28" t="str">
        <f aca="false">IF(A903&lt;Hip4LaunchDate,"pre-launch","live (zero-fee)")</f>
        <v>pre-launch</v>
      </c>
      <c r="AP903" s="30" t="n">
        <v>1</v>
      </c>
      <c r="AQ903" s="30" t="n">
        <v>0</v>
      </c>
      <c r="AR903" s="19" t="n">
        <v>22236.3112952591</v>
      </c>
    </row>
    <row r="904" customFormat="false" ht="15" hidden="false" customHeight="false" outlineLevel="0" collapsed="false">
      <c r="A904" s="18" t="n">
        <v>45965</v>
      </c>
      <c r="B904" s="19" t="n">
        <v>18847553416.05</v>
      </c>
      <c r="C904" s="19" t="n">
        <v>77109245.05</v>
      </c>
      <c r="D904" s="19" t="n">
        <v>621682800</v>
      </c>
      <c r="E904" s="21" t="n">
        <f aca="false">B904+C904</f>
        <v>18924662661.1</v>
      </c>
      <c r="F904" s="21" t="n">
        <f aca="false">E904+D904</f>
        <v>19546345461.1</v>
      </c>
      <c r="G904" s="22" t="n">
        <f aca="false">IFERROR(C904/E904,0)</f>
        <v>0.00407453736063151</v>
      </c>
      <c r="H904" s="19" t="n">
        <v>6603982</v>
      </c>
      <c r="I904" s="19" t="n">
        <v>327482</v>
      </c>
      <c r="J904" s="19" t="n">
        <v>64528</v>
      </c>
      <c r="K904" s="21" t="n">
        <f aca="false">H904+I904</f>
        <v>6931464</v>
      </c>
      <c r="L904" s="19" t="n">
        <v>22338.5482902318</v>
      </c>
      <c r="M904" s="21" t="n">
        <f aca="false">H904-L904</f>
        <v>6581643.45170977</v>
      </c>
      <c r="N904" s="23" t="n">
        <f aca="false">IFERROR(M904/B904*10000,0)</f>
        <v>3.49204127794382</v>
      </c>
      <c r="O904" s="19" t="n">
        <v>6137996</v>
      </c>
      <c r="P904" s="19" t="n">
        <v>250277</v>
      </c>
      <c r="Q904" s="21" t="n">
        <f aca="false">O904+P904</f>
        <v>6388273</v>
      </c>
      <c r="R904" s="22" t="n">
        <f aca="false">IF(A904&lt;HlpChangeDate,HlpSharePre,HlpSharePost)</f>
        <v>0.01</v>
      </c>
      <c r="S904" s="21" t="n">
        <f aca="false">Q904*R904/(1-R904)</f>
        <v>64528.0101010101</v>
      </c>
      <c r="T904" s="19" t="n">
        <v>64528</v>
      </c>
      <c r="U904" s="21" t="n">
        <f aca="false">S904-T904</f>
        <v>0.0101010101061547</v>
      </c>
      <c r="V904" s="21" t="n">
        <f aca="false">Y904-O904*R904/(1-R904)</f>
        <v>403986.04040404</v>
      </c>
      <c r="W904" s="21" t="n">
        <f aca="false">Z904-P904*R904/(1-R904)</f>
        <v>74676.9494949495</v>
      </c>
      <c r="X904" s="21" t="n">
        <f aca="false">S904+V904+W904</f>
        <v>543191</v>
      </c>
      <c r="Y904" s="19" t="n">
        <v>465986</v>
      </c>
      <c r="Z904" s="19" t="n">
        <v>77205</v>
      </c>
      <c r="AA904" s="19" t="n">
        <v>6388273</v>
      </c>
      <c r="AB904" s="29" t="n">
        <v>39.01</v>
      </c>
      <c r="AC904" s="29" t="n">
        <v>38.865</v>
      </c>
      <c r="AD904" s="24" t="n">
        <f aca="false">IFERROR(AA904/AC904,0)</f>
        <v>164370.84780651</v>
      </c>
      <c r="AE904" s="25" t="n">
        <f aca="false">K904-Q904-X904</f>
        <v>0</v>
      </c>
      <c r="AF904" s="25" t="n">
        <f aca="false">Q904-AA904</f>
        <v>0</v>
      </c>
      <c r="AG904" s="19" t="n">
        <v>5350142.42690492</v>
      </c>
      <c r="AH904" s="26" t="n">
        <f aca="false">IFERROR(AG904/Q904,0)</f>
        <v>0.837494331708259</v>
      </c>
      <c r="AI904" s="27" t="n">
        <v>405095334.930876</v>
      </c>
      <c r="AJ904" s="26" t="n">
        <f aca="false">IF(AI904&gt;0,AprCoef/SQRT(AI904),0)</f>
        <v>0.0235504776950317</v>
      </c>
      <c r="AK904" s="24" t="n">
        <f aca="false">AI904*AJ904/365</f>
        <v>26137.5031497287</v>
      </c>
      <c r="AL904" s="24" t="n">
        <f aca="false">AD904</f>
        <v>164370.84780651</v>
      </c>
      <c r="AM904" s="24" t="n">
        <f aca="false">AK904-AL904</f>
        <v>-138233.344656781</v>
      </c>
      <c r="AN904" s="28" t="str">
        <f aca="false">IF(A904&gt;=Hip3LaunchDate,"YES","")</f>
        <v>YES</v>
      </c>
      <c r="AO904" s="28" t="str">
        <f aca="false">IF(A904&lt;Hip4LaunchDate,"pre-launch","live (zero-fee)")</f>
        <v>pre-launch</v>
      </c>
      <c r="AP904" s="30" t="n">
        <v>1</v>
      </c>
      <c r="AQ904" s="30" t="n">
        <v>0</v>
      </c>
      <c r="AR904" s="19" t="n">
        <v>22338.5482902318</v>
      </c>
    </row>
    <row r="905" customFormat="false" ht="15" hidden="false" customHeight="false" outlineLevel="0" collapsed="false">
      <c r="A905" s="18" t="n">
        <v>45966</v>
      </c>
      <c r="B905" s="19" t="n">
        <v>8944776968.13</v>
      </c>
      <c r="C905" s="19" t="n">
        <v>74217407.93</v>
      </c>
      <c r="D905" s="19" t="n">
        <v>297872465</v>
      </c>
      <c r="E905" s="21" t="n">
        <f aca="false">B905+C905</f>
        <v>9018994376.06</v>
      </c>
      <c r="F905" s="21" t="n">
        <f aca="false">E905+D905</f>
        <v>9316866841.06</v>
      </c>
      <c r="G905" s="22" t="n">
        <f aca="false">IFERROR(C905/E905,0)</f>
        <v>0.00822901144355989</v>
      </c>
      <c r="H905" s="19" t="n">
        <v>3484270</v>
      </c>
      <c r="I905" s="19" t="n">
        <v>162518</v>
      </c>
      <c r="J905" s="19" t="n">
        <v>33178</v>
      </c>
      <c r="K905" s="21" t="n">
        <f aca="false">H905+I905</f>
        <v>3646788</v>
      </c>
      <c r="L905" s="19" t="n">
        <v>21500.7830760753</v>
      </c>
      <c r="M905" s="21" t="n">
        <f aca="false">H905-L905</f>
        <v>3462769.21692392</v>
      </c>
      <c r="N905" s="23" t="n">
        <f aca="false">IFERROR(M905/B905*10000,0)</f>
        <v>3.87127507959302</v>
      </c>
      <c r="O905" s="19" t="n">
        <v>3165174</v>
      </c>
      <c r="P905" s="19" t="n">
        <v>119430</v>
      </c>
      <c r="Q905" s="21" t="n">
        <f aca="false">O905+P905</f>
        <v>3284604</v>
      </c>
      <c r="R905" s="22" t="n">
        <f aca="false">IF(A905&lt;HlpChangeDate,HlpSharePre,HlpSharePost)</f>
        <v>0.01</v>
      </c>
      <c r="S905" s="21" t="n">
        <f aca="false">Q905*R905/(1-R905)</f>
        <v>33177.8181818182</v>
      </c>
      <c r="T905" s="19" t="n">
        <v>33178</v>
      </c>
      <c r="U905" s="21" t="n">
        <f aca="false">S905-T905</f>
        <v>-0.181818181816197</v>
      </c>
      <c r="V905" s="21" t="n">
        <f aca="false">Y905-O905*R905/(1-R905)</f>
        <v>287124.545454545</v>
      </c>
      <c r="W905" s="21" t="n">
        <f aca="false">Z905-P905*R905/(1-R905)</f>
        <v>41881.6363636364</v>
      </c>
      <c r="X905" s="21" t="n">
        <f aca="false">S905+V905+W905</f>
        <v>362184</v>
      </c>
      <c r="Y905" s="19" t="n">
        <v>319096</v>
      </c>
      <c r="Z905" s="19" t="n">
        <v>43088</v>
      </c>
      <c r="AA905" s="19" t="n">
        <v>3284604</v>
      </c>
      <c r="AB905" s="29" t="n">
        <v>41.383</v>
      </c>
      <c r="AC905" s="29" t="n">
        <v>40.004</v>
      </c>
      <c r="AD905" s="24" t="n">
        <f aca="false">IFERROR(AA905/AC905,0)</f>
        <v>82106.8893110689</v>
      </c>
      <c r="AE905" s="25" t="n">
        <f aca="false">K905-Q905-X905</f>
        <v>0</v>
      </c>
      <c r="AF905" s="25" t="n">
        <f aca="false">Q905-AA905</f>
        <v>0</v>
      </c>
      <c r="AG905" s="19" t="n">
        <v>2713034.80888104</v>
      </c>
      <c r="AH905" s="26" t="n">
        <f aca="false">IFERROR(AG905/Q905,0)</f>
        <v>0.825985357407177</v>
      </c>
      <c r="AI905" s="27" t="n">
        <v>405250101.677419</v>
      </c>
      <c r="AJ905" s="26" t="n">
        <f aca="false">IF(AI905&gt;0,AprCoef/SQRT(AI905),0)</f>
        <v>0.0235459802515296</v>
      </c>
      <c r="AK905" s="24" t="n">
        <f aca="false">AI905*AJ905/365</f>
        <v>26142.4955918545</v>
      </c>
      <c r="AL905" s="24" t="n">
        <f aca="false">AD905</f>
        <v>82106.8893110689</v>
      </c>
      <c r="AM905" s="24" t="n">
        <f aca="false">AK905-AL905</f>
        <v>-55964.3937192144</v>
      </c>
      <c r="AN905" s="28" t="str">
        <f aca="false">IF(A905&gt;=Hip3LaunchDate,"YES","")</f>
        <v>YES</v>
      </c>
      <c r="AO905" s="28" t="str">
        <f aca="false">IF(A905&lt;Hip4LaunchDate,"pre-launch","live (zero-fee)")</f>
        <v>pre-launch</v>
      </c>
      <c r="AP905" s="30" t="n">
        <v>1</v>
      </c>
      <c r="AQ905" s="30" t="n">
        <v>0</v>
      </c>
      <c r="AR905" s="19" t="n">
        <v>21500.7830760753</v>
      </c>
    </row>
    <row r="906" customFormat="false" ht="15" hidden="false" customHeight="false" outlineLevel="0" collapsed="false">
      <c r="A906" s="18" t="n">
        <v>45967</v>
      </c>
      <c r="B906" s="19" t="n">
        <v>9987597323.45</v>
      </c>
      <c r="C906" s="19" t="n">
        <v>72511086.72</v>
      </c>
      <c r="D906" s="19" t="n">
        <v>307467328</v>
      </c>
      <c r="E906" s="21" t="n">
        <f aca="false">B906+C906</f>
        <v>10060108410.17</v>
      </c>
      <c r="F906" s="21" t="n">
        <f aca="false">E906+D906</f>
        <v>10367575738.17</v>
      </c>
      <c r="G906" s="22" t="n">
        <f aca="false">IFERROR(C906/E906,0)</f>
        <v>0.00720778382931707</v>
      </c>
      <c r="H906" s="19" t="n">
        <v>3776322</v>
      </c>
      <c r="I906" s="19" t="n">
        <v>179457</v>
      </c>
      <c r="J906" s="19" t="n">
        <v>35860</v>
      </c>
      <c r="K906" s="21" t="n">
        <f aca="false">H906+I906</f>
        <v>3955779</v>
      </c>
      <c r="L906" s="19" t="n">
        <v>21006.4618235445</v>
      </c>
      <c r="M906" s="21" t="n">
        <f aca="false">H906-L906</f>
        <v>3755315.53817646</v>
      </c>
      <c r="N906" s="23" t="n">
        <f aca="false">IFERROR(M906/B906*10000,0)</f>
        <v>3.75997891841244</v>
      </c>
      <c r="O906" s="19" t="n">
        <v>3416708</v>
      </c>
      <c r="P906" s="19" t="n">
        <v>133394</v>
      </c>
      <c r="Q906" s="21" t="n">
        <f aca="false">O906+P906</f>
        <v>3550102</v>
      </c>
      <c r="R906" s="22" t="n">
        <f aca="false">IF(A906&lt;HlpChangeDate,HlpSharePre,HlpSharePost)</f>
        <v>0.01</v>
      </c>
      <c r="S906" s="21" t="n">
        <f aca="false">Q906*R906/(1-R906)</f>
        <v>35859.6161616162</v>
      </c>
      <c r="T906" s="19" t="n">
        <v>35860</v>
      </c>
      <c r="U906" s="21" t="n">
        <f aca="false">S906-T906</f>
        <v>-0.383838383837428</v>
      </c>
      <c r="V906" s="21" t="n">
        <f aca="false">Y906-O906*R906/(1-R906)</f>
        <v>325101.797979798</v>
      </c>
      <c r="W906" s="21" t="n">
        <f aca="false">Z906-P906*R906/(1-R906)</f>
        <v>44715.5858585859</v>
      </c>
      <c r="X906" s="21" t="n">
        <f aca="false">S906+V906+W906</f>
        <v>405677</v>
      </c>
      <c r="Y906" s="19" t="n">
        <v>359614</v>
      </c>
      <c r="Z906" s="19" t="n">
        <v>46063</v>
      </c>
      <c r="AA906" s="19" t="n">
        <v>3550102</v>
      </c>
      <c r="AB906" s="29" t="n">
        <v>38.502</v>
      </c>
      <c r="AC906" s="29" t="n">
        <v>39.7065</v>
      </c>
      <c r="AD906" s="24" t="n">
        <f aca="false">IFERROR(AA906/AC906,0)</f>
        <v>89408.5854960775</v>
      </c>
      <c r="AE906" s="25" t="n">
        <f aca="false">K906-Q906-X906</f>
        <v>0</v>
      </c>
      <c r="AF906" s="25" t="n">
        <f aca="false">Q906-AA906</f>
        <v>0</v>
      </c>
      <c r="AG906" s="19" t="n">
        <v>2861242.22822094</v>
      </c>
      <c r="AH906" s="26" t="n">
        <f aca="false">IFERROR(AG906/Q906,0)</f>
        <v>0.805960569082505</v>
      </c>
      <c r="AI906" s="27" t="n">
        <v>405404868.423963</v>
      </c>
      <c r="AJ906" s="26" t="n">
        <f aca="false">IF(AI906&gt;0,AprCoef/SQRT(AI906),0)</f>
        <v>0.0235414853836792</v>
      </c>
      <c r="AK906" s="24" t="n">
        <f aca="false">AI906*AJ906/365</f>
        <v>26147.4870807538</v>
      </c>
      <c r="AL906" s="24" t="n">
        <f aca="false">AD906</f>
        <v>89408.5854960775</v>
      </c>
      <c r="AM906" s="24" t="n">
        <f aca="false">AK906-AL906</f>
        <v>-63261.0984153237</v>
      </c>
      <c r="AN906" s="28" t="str">
        <f aca="false">IF(A906&gt;=Hip3LaunchDate,"YES","")</f>
        <v>YES</v>
      </c>
      <c r="AO906" s="28" t="str">
        <f aca="false">IF(A906&lt;Hip4LaunchDate,"pre-launch","live (zero-fee)")</f>
        <v>pre-launch</v>
      </c>
      <c r="AP906" s="30" t="n">
        <v>1</v>
      </c>
      <c r="AQ906" s="30" t="n">
        <v>0</v>
      </c>
      <c r="AR906" s="19" t="n">
        <v>21006.4618235445</v>
      </c>
    </row>
    <row r="907" customFormat="false" ht="15" hidden="false" customHeight="false" outlineLevel="0" collapsed="false">
      <c r="A907" s="18" t="n">
        <v>45968</v>
      </c>
      <c r="B907" s="19" t="n">
        <v>11373813794.78</v>
      </c>
      <c r="C907" s="19" t="n">
        <v>86634638.03</v>
      </c>
      <c r="D907" s="19" t="n">
        <v>269387178</v>
      </c>
      <c r="E907" s="21" t="n">
        <f aca="false">B907+C907</f>
        <v>11460448432.81</v>
      </c>
      <c r="F907" s="21" t="n">
        <f aca="false">E907+D907</f>
        <v>11729835610.81</v>
      </c>
      <c r="G907" s="22" t="n">
        <f aca="false">IFERROR(C907/E907,0)</f>
        <v>0.00755944573529728</v>
      </c>
      <c r="H907" s="19" t="n">
        <v>4207809</v>
      </c>
      <c r="I907" s="19" t="n">
        <v>158063</v>
      </c>
      <c r="J907" s="19" t="n">
        <v>40269</v>
      </c>
      <c r="K907" s="21" t="n">
        <f aca="false">H907+I907</f>
        <v>4365872</v>
      </c>
      <c r="L907" s="19" t="n">
        <v>25098.0546370665</v>
      </c>
      <c r="M907" s="21" t="n">
        <f aca="false">H907-L907</f>
        <v>4182710.94536293</v>
      </c>
      <c r="N907" s="23" t="n">
        <f aca="false">IFERROR(M907/B907*10000,0)</f>
        <v>3.67749201880075</v>
      </c>
      <c r="O907" s="19" t="n">
        <v>3869080</v>
      </c>
      <c r="P907" s="19" t="n">
        <v>117559</v>
      </c>
      <c r="Q907" s="21" t="n">
        <f aca="false">O907+P907</f>
        <v>3986639</v>
      </c>
      <c r="R907" s="22" t="n">
        <f aca="false">IF(A907&lt;HlpChangeDate,HlpSharePre,HlpSharePost)</f>
        <v>0.01</v>
      </c>
      <c r="S907" s="21" t="n">
        <f aca="false">Q907*R907/(1-R907)</f>
        <v>40269.0808080808</v>
      </c>
      <c r="T907" s="19" t="n">
        <v>40269</v>
      </c>
      <c r="U907" s="21" t="n">
        <f aca="false">S907-T907</f>
        <v>0.080808080805582</v>
      </c>
      <c r="V907" s="21" t="n">
        <f aca="false">Y907-O907*R907/(1-R907)</f>
        <v>299647.383838384</v>
      </c>
      <c r="W907" s="21" t="n">
        <f aca="false">Z907-P907*R907/(1-R907)</f>
        <v>39316.5353535354</v>
      </c>
      <c r="X907" s="21" t="n">
        <f aca="false">S907+V907+W907</f>
        <v>379233</v>
      </c>
      <c r="Y907" s="19" t="n">
        <v>338729</v>
      </c>
      <c r="Z907" s="19" t="n">
        <v>40504</v>
      </c>
      <c r="AA907" s="19" t="n">
        <v>3986639</v>
      </c>
      <c r="AB907" s="29" t="n">
        <v>42.217</v>
      </c>
      <c r="AC907" s="29" t="n">
        <v>40.51</v>
      </c>
      <c r="AD907" s="24" t="n">
        <f aca="false">IFERROR(AA907/AC907,0)</f>
        <v>98411.2317946186</v>
      </c>
      <c r="AE907" s="25" t="n">
        <f aca="false">K907-Q907-X907</f>
        <v>0</v>
      </c>
      <c r="AF907" s="25" t="n">
        <f aca="false">Q907-AA907</f>
        <v>0</v>
      </c>
      <c r="AG907" s="19" t="n">
        <v>3293904.838732</v>
      </c>
      <c r="AH907" s="26" t="n">
        <f aca="false">IFERROR(AG907/Q907,0)</f>
        <v>0.82623604463108</v>
      </c>
      <c r="AI907" s="27" t="n">
        <v>405559635.170507</v>
      </c>
      <c r="AJ907" s="26" t="n">
        <f aca="false">IF(AI907&gt;0,AprCoef/SQRT(AI907),0)</f>
        <v>0.023536993089023</v>
      </c>
      <c r="AK907" s="24" t="n">
        <f aca="false">AI907*AJ907/365</f>
        <v>26152.4776169724</v>
      </c>
      <c r="AL907" s="24" t="n">
        <f aca="false">AD907</f>
        <v>98411.2317946186</v>
      </c>
      <c r="AM907" s="24" t="n">
        <f aca="false">AK907-AL907</f>
        <v>-72258.7541776463</v>
      </c>
      <c r="AN907" s="28" t="str">
        <f aca="false">IF(A907&gt;=Hip3LaunchDate,"YES","")</f>
        <v>YES</v>
      </c>
      <c r="AO907" s="28" t="str">
        <f aca="false">IF(A907&lt;Hip4LaunchDate,"pre-launch","live (zero-fee)")</f>
        <v>pre-launch</v>
      </c>
      <c r="AP907" s="30" t="n">
        <v>1</v>
      </c>
      <c r="AQ907" s="30" t="n">
        <v>0</v>
      </c>
      <c r="AR907" s="19" t="n">
        <v>25098.0546370665</v>
      </c>
    </row>
    <row r="908" customFormat="false" ht="15" hidden="false" customHeight="false" outlineLevel="0" collapsed="false">
      <c r="A908" s="18" t="n">
        <v>45969</v>
      </c>
      <c r="B908" s="19" t="n">
        <v>5637152097.09</v>
      </c>
      <c r="C908" s="19" t="n">
        <v>17356871.91</v>
      </c>
      <c r="D908" s="19" t="n">
        <v>269222630</v>
      </c>
      <c r="E908" s="21" t="n">
        <f aca="false">B908+C908</f>
        <v>5654508969</v>
      </c>
      <c r="F908" s="21" t="n">
        <f aca="false">E908+D908</f>
        <v>5923731599</v>
      </c>
      <c r="G908" s="22" t="n">
        <f aca="false">IFERROR(C908/E908,0)</f>
        <v>0.00306956306996</v>
      </c>
      <c r="H908" s="19" t="n">
        <v>2242129</v>
      </c>
      <c r="I908" s="19" t="n">
        <v>192732</v>
      </c>
      <c r="J908" s="19" t="n">
        <v>21109</v>
      </c>
      <c r="K908" s="21" t="n">
        <f aca="false">H908+I908</f>
        <v>2434861</v>
      </c>
      <c r="L908" s="19" t="n">
        <v>5028.28579112475</v>
      </c>
      <c r="M908" s="21" t="n">
        <f aca="false">H908-L908</f>
        <v>2237100.71420888</v>
      </c>
      <c r="N908" s="23" t="n">
        <f aca="false">IFERROR(M908/B908*10000,0)</f>
        <v>3.96849450871426</v>
      </c>
      <c r="O908" s="19" t="n">
        <v>1942814</v>
      </c>
      <c r="P908" s="19" t="n">
        <v>146952</v>
      </c>
      <c r="Q908" s="21" t="n">
        <f aca="false">O908+P908</f>
        <v>2089766</v>
      </c>
      <c r="R908" s="22" t="n">
        <f aca="false">IF(A908&lt;HlpChangeDate,HlpSharePre,HlpSharePost)</f>
        <v>0.01</v>
      </c>
      <c r="S908" s="21" t="n">
        <f aca="false">Q908*R908/(1-R908)</f>
        <v>21108.7474747475</v>
      </c>
      <c r="T908" s="19" t="n">
        <v>21109</v>
      </c>
      <c r="U908" s="21" t="n">
        <f aca="false">S908-T908</f>
        <v>-0.252525252526539</v>
      </c>
      <c r="V908" s="21" t="n">
        <f aca="false">Y908-O908*R908/(1-R908)</f>
        <v>279690.616161616</v>
      </c>
      <c r="W908" s="21" t="n">
        <f aca="false">Z908-P908*R908/(1-R908)</f>
        <v>44295.6363636364</v>
      </c>
      <c r="X908" s="21" t="n">
        <f aca="false">S908+V908+W908</f>
        <v>345095</v>
      </c>
      <c r="Y908" s="19" t="n">
        <v>299315</v>
      </c>
      <c r="Z908" s="19" t="n">
        <v>45780</v>
      </c>
      <c r="AA908" s="19" t="n">
        <v>2089766</v>
      </c>
      <c r="AB908" s="29" t="n">
        <v>40.137</v>
      </c>
      <c r="AC908" s="29" t="n">
        <v>41.33225</v>
      </c>
      <c r="AD908" s="24" t="n">
        <f aca="false">IFERROR(AA908/AC908,0)</f>
        <v>50560.1800047179</v>
      </c>
      <c r="AE908" s="25" t="n">
        <f aca="false">K908-Q908-X908</f>
        <v>0</v>
      </c>
      <c r="AF908" s="25" t="n">
        <f aca="false">Q908-AA908</f>
        <v>0</v>
      </c>
      <c r="AG908" s="19" t="n">
        <v>1642901.39045799</v>
      </c>
      <c r="AH908" s="26" t="n">
        <f aca="false">IFERROR(AG908/Q908,0)</f>
        <v>0.786165240729339</v>
      </c>
      <c r="AI908" s="27" t="n">
        <v>405714401.917051</v>
      </c>
      <c r="AJ908" s="26" t="n">
        <f aca="false">IF(AI908&gt;0,AprCoef/SQRT(AI908),0)</f>
        <v>0.0235325033651067</v>
      </c>
      <c r="AK908" s="24" t="n">
        <f aca="false">AI908*AJ908/365</f>
        <v>26157.4672010555</v>
      </c>
      <c r="AL908" s="24" t="n">
        <f aca="false">AD908</f>
        <v>50560.1800047179</v>
      </c>
      <c r="AM908" s="24" t="n">
        <f aca="false">AK908-AL908</f>
        <v>-24402.7128036624</v>
      </c>
      <c r="AN908" s="28" t="str">
        <f aca="false">IF(A908&gt;=Hip3LaunchDate,"YES","")</f>
        <v>YES</v>
      </c>
      <c r="AO908" s="28" t="str">
        <f aca="false">IF(A908&lt;Hip4LaunchDate,"pre-launch","live (zero-fee)")</f>
        <v>pre-launch</v>
      </c>
      <c r="AP908" s="30" t="n">
        <v>1</v>
      </c>
      <c r="AQ908" s="30" t="n">
        <v>0</v>
      </c>
      <c r="AR908" s="19" t="n">
        <v>5028.28579112475</v>
      </c>
    </row>
    <row r="909" customFormat="false" ht="15" hidden="false" customHeight="false" outlineLevel="0" collapsed="false">
      <c r="A909" s="18" t="n">
        <v>45970</v>
      </c>
      <c r="B909" s="19" t="n">
        <v>6096181634.26</v>
      </c>
      <c r="C909" s="19" t="n">
        <v>35955133.88</v>
      </c>
      <c r="D909" s="19" t="n">
        <v>199150822</v>
      </c>
      <c r="E909" s="21" t="n">
        <f aca="false">B909+C909</f>
        <v>6132136768.14</v>
      </c>
      <c r="F909" s="21" t="n">
        <f aca="false">E909+D909</f>
        <v>6331287590.14</v>
      </c>
      <c r="G909" s="22" t="n">
        <f aca="false">IFERROR(C909/E909,0)</f>
        <v>0.00586339399127686</v>
      </c>
      <c r="H909" s="19" t="n">
        <v>2389935</v>
      </c>
      <c r="I909" s="19" t="n">
        <v>109079</v>
      </c>
      <c r="J909" s="19" t="n">
        <v>22326</v>
      </c>
      <c r="K909" s="21" t="n">
        <f aca="false">H909+I909</f>
        <v>2499014</v>
      </c>
      <c r="L909" s="19" t="n">
        <v>10416.20228626</v>
      </c>
      <c r="M909" s="21" t="n">
        <f aca="false">H909-L909</f>
        <v>2379518.79771374</v>
      </c>
      <c r="N909" s="23" t="n">
        <f aca="false">IFERROR(M909/B909*10000,0)</f>
        <v>3.90329380007488</v>
      </c>
      <c r="O909" s="19" t="n">
        <v>2128900</v>
      </c>
      <c r="P909" s="19" t="n">
        <v>81398</v>
      </c>
      <c r="Q909" s="21" t="n">
        <f aca="false">O909+P909</f>
        <v>2210298</v>
      </c>
      <c r="R909" s="22" t="n">
        <f aca="false">IF(A909&lt;HlpChangeDate,HlpSharePre,HlpSharePost)</f>
        <v>0.01</v>
      </c>
      <c r="S909" s="21" t="n">
        <f aca="false">Q909*R909/(1-R909)</f>
        <v>22326.2424242424</v>
      </c>
      <c r="T909" s="19" t="n">
        <v>22326</v>
      </c>
      <c r="U909" s="21" t="n">
        <f aca="false">S909-T909</f>
        <v>0.242424242424022</v>
      </c>
      <c r="V909" s="21" t="n">
        <f aca="false">Y909-O909*R909/(1-R909)</f>
        <v>239530.95959596</v>
      </c>
      <c r="W909" s="21" t="n">
        <f aca="false">Z909-P909*R909/(1-R909)</f>
        <v>26858.797979798</v>
      </c>
      <c r="X909" s="21" t="n">
        <f aca="false">S909+V909+W909</f>
        <v>288716</v>
      </c>
      <c r="Y909" s="19" t="n">
        <v>261035</v>
      </c>
      <c r="Z909" s="19" t="n">
        <v>27681</v>
      </c>
      <c r="AA909" s="19" t="n">
        <v>2210298</v>
      </c>
      <c r="AB909" s="29" t="n">
        <v>41.795</v>
      </c>
      <c r="AC909" s="29" t="n">
        <v>40.99225</v>
      </c>
      <c r="AD909" s="24" t="n">
        <f aca="false">IFERROR(AA909/AC909,0)</f>
        <v>53919.8994931969</v>
      </c>
      <c r="AE909" s="25" t="n">
        <f aca="false">K909-Q909-X909</f>
        <v>0</v>
      </c>
      <c r="AF909" s="25" t="n">
        <f aca="false">Q909-AA909</f>
        <v>0</v>
      </c>
      <c r="AG909" s="19" t="n">
        <v>1755467.79913211</v>
      </c>
      <c r="AH909" s="26" t="n">
        <f aca="false">IFERROR(AG909/Q909,0)</f>
        <v>0.79422222665546</v>
      </c>
      <c r="AI909" s="27" t="n">
        <v>405869168.663595</v>
      </c>
      <c r="AJ909" s="26" t="n">
        <f aca="false">IF(AI909&gt;0,AprCoef/SQRT(AI909),0)</f>
        <v>0.0235280162094795</v>
      </c>
      <c r="AK909" s="24" t="n">
        <f aca="false">AI909*AJ909/365</f>
        <v>26162.455833548</v>
      </c>
      <c r="AL909" s="24" t="n">
        <f aca="false">AD909</f>
        <v>53919.8994931969</v>
      </c>
      <c r="AM909" s="24" t="n">
        <f aca="false">AK909-AL909</f>
        <v>-27757.4436596489</v>
      </c>
      <c r="AN909" s="28" t="str">
        <f aca="false">IF(A909&gt;=Hip3LaunchDate,"YES","")</f>
        <v>YES</v>
      </c>
      <c r="AO909" s="28" t="str">
        <f aca="false">IF(A909&lt;Hip4LaunchDate,"pre-launch","live (zero-fee)")</f>
        <v>pre-launch</v>
      </c>
      <c r="AP909" s="30" t="n">
        <v>1</v>
      </c>
      <c r="AQ909" s="30" t="n">
        <v>0</v>
      </c>
      <c r="AR909" s="19" t="n">
        <v>10416.20228626</v>
      </c>
    </row>
    <row r="910" customFormat="false" ht="15" hidden="false" customHeight="false" outlineLevel="0" collapsed="false">
      <c r="A910" s="18" t="n">
        <v>45971</v>
      </c>
      <c r="B910" s="19" t="n">
        <v>8702419774.16</v>
      </c>
      <c r="C910" s="19" t="n">
        <v>48261325.35</v>
      </c>
      <c r="D910" s="19" t="n">
        <v>260437127</v>
      </c>
      <c r="E910" s="21" t="n">
        <f aca="false">B910+C910</f>
        <v>8750681099.51</v>
      </c>
      <c r="F910" s="21" t="n">
        <f aca="false">E910+D910</f>
        <v>9011118226.51</v>
      </c>
      <c r="G910" s="22" t="n">
        <f aca="false">IFERROR(C910/E910,0)</f>
        <v>0.00551515074097517</v>
      </c>
      <c r="H910" s="19" t="n">
        <v>3363231</v>
      </c>
      <c r="I910" s="19" t="n">
        <v>138356</v>
      </c>
      <c r="J910" s="19" t="n">
        <v>31664</v>
      </c>
      <c r="K910" s="21" t="n">
        <f aca="false">H910+I910</f>
        <v>3501587</v>
      </c>
      <c r="L910" s="19" t="n">
        <v>13981.3059527797</v>
      </c>
      <c r="M910" s="21" t="n">
        <f aca="false">H910-L910</f>
        <v>3349249.69404722</v>
      </c>
      <c r="N910" s="23" t="n">
        <f aca="false">IFERROR(M910/B910*10000,0)</f>
        <v>3.84864185015771</v>
      </c>
      <c r="O910" s="19" t="n">
        <v>3033457</v>
      </c>
      <c r="P910" s="19" t="n">
        <v>101237</v>
      </c>
      <c r="Q910" s="21" t="n">
        <f aca="false">O910+P910</f>
        <v>3134694</v>
      </c>
      <c r="R910" s="22" t="n">
        <f aca="false">IF(A910&lt;HlpChangeDate,HlpSharePre,HlpSharePost)</f>
        <v>0.01</v>
      </c>
      <c r="S910" s="21" t="n">
        <f aca="false">Q910*R910/(1-R910)</f>
        <v>31663.5757575758</v>
      </c>
      <c r="T910" s="19" t="n">
        <v>31664</v>
      </c>
      <c r="U910" s="21" t="n">
        <f aca="false">S910-T910</f>
        <v>-0.424242424240219</v>
      </c>
      <c r="V910" s="21" t="n">
        <f aca="false">Y910-O910*R910/(1-R910)</f>
        <v>299133.02020202</v>
      </c>
      <c r="W910" s="21" t="n">
        <f aca="false">Z910-P910*R910/(1-R910)</f>
        <v>36096.404040404</v>
      </c>
      <c r="X910" s="21" t="n">
        <f aca="false">S910+V910+W910</f>
        <v>366893</v>
      </c>
      <c r="Y910" s="19" t="n">
        <v>329774</v>
      </c>
      <c r="Z910" s="19" t="n">
        <v>37119</v>
      </c>
      <c r="AA910" s="19" t="n">
        <v>3134694</v>
      </c>
      <c r="AB910" s="29" t="n">
        <v>41.429</v>
      </c>
      <c r="AC910" s="29" t="n">
        <v>41.7915</v>
      </c>
      <c r="AD910" s="24" t="n">
        <f aca="false">IFERROR(AA910/AC910,0)</f>
        <v>75007.9322350239</v>
      </c>
      <c r="AE910" s="25" t="n">
        <f aca="false">K910-Q910-X910</f>
        <v>0</v>
      </c>
      <c r="AF910" s="25" t="n">
        <f aca="false">Q910-AA910</f>
        <v>0</v>
      </c>
      <c r="AG910" s="19" t="n">
        <v>2513004.34700096</v>
      </c>
      <c r="AH910" s="26" t="n">
        <f aca="false">IFERROR(AG910/Q910,0)</f>
        <v>0.801674532506508</v>
      </c>
      <c r="AI910" s="27" t="n">
        <v>406023935.410138</v>
      </c>
      <c r="AJ910" s="26" t="n">
        <f aca="false">IF(AI910&gt;0,AprCoef/SQRT(AI910),0)</f>
        <v>0.0235235316196936</v>
      </c>
      <c r="AK910" s="24" t="n">
        <f aca="false">AI910*AJ910/365</f>
        <v>26167.443514994</v>
      </c>
      <c r="AL910" s="24" t="n">
        <f aca="false">AD910</f>
        <v>75007.9322350239</v>
      </c>
      <c r="AM910" s="24" t="n">
        <f aca="false">AK910-AL910</f>
        <v>-48840.4887200299</v>
      </c>
      <c r="AN910" s="28" t="str">
        <f aca="false">IF(A910&gt;=Hip3LaunchDate,"YES","")</f>
        <v>YES</v>
      </c>
      <c r="AO910" s="28" t="str">
        <f aca="false">IF(A910&lt;Hip4LaunchDate,"pre-launch","live (zero-fee)")</f>
        <v>pre-launch</v>
      </c>
      <c r="AP910" s="30" t="n">
        <v>1</v>
      </c>
      <c r="AQ910" s="30" t="n">
        <v>0</v>
      </c>
      <c r="AR910" s="19" t="n">
        <v>13981.3059527797</v>
      </c>
    </row>
    <row r="911" customFormat="false" ht="15" hidden="false" customHeight="false" outlineLevel="0" collapsed="false">
      <c r="A911" s="18" t="n">
        <v>45972</v>
      </c>
      <c r="B911" s="19" t="n">
        <v>9317724897.79</v>
      </c>
      <c r="C911" s="19" t="n">
        <v>51953191.47</v>
      </c>
      <c r="D911" s="19" t="n">
        <v>295414773</v>
      </c>
      <c r="E911" s="21" t="n">
        <f aca="false">B911+C911</f>
        <v>9369678089.26</v>
      </c>
      <c r="F911" s="21" t="n">
        <f aca="false">E911+D911</f>
        <v>9665092862.26</v>
      </c>
      <c r="G911" s="22" t="n">
        <f aca="false">IFERROR(C911/E911,0)</f>
        <v>0.00554482138821305</v>
      </c>
      <c r="H911" s="19" t="n">
        <v>3482396</v>
      </c>
      <c r="I911" s="19" t="n">
        <v>176605</v>
      </c>
      <c r="J911" s="19" t="n">
        <v>33264</v>
      </c>
      <c r="K911" s="21" t="n">
        <f aca="false">H911+I911</f>
        <v>3659001</v>
      </c>
      <c r="L911" s="19" t="n">
        <v>15050.8395685621</v>
      </c>
      <c r="M911" s="21" t="n">
        <f aca="false">H911-L911</f>
        <v>3467345.16043144</v>
      </c>
      <c r="N911" s="23" t="n">
        <f aca="false">IFERROR(M911/B911*10000,0)</f>
        <v>3.7212358150366</v>
      </c>
      <c r="O911" s="19" t="n">
        <v>3153472</v>
      </c>
      <c r="P911" s="19" t="n">
        <v>139663</v>
      </c>
      <c r="Q911" s="21" t="n">
        <f aca="false">O911+P911</f>
        <v>3293135</v>
      </c>
      <c r="R911" s="22" t="n">
        <f aca="false">IF(A911&lt;HlpChangeDate,HlpSharePre,HlpSharePost)</f>
        <v>0.01</v>
      </c>
      <c r="S911" s="21" t="n">
        <f aca="false">Q911*R911/(1-R911)</f>
        <v>33263.9898989899</v>
      </c>
      <c r="T911" s="19" t="n">
        <v>33264</v>
      </c>
      <c r="U911" s="21" t="n">
        <f aca="false">S911-T911</f>
        <v>-0.0101010100988788</v>
      </c>
      <c r="V911" s="21" t="n">
        <f aca="false">Y911-O911*R911/(1-R911)</f>
        <v>297071.747474748</v>
      </c>
      <c r="W911" s="21" t="n">
        <f aca="false">Z911-P911*R911/(1-R911)</f>
        <v>35531.2626262626</v>
      </c>
      <c r="X911" s="21" t="n">
        <f aca="false">S911+V911+W911</f>
        <v>365867</v>
      </c>
      <c r="Y911" s="19" t="n">
        <v>328925</v>
      </c>
      <c r="Z911" s="19" t="n">
        <v>36942</v>
      </c>
      <c r="AA911" s="19" t="n">
        <v>3293135</v>
      </c>
      <c r="AB911" s="29" t="n">
        <v>38.68</v>
      </c>
      <c r="AC911" s="29" t="n">
        <v>40.13025</v>
      </c>
      <c r="AD911" s="24" t="n">
        <f aca="false">IFERROR(AA911/AC911,0)</f>
        <v>82061.1633368843</v>
      </c>
      <c r="AE911" s="25" t="n">
        <f aca="false">K911-Q911-X911</f>
        <v>-1</v>
      </c>
      <c r="AF911" s="25" t="n">
        <f aca="false">Q911-AA911</f>
        <v>0</v>
      </c>
      <c r="AG911" s="19" t="n">
        <v>2649681.87220204</v>
      </c>
      <c r="AH911" s="26" t="n">
        <f aca="false">IFERROR(AG911/Q911,0)</f>
        <v>0.80460772856322</v>
      </c>
      <c r="AI911" s="27" t="n">
        <v>406178702.156682</v>
      </c>
      <c r="AJ911" s="26" t="n">
        <f aca="false">IF(AI911&gt;0,AprCoef/SQRT(AI911),0)</f>
        <v>0.0235190495933047</v>
      </c>
      <c r="AK911" s="24" t="n">
        <f aca="false">AI911*AJ911/365</f>
        <v>26172.4302459373</v>
      </c>
      <c r="AL911" s="24" t="n">
        <f aca="false">AD911</f>
        <v>82061.1633368843</v>
      </c>
      <c r="AM911" s="24" t="n">
        <f aca="false">AK911-AL911</f>
        <v>-55888.7330909469</v>
      </c>
      <c r="AN911" s="28" t="str">
        <f aca="false">IF(A911&gt;=Hip3LaunchDate,"YES","")</f>
        <v>YES</v>
      </c>
      <c r="AO911" s="28" t="str">
        <f aca="false">IF(A911&lt;Hip4LaunchDate,"pre-launch","live (zero-fee)")</f>
        <v>pre-launch</v>
      </c>
      <c r="AP911" s="30" t="n">
        <v>1</v>
      </c>
      <c r="AQ911" s="30" t="n">
        <v>0</v>
      </c>
      <c r="AR911" s="19" t="n">
        <v>15050.8395685621</v>
      </c>
    </row>
    <row r="912" customFormat="false" ht="15" hidden="false" customHeight="false" outlineLevel="0" collapsed="false">
      <c r="A912" s="18" t="n">
        <v>45973</v>
      </c>
      <c r="B912" s="19" t="n">
        <v>7770874721.24</v>
      </c>
      <c r="C912" s="19" t="n">
        <v>55363788.71</v>
      </c>
      <c r="D912" s="19" t="n">
        <v>245114219</v>
      </c>
      <c r="E912" s="21" t="n">
        <f aca="false">B912+C912</f>
        <v>7826238509.95</v>
      </c>
      <c r="F912" s="21" t="n">
        <f aca="false">E912+D912</f>
        <v>8071352728.95</v>
      </c>
      <c r="G912" s="22" t="n">
        <f aca="false">IFERROR(C912/E912,0)</f>
        <v>0.00707412489915973</v>
      </c>
      <c r="H912" s="19" t="n">
        <v>3038268</v>
      </c>
      <c r="I912" s="19" t="n">
        <v>140400</v>
      </c>
      <c r="J912" s="19" t="n">
        <v>28810</v>
      </c>
      <c r="K912" s="21" t="n">
        <f aca="false">H912+I912</f>
        <v>3178668</v>
      </c>
      <c r="L912" s="19" t="n">
        <v>16038.8895894101</v>
      </c>
      <c r="M912" s="21" t="n">
        <f aca="false">H912-L912</f>
        <v>3022229.11041059</v>
      </c>
      <c r="N912" s="23" t="n">
        <f aca="false">IFERROR(M912/B912*10000,0)</f>
        <v>3.88917492409186</v>
      </c>
      <c r="O912" s="19" t="n">
        <v>2745553</v>
      </c>
      <c r="P912" s="19" t="n">
        <v>106685</v>
      </c>
      <c r="Q912" s="21" t="n">
        <f aca="false">O912+P912</f>
        <v>2852238</v>
      </c>
      <c r="R912" s="22" t="n">
        <f aca="false">IF(A912&lt;HlpChangeDate,HlpSharePre,HlpSharePost)</f>
        <v>0.01</v>
      </c>
      <c r="S912" s="21" t="n">
        <f aca="false">Q912*R912/(1-R912)</f>
        <v>28810.4848484848</v>
      </c>
      <c r="T912" s="19" t="n">
        <v>28810</v>
      </c>
      <c r="U912" s="21" t="n">
        <f aca="false">S912-T912</f>
        <v>0.484848484848044</v>
      </c>
      <c r="V912" s="21" t="n">
        <f aca="false">Y912-O912*R912/(1-R912)</f>
        <v>264982.141414141</v>
      </c>
      <c r="W912" s="21" t="n">
        <f aca="false">Z912-P912*R912/(1-R912)</f>
        <v>32638.3737373737</v>
      </c>
      <c r="X912" s="21" t="n">
        <f aca="false">S912+V912+W912</f>
        <v>326431</v>
      </c>
      <c r="Y912" s="19" t="n">
        <v>292715</v>
      </c>
      <c r="Z912" s="19" t="n">
        <v>33716</v>
      </c>
      <c r="AA912" s="19" t="n">
        <v>2852238</v>
      </c>
      <c r="AB912" s="29" t="n">
        <v>38.345</v>
      </c>
      <c r="AC912" s="29" t="n">
        <v>38.828</v>
      </c>
      <c r="AD912" s="24" t="n">
        <f aca="false">IFERROR(AA912/AC912,0)</f>
        <v>73458.2775316782</v>
      </c>
      <c r="AE912" s="25" t="n">
        <f aca="false">K912-Q912-X912</f>
        <v>-1</v>
      </c>
      <c r="AF912" s="25" t="n">
        <f aca="false">Q912-AA912</f>
        <v>0</v>
      </c>
      <c r="AG912" s="19" t="n">
        <v>2289647.58951592</v>
      </c>
      <c r="AH912" s="26" t="n">
        <f aca="false">IFERROR(AG912/Q912,0)</f>
        <v>0.802754745402005</v>
      </c>
      <c r="AI912" s="27" t="n">
        <v>406333468.903226</v>
      </c>
      <c r="AJ912" s="26" t="n">
        <f aca="false">IF(AI912&gt;0,AprCoef/SQRT(AI912),0)</f>
        <v>0.0235145701278716</v>
      </c>
      <c r="AK912" s="24" t="n">
        <f aca="false">AI912*AJ912/365</f>
        <v>26177.4160269212</v>
      </c>
      <c r="AL912" s="24" t="n">
        <f aca="false">AD912</f>
        <v>73458.2775316782</v>
      </c>
      <c r="AM912" s="24" t="n">
        <f aca="false">AK912-AL912</f>
        <v>-47280.861504757</v>
      </c>
      <c r="AN912" s="28" t="str">
        <f aca="false">IF(A912&gt;=Hip3LaunchDate,"YES","")</f>
        <v>YES</v>
      </c>
      <c r="AO912" s="28" t="str">
        <f aca="false">IF(A912&lt;Hip4LaunchDate,"pre-launch","live (zero-fee)")</f>
        <v>pre-launch</v>
      </c>
      <c r="AP912" s="30" t="n">
        <v>2</v>
      </c>
      <c r="AQ912" s="30" t="n">
        <v>0</v>
      </c>
      <c r="AR912" s="19" t="n">
        <v>16038.8895894101</v>
      </c>
    </row>
    <row r="913" customFormat="false" ht="15" hidden="false" customHeight="false" outlineLevel="0" collapsed="false">
      <c r="A913" s="18" t="n">
        <v>45974</v>
      </c>
      <c r="B913" s="19" t="n">
        <v>13089934402.71</v>
      </c>
      <c r="C913" s="19" t="n">
        <v>77902079.79</v>
      </c>
      <c r="D913" s="19" t="n">
        <v>265738556</v>
      </c>
      <c r="E913" s="21" t="n">
        <f aca="false">B913+C913</f>
        <v>13167836482.5</v>
      </c>
      <c r="F913" s="21" t="n">
        <f aca="false">E913+D913</f>
        <v>13433575038.5</v>
      </c>
      <c r="G913" s="22" t="n">
        <f aca="false">IFERROR(C913/E913,0)</f>
        <v>0.00591608802961151</v>
      </c>
      <c r="H913" s="19" t="n">
        <v>4865602</v>
      </c>
      <c r="I913" s="19" t="n">
        <v>143873</v>
      </c>
      <c r="J913" s="19" t="n">
        <v>46213</v>
      </c>
      <c r="K913" s="21" t="n">
        <f aca="false">H913+I913</f>
        <v>5009475</v>
      </c>
      <c r="L913" s="19" t="n">
        <v>22568.2325145916</v>
      </c>
      <c r="M913" s="21" t="n">
        <f aca="false">H913-L913</f>
        <v>4843033.76748541</v>
      </c>
      <c r="N913" s="23" t="n">
        <f aca="false">IFERROR(M913/B913*10000,0)</f>
        <v>3.69981515452267</v>
      </c>
      <c r="O913" s="19" t="n">
        <v>4467899</v>
      </c>
      <c r="P913" s="19" t="n">
        <v>107158</v>
      </c>
      <c r="Q913" s="21" t="n">
        <f aca="false">O913+P913</f>
        <v>4575057</v>
      </c>
      <c r="R913" s="22" t="n">
        <f aca="false">IF(A913&lt;HlpChangeDate,HlpSharePre,HlpSharePost)</f>
        <v>0.01</v>
      </c>
      <c r="S913" s="21" t="n">
        <f aca="false">Q913*R913/(1-R913)</f>
        <v>46212.696969697</v>
      </c>
      <c r="T913" s="19" t="n">
        <v>46213</v>
      </c>
      <c r="U913" s="21" t="n">
        <f aca="false">S913-T913</f>
        <v>-0.303030303031846</v>
      </c>
      <c r="V913" s="21" t="n">
        <f aca="false">Y913-O913*R913/(1-R913)</f>
        <v>352572.707070707</v>
      </c>
      <c r="W913" s="21" t="n">
        <f aca="false">Z913-P913*R913/(1-R913)</f>
        <v>35632.595959596</v>
      </c>
      <c r="X913" s="21" t="n">
        <f aca="false">S913+V913+W913</f>
        <v>434418</v>
      </c>
      <c r="Y913" s="19" t="n">
        <v>397703</v>
      </c>
      <c r="Z913" s="19" t="n">
        <v>36715</v>
      </c>
      <c r="AA913" s="19" t="n">
        <v>4575057</v>
      </c>
      <c r="AB913" s="29" t="n">
        <v>38.531</v>
      </c>
      <c r="AC913" s="29" t="n">
        <v>38.33775</v>
      </c>
      <c r="AD913" s="24" t="n">
        <f aca="false">IFERROR(AA913/AC913,0)</f>
        <v>119335.563511161</v>
      </c>
      <c r="AE913" s="25" t="n">
        <f aca="false">K913-Q913-X913</f>
        <v>0</v>
      </c>
      <c r="AF913" s="25" t="n">
        <f aca="false">Q913-AA913</f>
        <v>0</v>
      </c>
      <c r="AG913" s="19" t="n">
        <v>3667582.58259797</v>
      </c>
      <c r="AH913" s="26" t="n">
        <f aca="false">IFERROR(AG913/Q913,0)</f>
        <v>0.801647407365192</v>
      </c>
      <c r="AI913" s="27" t="n">
        <v>406488235.64977</v>
      </c>
      <c r="AJ913" s="26" t="n">
        <f aca="false">IF(AI913&gt;0,AprCoef/SQRT(AI913),0)</f>
        <v>0.0235100932209564</v>
      </c>
      <c r="AK913" s="24" t="n">
        <f aca="false">AI913*AJ913/365</f>
        <v>26182.4008584882</v>
      </c>
      <c r="AL913" s="24" t="n">
        <f aca="false">AD913</f>
        <v>119335.563511161</v>
      </c>
      <c r="AM913" s="24" t="n">
        <f aca="false">AK913-AL913</f>
        <v>-93153.1626526725</v>
      </c>
      <c r="AN913" s="28" t="str">
        <f aca="false">IF(A913&gt;=Hip3LaunchDate,"YES","")</f>
        <v>YES</v>
      </c>
      <c r="AO913" s="28" t="str">
        <f aca="false">IF(A913&lt;Hip4LaunchDate,"pre-launch","live (zero-fee)")</f>
        <v>pre-launch</v>
      </c>
      <c r="AP913" s="30" t="n">
        <v>5</v>
      </c>
      <c r="AQ913" s="30" t="n">
        <v>0</v>
      </c>
      <c r="AR913" s="19" t="n">
        <v>22568.2325145916</v>
      </c>
    </row>
    <row r="914" customFormat="false" ht="15" hidden="false" customHeight="false" outlineLevel="0" collapsed="false">
      <c r="A914" s="18" t="n">
        <v>45975</v>
      </c>
      <c r="B914" s="19" t="n">
        <v>13579082186.9</v>
      </c>
      <c r="C914" s="19" t="n">
        <v>82960169.18</v>
      </c>
      <c r="D914" s="19" t="n">
        <v>351021796</v>
      </c>
      <c r="E914" s="21" t="n">
        <f aca="false">B914+C914</f>
        <v>13662042356.08</v>
      </c>
      <c r="F914" s="21" t="n">
        <f aca="false">E914+D914</f>
        <v>14013064152.08</v>
      </c>
      <c r="G914" s="22" t="n">
        <f aca="false">IFERROR(C914/E914,0)</f>
        <v>0.00607231093402959</v>
      </c>
      <c r="H914" s="19" t="n">
        <v>5009466</v>
      </c>
      <c r="I914" s="19" t="n">
        <v>195412</v>
      </c>
      <c r="J914" s="19" t="n">
        <v>48025</v>
      </c>
      <c r="K914" s="21" t="n">
        <f aca="false">H914+I914</f>
        <v>5204878</v>
      </c>
      <c r="L914" s="19" t="n">
        <v>24033.5610122007</v>
      </c>
      <c r="M914" s="21" t="n">
        <f aca="false">H914-L914</f>
        <v>4985432.4389878</v>
      </c>
      <c r="N914" s="23" t="n">
        <f aca="false">IFERROR(M914/B914*10000,0)</f>
        <v>3.67140604230037</v>
      </c>
      <c r="O914" s="19" t="n">
        <v>4604297</v>
      </c>
      <c r="P914" s="19" t="n">
        <v>150195</v>
      </c>
      <c r="Q914" s="21" t="n">
        <f aca="false">O914+P914</f>
        <v>4754492</v>
      </c>
      <c r="R914" s="22" t="n">
        <f aca="false">IF(A914&lt;HlpChangeDate,HlpSharePre,HlpSharePost)</f>
        <v>0.01</v>
      </c>
      <c r="S914" s="21" t="n">
        <f aca="false">Q914*R914/(1-R914)</f>
        <v>48025.1717171717</v>
      </c>
      <c r="T914" s="19" t="n">
        <v>48025</v>
      </c>
      <c r="U914" s="21" t="n">
        <f aca="false">S914-T914</f>
        <v>0.171717171717319</v>
      </c>
      <c r="V914" s="21" t="n">
        <f aca="false">Y914-O914*R914/(1-R914)</f>
        <v>358660.94949495</v>
      </c>
      <c r="W914" s="21" t="n">
        <f aca="false">Z914-P914*R914/(1-R914)</f>
        <v>43698.8787878788</v>
      </c>
      <c r="X914" s="21" t="n">
        <f aca="false">S914+V914+W914</f>
        <v>450385</v>
      </c>
      <c r="Y914" s="19" t="n">
        <v>405169</v>
      </c>
      <c r="Z914" s="19" t="n">
        <v>45216</v>
      </c>
      <c r="AA914" s="19" t="n">
        <v>4754492</v>
      </c>
      <c r="AB914" s="29" t="n">
        <v>37.479</v>
      </c>
      <c r="AC914" s="29" t="n">
        <v>37.65375</v>
      </c>
      <c r="AD914" s="24" t="n">
        <f aca="false">IFERROR(AA914/AC914,0)</f>
        <v>126268.751452379</v>
      </c>
      <c r="AE914" s="25" t="n">
        <f aca="false">K914-Q914-X914</f>
        <v>1</v>
      </c>
      <c r="AF914" s="25" t="n">
        <f aca="false">Q914-AA914</f>
        <v>0</v>
      </c>
      <c r="AG914" s="19" t="n">
        <v>3868853.99815607</v>
      </c>
      <c r="AH914" s="26" t="n">
        <f aca="false">IFERROR(AG914/Q914,0)</f>
        <v>0.81372605068135</v>
      </c>
      <c r="AI914" s="27" t="n">
        <v>406643002.396313</v>
      </c>
      <c r="AJ914" s="26" t="n">
        <f aca="false">IF(AI914&gt;0,AprCoef/SQRT(AI914),0)</f>
        <v>0.0235056188701246</v>
      </c>
      <c r="AK914" s="24" t="n">
        <f aca="false">AI914*AJ914/365</f>
        <v>26187.3847411806</v>
      </c>
      <c r="AL914" s="24" t="n">
        <f aca="false">AD914</f>
        <v>126268.751452379</v>
      </c>
      <c r="AM914" s="24" t="n">
        <f aca="false">AK914-AL914</f>
        <v>-100081.366711198</v>
      </c>
      <c r="AN914" s="28" t="str">
        <f aca="false">IF(A914&gt;=Hip3LaunchDate,"YES","")</f>
        <v>YES</v>
      </c>
      <c r="AO914" s="28" t="str">
        <f aca="false">IF(A914&lt;Hip4LaunchDate,"pre-launch","live (zero-fee)")</f>
        <v>pre-launch</v>
      </c>
      <c r="AP914" s="30" t="n">
        <v>6</v>
      </c>
      <c r="AQ914" s="30" t="n">
        <v>0</v>
      </c>
      <c r="AR914" s="19" t="n">
        <v>24033.5610122007</v>
      </c>
    </row>
    <row r="915" customFormat="false" ht="15" hidden="false" customHeight="false" outlineLevel="0" collapsed="false">
      <c r="A915" s="18" t="n">
        <v>45976</v>
      </c>
      <c r="B915" s="19" t="n">
        <v>4555083184.61</v>
      </c>
      <c r="C915" s="19" t="n">
        <v>28924657.76</v>
      </c>
      <c r="D915" s="19" t="n">
        <v>162637502</v>
      </c>
      <c r="E915" s="21" t="n">
        <f aca="false">B915+C915</f>
        <v>4584007842.37</v>
      </c>
      <c r="F915" s="21" t="n">
        <f aca="false">E915+D915</f>
        <v>4746645344.37</v>
      </c>
      <c r="G915" s="22" t="n">
        <f aca="false">IFERROR(C915/E915,0)</f>
        <v>0.00630990581923733</v>
      </c>
      <c r="H915" s="19" t="n">
        <v>1829728</v>
      </c>
      <c r="I915" s="19" t="n">
        <v>101061</v>
      </c>
      <c r="J915" s="19" t="n">
        <v>17316</v>
      </c>
      <c r="K915" s="21" t="n">
        <f aca="false">H915+I915</f>
        <v>1930789</v>
      </c>
      <c r="L915" s="19" t="n">
        <v>8379.47335349786</v>
      </c>
      <c r="M915" s="21" t="n">
        <f aca="false">H915-L915</f>
        <v>1821348.5266465</v>
      </c>
      <c r="N915" s="23" t="n">
        <f aca="false">IFERROR(M915/B915*10000,0)</f>
        <v>3.99849674052098</v>
      </c>
      <c r="O915" s="19" t="n">
        <v>1637787</v>
      </c>
      <c r="P915" s="19" t="n">
        <v>76492</v>
      </c>
      <c r="Q915" s="21" t="n">
        <f aca="false">O915+P915</f>
        <v>1714279</v>
      </c>
      <c r="R915" s="22" t="n">
        <f aca="false">IF(A915&lt;HlpChangeDate,HlpSharePre,HlpSharePost)</f>
        <v>0.01</v>
      </c>
      <c r="S915" s="21" t="n">
        <f aca="false">Q915*R915/(1-R915)</f>
        <v>17315.9494949495</v>
      </c>
      <c r="T915" s="19" t="n">
        <v>17316</v>
      </c>
      <c r="U915" s="21" t="n">
        <f aca="false">S915-T915</f>
        <v>-0.0505050505053077</v>
      </c>
      <c r="V915" s="21" t="n">
        <f aca="false">Y915-O915*R915/(1-R915)</f>
        <v>175397.696969697</v>
      </c>
      <c r="W915" s="21" t="n">
        <f aca="false">Z915-P915*R915/(1-R915)</f>
        <v>23796.3535353535</v>
      </c>
      <c r="X915" s="21" t="n">
        <f aca="false">S915+V915+W915</f>
        <v>216510</v>
      </c>
      <c r="Y915" s="19" t="n">
        <v>191941</v>
      </c>
      <c r="Z915" s="19" t="n">
        <v>24569</v>
      </c>
      <c r="AA915" s="19" t="n">
        <v>1714279</v>
      </c>
      <c r="AB915" s="29" t="n">
        <v>38.574</v>
      </c>
      <c r="AC915" s="29" t="n">
        <v>38.2245</v>
      </c>
      <c r="AD915" s="24" t="n">
        <f aca="false">IFERROR(AA915/AC915,0)</f>
        <v>44847.6500673652</v>
      </c>
      <c r="AE915" s="25" t="n">
        <f aca="false">K915-Q915-X915</f>
        <v>0</v>
      </c>
      <c r="AF915" s="25" t="n">
        <f aca="false">Q915-AA915</f>
        <v>0</v>
      </c>
      <c r="AG915" s="19" t="n">
        <v>1397243.60730302</v>
      </c>
      <c r="AH915" s="26" t="n">
        <f aca="false">IFERROR(AG915/Q915,0)</f>
        <v>0.815061963252786</v>
      </c>
      <c r="AI915" s="27" t="n">
        <v>406797769.142857</v>
      </c>
      <c r="AJ915" s="26" t="n">
        <f aca="false">IF(AI915&gt;0,AprCoef/SQRT(AI915),0)</f>
        <v>0.0235011470729447</v>
      </c>
      <c r="AK915" s="24" t="n">
        <f aca="false">AI915*AJ915/365</f>
        <v>26192.36767554</v>
      </c>
      <c r="AL915" s="24" t="n">
        <f aca="false">AD915</f>
        <v>44847.6500673652</v>
      </c>
      <c r="AM915" s="24" t="n">
        <f aca="false">AK915-AL915</f>
        <v>-18655.2823918252</v>
      </c>
      <c r="AN915" s="28" t="str">
        <f aca="false">IF(A915&gt;=Hip3LaunchDate,"YES","")</f>
        <v>YES</v>
      </c>
      <c r="AO915" s="28" t="str">
        <f aca="false">IF(A915&lt;Hip4LaunchDate,"pre-launch","live (zero-fee)")</f>
        <v>pre-launch</v>
      </c>
      <c r="AP915" s="30" t="n">
        <v>6</v>
      </c>
      <c r="AQ915" s="30" t="n">
        <v>0</v>
      </c>
      <c r="AR915" s="19" t="n">
        <v>8379.47335349786</v>
      </c>
    </row>
    <row r="916" customFormat="false" ht="15" hidden="false" customHeight="false" outlineLevel="0" collapsed="false">
      <c r="A916" s="18" t="n">
        <v>45977</v>
      </c>
      <c r="B916" s="19" t="n">
        <v>7008918884.73</v>
      </c>
      <c r="C916" s="19" t="n">
        <v>39039629.67</v>
      </c>
      <c r="D916" s="19" t="n">
        <v>221753668</v>
      </c>
      <c r="E916" s="21" t="n">
        <f aca="false">B916+C916</f>
        <v>7047958514.4</v>
      </c>
      <c r="F916" s="21" t="n">
        <f aca="false">E916+D916</f>
        <v>7269712182.4</v>
      </c>
      <c r="G916" s="22" t="n">
        <f aca="false">IFERROR(C916/E916,0)</f>
        <v>0.00553914010564001</v>
      </c>
      <c r="H916" s="19" t="n">
        <v>2785863</v>
      </c>
      <c r="I916" s="19" t="n">
        <v>127467</v>
      </c>
      <c r="J916" s="19" t="n">
        <v>26300</v>
      </c>
      <c r="K916" s="21" t="n">
        <f aca="false">H916+I916</f>
        <v>2913330</v>
      </c>
      <c r="L916" s="19" t="n">
        <v>11309.7807145285</v>
      </c>
      <c r="M916" s="21" t="n">
        <f aca="false">H916-L916</f>
        <v>2774553.21928547</v>
      </c>
      <c r="N916" s="23" t="n">
        <f aca="false">IFERROR(M916/B916*10000,0)</f>
        <v>3.95860369468715</v>
      </c>
      <c r="O916" s="19" t="n">
        <v>2505272</v>
      </c>
      <c r="P916" s="19" t="n">
        <v>98423</v>
      </c>
      <c r="Q916" s="21" t="n">
        <f aca="false">O916+P916</f>
        <v>2603695</v>
      </c>
      <c r="R916" s="22" t="n">
        <f aca="false">IF(A916&lt;HlpChangeDate,HlpSharePre,HlpSharePost)</f>
        <v>0.01</v>
      </c>
      <c r="S916" s="21" t="n">
        <f aca="false">Q916*R916/(1-R916)</f>
        <v>26299.9494949495</v>
      </c>
      <c r="T916" s="19" t="n">
        <v>26300</v>
      </c>
      <c r="U916" s="21" t="n">
        <f aca="false">S916-T916</f>
        <v>-0.0505050505053077</v>
      </c>
      <c r="V916" s="21" t="n">
        <f aca="false">Y916-O916*R916/(1-R916)</f>
        <v>255285.222222222</v>
      </c>
      <c r="W916" s="21" t="n">
        <f aca="false">Z916-P916*R916/(1-R916)</f>
        <v>28049.8282828283</v>
      </c>
      <c r="X916" s="21" t="n">
        <f aca="false">S916+V916+W916</f>
        <v>309635</v>
      </c>
      <c r="Y916" s="19" t="n">
        <v>280591</v>
      </c>
      <c r="Z916" s="19" t="n">
        <v>29044</v>
      </c>
      <c r="AA916" s="19" t="n">
        <v>2603695</v>
      </c>
      <c r="AB916" s="29" t="n">
        <v>38.691</v>
      </c>
      <c r="AC916" s="29" t="n">
        <v>38.81575</v>
      </c>
      <c r="AD916" s="24" t="n">
        <f aca="false">IFERROR(AA916/AC916,0)</f>
        <v>67078.3122830295</v>
      </c>
      <c r="AE916" s="25" t="n">
        <f aca="false">K916-Q916-X916</f>
        <v>0</v>
      </c>
      <c r="AF916" s="25" t="n">
        <f aca="false">Q916-AA916</f>
        <v>0</v>
      </c>
      <c r="AG916" s="19" t="n">
        <v>2041070.51907802</v>
      </c>
      <c r="AH916" s="26" t="n">
        <f aca="false">IFERROR(AG916/Q916,0)</f>
        <v>0.783913061659686</v>
      </c>
      <c r="AI916" s="27" t="n">
        <v>406952535.889401</v>
      </c>
      <c r="AJ916" s="26" t="n">
        <f aca="false">IF(AI916&gt;0,AprCoef/SQRT(AI916),0)</f>
        <v>0.0234966778269885</v>
      </c>
      <c r="AK916" s="24" t="n">
        <f aca="false">AI916*AJ916/365</f>
        <v>26197.3496621075</v>
      </c>
      <c r="AL916" s="24" t="n">
        <f aca="false">AD916</f>
        <v>67078.3122830295</v>
      </c>
      <c r="AM916" s="24" t="n">
        <f aca="false">AK916-AL916</f>
        <v>-40880.9626209219</v>
      </c>
      <c r="AN916" s="28" t="str">
        <f aca="false">IF(A916&gt;=Hip3LaunchDate,"YES","")</f>
        <v>YES</v>
      </c>
      <c r="AO916" s="28" t="str">
        <f aca="false">IF(A916&lt;Hip4LaunchDate,"pre-launch","live (zero-fee)")</f>
        <v>pre-launch</v>
      </c>
      <c r="AP916" s="30" t="n">
        <v>6</v>
      </c>
      <c r="AQ916" s="30" t="n">
        <v>0</v>
      </c>
      <c r="AR916" s="19" t="n">
        <v>11309.7807145285</v>
      </c>
    </row>
    <row r="917" customFormat="false" ht="15" hidden="false" customHeight="false" outlineLevel="0" collapsed="false">
      <c r="A917" s="18" t="n">
        <v>45978</v>
      </c>
      <c r="B917" s="19" t="n">
        <v>9642776954.06</v>
      </c>
      <c r="C917" s="19" t="n">
        <v>125007419.57</v>
      </c>
      <c r="D917" s="19" t="n">
        <v>291667475</v>
      </c>
      <c r="E917" s="21" t="n">
        <f aca="false">B917+C917</f>
        <v>9767784373.63</v>
      </c>
      <c r="F917" s="21" t="n">
        <f aca="false">E917+D917</f>
        <v>10059451848.63</v>
      </c>
      <c r="G917" s="22" t="n">
        <f aca="false">IFERROR(C917/E917,0)</f>
        <v>0.0127979298875067</v>
      </c>
      <c r="H917" s="19" t="n">
        <v>3791203</v>
      </c>
      <c r="I917" s="19" t="n">
        <v>153294</v>
      </c>
      <c r="J917" s="19" t="n">
        <v>35818</v>
      </c>
      <c r="K917" s="21" t="n">
        <f aca="false">H917+I917</f>
        <v>3944497</v>
      </c>
      <c r="L917" s="19" t="n">
        <v>36214.6494492928</v>
      </c>
      <c r="M917" s="21" t="n">
        <f aca="false">H917-L917</f>
        <v>3754988.35055071</v>
      </c>
      <c r="N917" s="23" t="n">
        <f aca="false">IFERROR(M917/B917*10000,0)</f>
        <v>3.89409437596677</v>
      </c>
      <c r="O917" s="19" t="n">
        <v>3431427</v>
      </c>
      <c r="P917" s="19" t="n">
        <v>114541</v>
      </c>
      <c r="Q917" s="21" t="n">
        <f aca="false">O917+P917</f>
        <v>3545968</v>
      </c>
      <c r="R917" s="22" t="n">
        <f aca="false">IF(A917&lt;HlpChangeDate,HlpSharePre,HlpSharePost)</f>
        <v>0.01</v>
      </c>
      <c r="S917" s="21" t="n">
        <f aca="false">Q917*R917/(1-R917)</f>
        <v>35817.8585858586</v>
      </c>
      <c r="T917" s="19" t="n">
        <v>35818</v>
      </c>
      <c r="U917" s="21" t="n">
        <f aca="false">S917-T917</f>
        <v>-0.141414141413406</v>
      </c>
      <c r="V917" s="21" t="n">
        <f aca="false">Y917-O917*R917/(1-R917)</f>
        <v>325114.121212121</v>
      </c>
      <c r="W917" s="21" t="n">
        <f aca="false">Z917-P917*R917/(1-R917)</f>
        <v>37596.0202020202</v>
      </c>
      <c r="X917" s="21" t="n">
        <f aca="false">S917+V917+W917</f>
        <v>398528</v>
      </c>
      <c r="Y917" s="19" t="n">
        <v>359775</v>
      </c>
      <c r="Z917" s="19" t="n">
        <v>38753</v>
      </c>
      <c r="AA917" s="19" t="n">
        <v>3545968</v>
      </c>
      <c r="AB917" s="29" t="n">
        <v>39.273</v>
      </c>
      <c r="AC917" s="29" t="n">
        <v>38.584</v>
      </c>
      <c r="AD917" s="24" t="n">
        <f aca="false">IFERROR(AA917/AC917,0)</f>
        <v>91902.5502799088</v>
      </c>
      <c r="AE917" s="25" t="n">
        <f aca="false">K917-Q917-X917</f>
        <v>1</v>
      </c>
      <c r="AF917" s="25" t="n">
        <f aca="false">Q917-AA917</f>
        <v>0</v>
      </c>
      <c r="AG917" s="19" t="n">
        <v>2871726.86667991</v>
      </c>
      <c r="AH917" s="26" t="n">
        <f aca="false">IFERROR(AG917/Q917,0)</f>
        <v>0.809856960547841</v>
      </c>
      <c r="AI917" s="27" t="n">
        <v>407107302.635945</v>
      </c>
      <c r="AJ917" s="26" t="n">
        <f aca="false">IF(AI917&gt;0,AprCoef/SQRT(AI917),0)</f>
        <v>0.0234922111298312</v>
      </c>
      <c r="AK917" s="24" t="n">
        <f aca="false">AI917*AJ917/365</f>
        <v>26202.3307014238</v>
      </c>
      <c r="AL917" s="24" t="n">
        <f aca="false">AD917</f>
        <v>91902.5502799088</v>
      </c>
      <c r="AM917" s="24" t="n">
        <f aca="false">AK917-AL917</f>
        <v>-65700.2195784849</v>
      </c>
      <c r="AN917" s="28" t="str">
        <f aca="false">IF(A917&gt;=Hip3LaunchDate,"YES","")</f>
        <v>YES</v>
      </c>
      <c r="AO917" s="28" t="str">
        <f aca="false">IF(A917&lt;Hip4LaunchDate,"pre-launch","live (zero-fee)")</f>
        <v>pre-launch</v>
      </c>
      <c r="AP917" s="30" t="n">
        <v>6</v>
      </c>
      <c r="AQ917" s="30" t="n">
        <v>0</v>
      </c>
      <c r="AR917" s="19" t="n">
        <v>36214.6494492928</v>
      </c>
    </row>
    <row r="918" customFormat="false" ht="15" hidden="false" customHeight="false" outlineLevel="0" collapsed="false">
      <c r="A918" s="18" t="n">
        <v>45979</v>
      </c>
      <c r="B918" s="19" t="n">
        <v>9711301899.14</v>
      </c>
      <c r="C918" s="19" t="n">
        <v>143533995.46</v>
      </c>
      <c r="D918" s="19" t="n">
        <v>249683320</v>
      </c>
      <c r="E918" s="21" t="n">
        <f aca="false">B918+C918</f>
        <v>9854835894.6</v>
      </c>
      <c r="F918" s="21" t="n">
        <f aca="false">E918+D918</f>
        <v>10104519214.6</v>
      </c>
      <c r="G918" s="22" t="n">
        <f aca="false">IFERROR(C918/E918,0)</f>
        <v>0.0145648285770695</v>
      </c>
      <c r="H918" s="19" t="n">
        <v>3236578</v>
      </c>
      <c r="I918" s="19" t="n">
        <v>134082</v>
      </c>
      <c r="J918" s="19" t="n">
        <v>30906</v>
      </c>
      <c r="K918" s="21" t="n">
        <f aca="false">H918+I918</f>
        <v>3370660</v>
      </c>
      <c r="L918" s="19" t="n">
        <v>41581.798483622</v>
      </c>
      <c r="M918" s="21" t="n">
        <f aca="false">H918-L918</f>
        <v>3194996.20151638</v>
      </c>
      <c r="N918" s="23" t="n">
        <f aca="false">IFERROR(M918/B918*10000,0)</f>
        <v>3.28997721901666</v>
      </c>
      <c r="O918" s="19" t="n">
        <v>2957683</v>
      </c>
      <c r="P918" s="19" t="n">
        <v>102009</v>
      </c>
      <c r="Q918" s="21" t="n">
        <f aca="false">O918+P918</f>
        <v>3059692</v>
      </c>
      <c r="R918" s="22" t="n">
        <f aca="false">IF(A918&lt;HlpChangeDate,HlpSharePre,HlpSharePost)</f>
        <v>0.01</v>
      </c>
      <c r="S918" s="21" t="n">
        <f aca="false">Q918*R918/(1-R918)</f>
        <v>30905.9797979798</v>
      </c>
      <c r="T918" s="19" t="n">
        <v>30906</v>
      </c>
      <c r="U918" s="21" t="n">
        <f aca="false">S918-T918</f>
        <v>-0.0202020202013955</v>
      </c>
      <c r="V918" s="21" t="n">
        <f aca="false">Y918-O918*R918/(1-R918)</f>
        <v>249019.414141414</v>
      </c>
      <c r="W918" s="21" t="n">
        <f aca="false">Z918-P918*R918/(1-R918)</f>
        <v>31042.6060606061</v>
      </c>
      <c r="X918" s="21" t="n">
        <f aca="false">S918+V918+W918</f>
        <v>310968</v>
      </c>
      <c r="Y918" s="19" t="n">
        <v>278895</v>
      </c>
      <c r="Z918" s="19" t="n">
        <v>32073</v>
      </c>
      <c r="AA918" s="19" t="n">
        <v>3059692</v>
      </c>
      <c r="AB918" s="29" t="n">
        <v>38.668</v>
      </c>
      <c r="AC918" s="29" t="n">
        <v>39.4425</v>
      </c>
      <c r="AD918" s="24" t="n">
        <f aca="false">IFERROR(AA918/AC918,0)</f>
        <v>77573.4803828358</v>
      </c>
      <c r="AE918" s="25" t="n">
        <f aca="false">K918-Q918-X918</f>
        <v>0</v>
      </c>
      <c r="AF918" s="25" t="n">
        <f aca="false">Q918-AA918</f>
        <v>0</v>
      </c>
      <c r="AG918" s="19" t="n">
        <v>2920943.80877006</v>
      </c>
      <c r="AH918" s="26" t="n">
        <f aca="false">IFERROR(AG918/Q918,0)</f>
        <v>0.954652889496741</v>
      </c>
      <c r="AI918" s="27" t="n">
        <v>407262069.382489</v>
      </c>
      <c r="AJ918" s="26" t="n">
        <f aca="false">IF(AI918&gt;0,AprCoef/SQRT(AI918),0)</f>
        <v>0.023487746979051</v>
      </c>
      <c r="AK918" s="24" t="n">
        <f aca="false">AI918*AJ918/365</f>
        <v>26207.3107940291</v>
      </c>
      <c r="AL918" s="24" t="n">
        <f aca="false">AD918</f>
        <v>77573.4803828358</v>
      </c>
      <c r="AM918" s="24" t="n">
        <f aca="false">AK918-AL918</f>
        <v>-51366.1695888067</v>
      </c>
      <c r="AN918" s="28" t="str">
        <f aca="false">IF(A918&gt;=Hip3LaunchDate,"YES","")</f>
        <v>YES</v>
      </c>
      <c r="AO918" s="28" t="str">
        <f aca="false">IF(A918&lt;Hip4LaunchDate,"pre-launch","live (zero-fee)")</f>
        <v>pre-launch</v>
      </c>
      <c r="AP918" s="30" t="n">
        <v>8</v>
      </c>
      <c r="AQ918" s="30" t="n">
        <v>0</v>
      </c>
      <c r="AR918" s="19" t="n">
        <v>41581.798483622</v>
      </c>
    </row>
    <row r="919" customFormat="false" ht="15" hidden="false" customHeight="false" outlineLevel="0" collapsed="false">
      <c r="A919" s="18" t="n">
        <v>45980</v>
      </c>
      <c r="B919" s="19" t="n">
        <v>9626403512.33</v>
      </c>
      <c r="C919" s="19" t="n">
        <v>231645047.74</v>
      </c>
      <c r="D919" s="19" t="n">
        <v>289563221</v>
      </c>
      <c r="E919" s="21" t="n">
        <f aca="false">B919+C919</f>
        <v>9858048560.07</v>
      </c>
      <c r="F919" s="21" t="n">
        <f aca="false">E919+D919</f>
        <v>10147611781.07</v>
      </c>
      <c r="G919" s="22" t="n">
        <f aca="false">IFERROR(C919/E919,0)</f>
        <v>0.023498063164172</v>
      </c>
      <c r="H919" s="19" t="n">
        <v>3998044</v>
      </c>
      <c r="I919" s="19" t="n">
        <v>152868</v>
      </c>
      <c r="J919" s="19" t="n">
        <v>37439</v>
      </c>
      <c r="K919" s="21" t="n">
        <f aca="false">H919+I919</f>
        <v>4150912</v>
      </c>
      <c r="L919" s="19" t="n">
        <v>67107.5703297305</v>
      </c>
      <c r="M919" s="21" t="n">
        <f aca="false">H919-L919</f>
        <v>3930936.42967027</v>
      </c>
      <c r="N919" s="23" t="n">
        <f aca="false">IFERROR(M919/B919*10000,0)</f>
        <v>4.08349434410818</v>
      </c>
      <c r="O919" s="19" t="n">
        <v>3599327</v>
      </c>
      <c r="P919" s="19" t="n">
        <v>107102</v>
      </c>
      <c r="Q919" s="21" t="n">
        <f aca="false">O919+P919</f>
        <v>3706429</v>
      </c>
      <c r="R919" s="22" t="n">
        <f aca="false">IF(A919&lt;HlpChangeDate,HlpSharePre,HlpSharePost)</f>
        <v>0.01</v>
      </c>
      <c r="S919" s="21" t="n">
        <f aca="false">Q919*R919/(1-R919)</f>
        <v>37438.6767676768</v>
      </c>
      <c r="T919" s="19" t="n">
        <v>37439</v>
      </c>
      <c r="U919" s="21" t="n">
        <f aca="false">S919-T919</f>
        <v>-0.323232323229604</v>
      </c>
      <c r="V919" s="21" t="n">
        <f aca="false">Y919-O919*R919/(1-R919)</f>
        <v>362360.161616162</v>
      </c>
      <c r="W919" s="21" t="n">
        <f aca="false">Z919-P919*R919/(1-R919)</f>
        <v>44684.1616161616</v>
      </c>
      <c r="X919" s="21" t="n">
        <f aca="false">S919+V919+W919</f>
        <v>444483</v>
      </c>
      <c r="Y919" s="19" t="n">
        <v>398717</v>
      </c>
      <c r="Z919" s="19" t="n">
        <v>45766</v>
      </c>
      <c r="AA919" s="19" t="n">
        <v>3706429</v>
      </c>
      <c r="AB919" s="29" t="n">
        <v>38.873</v>
      </c>
      <c r="AC919" s="29" t="n">
        <v>38.4475</v>
      </c>
      <c r="AD919" s="24" t="n">
        <f aca="false">IFERROR(AA919/AC919,0)</f>
        <v>96402.3408544119</v>
      </c>
      <c r="AE919" s="25" t="n">
        <f aca="false">K919-Q919-X919</f>
        <v>0</v>
      </c>
      <c r="AF919" s="25" t="n">
        <f aca="false">Q919-AA919</f>
        <v>0</v>
      </c>
      <c r="AG919" s="19" t="n">
        <v>2939911.75189793</v>
      </c>
      <c r="AH919" s="26" t="n">
        <f aca="false">IFERROR(AG919/Q919,0)</f>
        <v>0.793192518161802</v>
      </c>
      <c r="AI919" s="27" t="n">
        <v>407416836.129032</v>
      </c>
      <c r="AJ919" s="26" t="n">
        <f aca="false">IF(AI919&gt;0,AprCoef/SQRT(AI919),0)</f>
        <v>0.0234832853722295</v>
      </c>
      <c r="AK919" s="24" t="n">
        <f aca="false">AI919*AJ919/365</f>
        <v>26212.2899404628</v>
      </c>
      <c r="AL919" s="24" t="n">
        <f aca="false">AD919</f>
        <v>96402.3408544119</v>
      </c>
      <c r="AM919" s="24" t="n">
        <f aca="false">AK919-AL919</f>
        <v>-70190.0509139491</v>
      </c>
      <c r="AN919" s="28" t="str">
        <f aca="false">IF(A919&gt;=Hip3LaunchDate,"YES","")</f>
        <v>YES</v>
      </c>
      <c r="AO919" s="28" t="str">
        <f aca="false">IF(A919&lt;Hip4LaunchDate,"pre-launch","live (zero-fee)")</f>
        <v>pre-launch</v>
      </c>
      <c r="AP919" s="30" t="n">
        <v>9</v>
      </c>
      <c r="AQ919" s="30" t="n">
        <v>0</v>
      </c>
      <c r="AR919" s="19" t="n">
        <v>67107.5703297305</v>
      </c>
    </row>
    <row r="920" customFormat="false" ht="15" hidden="false" customHeight="false" outlineLevel="0" collapsed="false">
      <c r="A920" s="18" t="n">
        <v>45981</v>
      </c>
      <c r="B920" s="19" t="n">
        <v>10603223773.45</v>
      </c>
      <c r="C920" s="19" t="n">
        <v>314004813.03</v>
      </c>
      <c r="D920" s="19" t="n">
        <v>314646044</v>
      </c>
      <c r="E920" s="21" t="n">
        <f aca="false">B920+C920</f>
        <v>10917228586.48</v>
      </c>
      <c r="F920" s="21" t="n">
        <f aca="false">E920+D920</f>
        <v>11231874630.48</v>
      </c>
      <c r="G920" s="22" t="n">
        <f aca="false">IFERROR(C920/E920,0)</f>
        <v>0.0287623191676014</v>
      </c>
      <c r="H920" s="19" t="n">
        <v>4476437</v>
      </c>
      <c r="I920" s="19" t="n">
        <v>191643</v>
      </c>
      <c r="J920" s="19" t="n">
        <v>42391</v>
      </c>
      <c r="K920" s="21" t="n">
        <f aca="false">H920+I920</f>
        <v>4668080</v>
      </c>
      <c r="L920" s="19" t="n">
        <v>90967.1943343825</v>
      </c>
      <c r="M920" s="21" t="n">
        <f aca="false">H920-L920</f>
        <v>4385469.80566562</v>
      </c>
      <c r="N920" s="23" t="n">
        <f aca="false">IFERROR(M920/B920*10000,0)</f>
        <v>4.13597779257158</v>
      </c>
      <c r="O920" s="19" t="n">
        <v>4058440</v>
      </c>
      <c r="P920" s="19" t="n">
        <v>138245</v>
      </c>
      <c r="Q920" s="21" t="n">
        <f aca="false">O920+P920</f>
        <v>4196685</v>
      </c>
      <c r="R920" s="22" t="n">
        <f aca="false">IF(A920&lt;HlpChangeDate,HlpSharePre,HlpSharePost)</f>
        <v>0.01</v>
      </c>
      <c r="S920" s="21" t="n">
        <f aca="false">Q920*R920/(1-R920)</f>
        <v>42390.7575757576</v>
      </c>
      <c r="T920" s="19" t="n">
        <v>42391</v>
      </c>
      <c r="U920" s="21" t="n">
        <f aca="false">S920-T920</f>
        <v>-0.242424242424022</v>
      </c>
      <c r="V920" s="21" t="n">
        <f aca="false">Y920-O920*R920/(1-R920)</f>
        <v>377001.656565657</v>
      </c>
      <c r="W920" s="21" t="n">
        <f aca="false">Z920-P920*R920/(1-R920)</f>
        <v>52001.5858585859</v>
      </c>
      <c r="X920" s="21" t="n">
        <f aca="false">S920+V920+W920</f>
        <v>471394</v>
      </c>
      <c r="Y920" s="19" t="n">
        <v>417996</v>
      </c>
      <c r="Z920" s="19" t="n">
        <v>53398</v>
      </c>
      <c r="AA920" s="19" t="n">
        <v>4196685</v>
      </c>
      <c r="AB920" s="29" t="n">
        <v>37.533</v>
      </c>
      <c r="AC920" s="29" t="n">
        <v>38.37975</v>
      </c>
      <c r="AD920" s="24" t="n">
        <f aca="false">IFERROR(AA920/AC920,0)</f>
        <v>109346.334981338</v>
      </c>
      <c r="AE920" s="25" t="n">
        <f aca="false">K920-Q920-X920</f>
        <v>1.00000000005821</v>
      </c>
      <c r="AF920" s="25" t="n">
        <f aca="false">Q920-AA920</f>
        <v>0</v>
      </c>
      <c r="AG920" s="19" t="n">
        <v>3342395.10697603</v>
      </c>
      <c r="AH920" s="26" t="n">
        <f aca="false">IFERROR(AG920/Q920,0)</f>
        <v>0.796436975130617</v>
      </c>
      <c r="AI920" s="27" t="n">
        <v>407571602.875576</v>
      </c>
      <c r="AJ920" s="26" t="n">
        <f aca="false">IF(AI920&gt;0,AprCoef/SQRT(AI920),0)</f>
        <v>0.0234788263069513</v>
      </c>
      <c r="AK920" s="24" t="n">
        <f aca="false">AI920*AJ920/365</f>
        <v>26217.2681412641</v>
      </c>
      <c r="AL920" s="24" t="n">
        <f aca="false">AD920</f>
        <v>109346.334981338</v>
      </c>
      <c r="AM920" s="24" t="n">
        <f aca="false">AK920-AL920</f>
        <v>-83129.0668400738</v>
      </c>
      <c r="AN920" s="28" t="str">
        <f aca="false">IF(A920&gt;=Hip3LaunchDate,"YES","")</f>
        <v>YES</v>
      </c>
      <c r="AO920" s="28" t="str">
        <f aca="false">IF(A920&lt;Hip4LaunchDate,"pre-launch","live (zero-fee)")</f>
        <v>pre-launch</v>
      </c>
      <c r="AP920" s="30" t="n">
        <v>11</v>
      </c>
      <c r="AQ920" s="30" t="n">
        <v>0</v>
      </c>
      <c r="AR920" s="19" t="n">
        <v>90967.1943343825</v>
      </c>
    </row>
    <row r="921" customFormat="false" ht="15" hidden="false" customHeight="false" outlineLevel="0" collapsed="false">
      <c r="A921" s="18" t="n">
        <v>45982</v>
      </c>
      <c r="B921" s="19" t="n">
        <v>15700535188.89</v>
      </c>
      <c r="C921" s="19" t="n">
        <v>321009467.68</v>
      </c>
      <c r="D921" s="19" t="n">
        <v>433843212</v>
      </c>
      <c r="E921" s="21" t="n">
        <f aca="false">B921+C921</f>
        <v>16021544656.57</v>
      </c>
      <c r="F921" s="21" t="n">
        <f aca="false">E921+D921</f>
        <v>16455387868.57</v>
      </c>
      <c r="G921" s="22" t="n">
        <f aca="false">IFERROR(C921/E921,0)</f>
        <v>0.0200361122826171</v>
      </c>
      <c r="H921" s="19" t="n">
        <v>5695236</v>
      </c>
      <c r="I921" s="19" t="n">
        <v>220169</v>
      </c>
      <c r="J921" s="19" t="n">
        <v>54717</v>
      </c>
      <c r="K921" s="21" t="n">
        <f aca="false">H921+I921</f>
        <v>5915405</v>
      </c>
      <c r="L921" s="19" t="n">
        <v>92996.4427865853</v>
      </c>
      <c r="M921" s="21" t="n">
        <f aca="false">H921-L921</f>
        <v>5602239.55721341</v>
      </c>
      <c r="N921" s="23" t="n">
        <f aca="false">IFERROR(M921/B921*10000,0)</f>
        <v>3.56818381654765</v>
      </c>
      <c r="O921" s="19" t="n">
        <v>5246835</v>
      </c>
      <c r="P921" s="19" t="n">
        <v>170154</v>
      </c>
      <c r="Q921" s="21" t="n">
        <f aca="false">O921+P921</f>
        <v>5416989</v>
      </c>
      <c r="R921" s="22" t="n">
        <f aca="false">IF(A921&lt;HlpChangeDate,HlpSharePre,HlpSharePost)</f>
        <v>0.01</v>
      </c>
      <c r="S921" s="21" t="n">
        <f aca="false">Q921*R921/(1-R921)</f>
        <v>54717.0606060606</v>
      </c>
      <c r="T921" s="19" t="n">
        <v>54717</v>
      </c>
      <c r="U921" s="21" t="n">
        <f aca="false">S921-T921</f>
        <v>0.0606060606078245</v>
      </c>
      <c r="V921" s="21" t="n">
        <f aca="false">Y921-O921*R921/(1-R921)</f>
        <v>395401.666666667</v>
      </c>
      <c r="W921" s="21" t="n">
        <f aca="false">Z921-P921*R921/(1-R921)</f>
        <v>48296.2727272727</v>
      </c>
      <c r="X921" s="21" t="n">
        <f aca="false">S921+V921+W921</f>
        <v>498415</v>
      </c>
      <c r="Y921" s="19" t="n">
        <v>448400</v>
      </c>
      <c r="Z921" s="19" t="n">
        <v>50015</v>
      </c>
      <c r="AA921" s="19" t="n">
        <v>5416989</v>
      </c>
      <c r="AB921" s="29" t="n">
        <v>33.842</v>
      </c>
      <c r="AC921" s="29" t="n">
        <v>35.38125</v>
      </c>
      <c r="AD921" s="24" t="n">
        <f aca="false">IFERROR(AA921/AC921,0)</f>
        <v>153103.381028087</v>
      </c>
      <c r="AE921" s="25" t="n">
        <f aca="false">K921-Q921-X921</f>
        <v>1</v>
      </c>
      <c r="AF921" s="25" t="n">
        <f aca="false">Q921-AA921</f>
        <v>0</v>
      </c>
      <c r="AG921" s="19" t="n">
        <v>4714480.94715798</v>
      </c>
      <c r="AH921" s="26" t="n">
        <f aca="false">IFERROR(AG921/Q921,0)</f>
        <v>0.870313922948335</v>
      </c>
      <c r="AI921" s="27" t="n">
        <v>407726369.62212</v>
      </c>
      <c r="AJ921" s="26" t="n">
        <f aca="false">IF(AI921&gt;0,AprCoef/SQRT(AI921),0)</f>
        <v>0.0234743697808045</v>
      </c>
      <c r="AK921" s="24" t="n">
        <f aca="false">AI921*AJ921/365</f>
        <v>26222.2453969715</v>
      </c>
      <c r="AL921" s="24" t="n">
        <f aca="false">AD921</f>
        <v>153103.381028087</v>
      </c>
      <c r="AM921" s="24" t="n">
        <f aca="false">AK921-AL921</f>
        <v>-126881.135631115</v>
      </c>
      <c r="AN921" s="28" t="str">
        <f aca="false">IF(A921&gt;=Hip3LaunchDate,"YES","")</f>
        <v>YES</v>
      </c>
      <c r="AO921" s="28" t="str">
        <f aca="false">IF(A921&lt;Hip4LaunchDate,"pre-launch","live (zero-fee)")</f>
        <v>pre-launch</v>
      </c>
      <c r="AP921" s="30" t="n">
        <v>12</v>
      </c>
      <c r="AQ921" s="30" t="n">
        <v>0</v>
      </c>
      <c r="AR921" s="19" t="n">
        <v>92996.4427865853</v>
      </c>
    </row>
    <row r="922" customFormat="false" ht="15" hidden="false" customHeight="false" outlineLevel="0" collapsed="false">
      <c r="A922" s="18" t="n">
        <v>45983</v>
      </c>
      <c r="B922" s="19" t="n">
        <v>4596310537.95</v>
      </c>
      <c r="C922" s="19" t="n">
        <v>56479977.83</v>
      </c>
      <c r="D922" s="19" t="n">
        <v>235858539</v>
      </c>
      <c r="E922" s="21" t="n">
        <f aca="false">B922+C922</f>
        <v>4652790515.78</v>
      </c>
      <c r="F922" s="21" t="n">
        <f aca="false">E922+D922</f>
        <v>4888649054.78</v>
      </c>
      <c r="G922" s="22" t="n">
        <f aca="false">IFERROR(C922/E922,0)</f>
        <v>0.0121389470766946</v>
      </c>
      <c r="H922" s="19" t="n">
        <v>1837408</v>
      </c>
      <c r="I922" s="19" t="n">
        <v>118691</v>
      </c>
      <c r="J922" s="19" t="n">
        <v>17732</v>
      </c>
      <c r="K922" s="21" t="n">
        <f aca="false">H922+I922</f>
        <v>1956099</v>
      </c>
      <c r="L922" s="19" t="n">
        <v>16362.2495780296</v>
      </c>
      <c r="M922" s="21" t="n">
        <f aca="false">H922-L922</f>
        <v>1821045.75042197</v>
      </c>
      <c r="N922" s="23" t="n">
        <f aca="false">IFERROR(M922/B922*10000,0)</f>
        <v>3.96197283753194</v>
      </c>
      <c r="O922" s="19" t="n">
        <v>1656238</v>
      </c>
      <c r="P922" s="19" t="n">
        <v>99253</v>
      </c>
      <c r="Q922" s="21" t="n">
        <f aca="false">O922+P922</f>
        <v>1755491</v>
      </c>
      <c r="R922" s="22" t="n">
        <f aca="false">IF(A922&lt;HlpChangeDate,HlpSharePre,HlpSharePost)</f>
        <v>0.01</v>
      </c>
      <c r="S922" s="21" t="n">
        <f aca="false">Q922*R922/(1-R922)</f>
        <v>17732.2323232323</v>
      </c>
      <c r="T922" s="19" t="n">
        <v>17732</v>
      </c>
      <c r="U922" s="21" t="n">
        <f aca="false">S922-T922</f>
        <v>0.232323232321505</v>
      </c>
      <c r="V922" s="21" t="n">
        <f aca="false">Y922-O922*R922/(1-R922)</f>
        <v>164440.323232323</v>
      </c>
      <c r="W922" s="21" t="n">
        <f aca="false">Z922-P922*R922/(1-R922)</f>
        <v>18435.4444444444</v>
      </c>
      <c r="X922" s="21" t="n">
        <f aca="false">S922+V922+W922</f>
        <v>200608</v>
      </c>
      <c r="Y922" s="19" t="n">
        <v>181170</v>
      </c>
      <c r="Z922" s="19" t="n">
        <v>19438</v>
      </c>
      <c r="AA922" s="19" t="n">
        <v>1755491</v>
      </c>
      <c r="AB922" s="29" t="n">
        <v>29.957</v>
      </c>
      <c r="AC922" s="29" t="n">
        <v>31.9195</v>
      </c>
      <c r="AD922" s="24" t="n">
        <f aca="false">IFERROR(AA922/AC922,0)</f>
        <v>54997.4467018594</v>
      </c>
      <c r="AE922" s="25" t="n">
        <f aca="false">K922-Q922-X922</f>
        <v>0</v>
      </c>
      <c r="AF922" s="25" t="n">
        <f aca="false">Q922-AA922</f>
        <v>0</v>
      </c>
      <c r="AG922" s="19" t="n">
        <v>1368421.56463909</v>
      </c>
      <c r="AH922" s="26" t="n">
        <f aca="false">IFERROR(AG922/Q922,0)</f>
        <v>0.77950930232003</v>
      </c>
      <c r="AI922" s="27" t="n">
        <v>407881136.368664</v>
      </c>
      <c r="AJ922" s="26" t="n">
        <f aca="false">IF(AI922&gt;0,AprCoef/SQRT(AI922),0)</f>
        <v>0.0234699157913801</v>
      </c>
      <c r="AK922" s="24" t="n">
        <f aca="false">AI922*AJ922/365</f>
        <v>26227.2217081232</v>
      </c>
      <c r="AL922" s="24" t="n">
        <f aca="false">AD922</f>
        <v>54997.4467018594</v>
      </c>
      <c r="AM922" s="24" t="n">
        <f aca="false">AK922-AL922</f>
        <v>-28770.2249937362</v>
      </c>
      <c r="AN922" s="28" t="str">
        <f aca="false">IF(A922&gt;=Hip3LaunchDate,"YES","")</f>
        <v>YES</v>
      </c>
      <c r="AO922" s="28" t="str">
        <f aca="false">IF(A922&lt;Hip4LaunchDate,"pre-launch","live (zero-fee)")</f>
        <v>pre-launch</v>
      </c>
      <c r="AP922" s="30" t="n">
        <v>12</v>
      </c>
      <c r="AQ922" s="30" t="n">
        <v>0</v>
      </c>
      <c r="AR922" s="19" t="n">
        <v>16362.2495780296</v>
      </c>
    </row>
    <row r="923" customFormat="false" ht="15" hidden="false" customHeight="false" outlineLevel="0" collapsed="false">
      <c r="A923" s="18" t="n">
        <v>45984</v>
      </c>
      <c r="B923" s="19" t="n">
        <v>6165947183.88</v>
      </c>
      <c r="C923" s="19" t="n">
        <v>54384435.06</v>
      </c>
      <c r="D923" s="19" t="n">
        <v>207505994</v>
      </c>
      <c r="E923" s="21" t="n">
        <f aca="false">B923+C923</f>
        <v>6220331618.94</v>
      </c>
      <c r="F923" s="21" t="n">
        <f aca="false">E923+D923</f>
        <v>6427837612.94</v>
      </c>
      <c r="G923" s="22" t="n">
        <f aca="false">IFERROR(C923/E923,0)</f>
        <v>0.0087430121722783</v>
      </c>
      <c r="H923" s="19" t="n">
        <v>2394961</v>
      </c>
      <c r="I923" s="19" t="n">
        <v>116277</v>
      </c>
      <c r="J923" s="19" t="n">
        <v>23089</v>
      </c>
      <c r="K923" s="21" t="n">
        <f aca="false">H923+I923</f>
        <v>2511238</v>
      </c>
      <c r="L923" s="19" t="n">
        <v>2092.14779520525</v>
      </c>
      <c r="M923" s="21" t="n">
        <f aca="false">H923-L923</f>
        <v>2392868.85220479</v>
      </c>
      <c r="N923" s="23" t="n">
        <f aca="false">IFERROR(M923/B923*10000,0)</f>
        <v>3.88078065031211</v>
      </c>
      <c r="O923" s="19" t="n">
        <v>2195278</v>
      </c>
      <c r="P923" s="19" t="n">
        <v>90553</v>
      </c>
      <c r="Q923" s="21" t="n">
        <f aca="false">O923+P923</f>
        <v>2285831</v>
      </c>
      <c r="R923" s="22" t="n">
        <f aca="false">IF(A923&lt;HlpChangeDate,HlpSharePre,HlpSharePost)</f>
        <v>0.01</v>
      </c>
      <c r="S923" s="21" t="n">
        <f aca="false">Q923*R923/(1-R923)</f>
        <v>23089.202020202</v>
      </c>
      <c r="T923" s="19" t="n">
        <v>23089</v>
      </c>
      <c r="U923" s="21" t="n">
        <f aca="false">S923-T923</f>
        <v>0.202020202021231</v>
      </c>
      <c r="V923" s="21" t="n">
        <f aca="false">Y923-O923*R923/(1-R923)</f>
        <v>177508.474747475</v>
      </c>
      <c r="W923" s="21" t="n">
        <f aca="false">Z923-P923*R923/(1-R923)</f>
        <v>24809.3232323232</v>
      </c>
      <c r="X923" s="21" t="n">
        <f aca="false">S923+V923+W923</f>
        <v>225407</v>
      </c>
      <c r="Y923" s="19" t="n">
        <v>199683</v>
      </c>
      <c r="Z923" s="19" t="n">
        <v>25724</v>
      </c>
      <c r="AA923" s="19" t="n">
        <v>2285831</v>
      </c>
      <c r="AB923" s="29" t="n">
        <v>31.869</v>
      </c>
      <c r="AC923" s="29" t="n">
        <v>31.02225</v>
      </c>
      <c r="AD923" s="24" t="n">
        <f aca="false">IFERROR(AA923/AC923,0)</f>
        <v>73683.5980626808</v>
      </c>
      <c r="AE923" s="25" t="n">
        <f aca="false">K923-Q923-X923</f>
        <v>0</v>
      </c>
      <c r="AF923" s="25" t="n">
        <f aca="false">Q923-AA923</f>
        <v>0</v>
      </c>
      <c r="AG923" s="19" t="n">
        <v>1813596.2765249</v>
      </c>
      <c r="AH923" s="26" t="n">
        <f aca="false">IFERROR(AG923/Q923,0)</f>
        <v>0.793407857590916</v>
      </c>
      <c r="AI923" s="27" t="n">
        <v>408035903.115207</v>
      </c>
      <c r="AJ923" s="26" t="n">
        <f aca="false">IF(AI923&gt;0,AprCoef/SQRT(AI923),0)</f>
        <v>0.0234654643362725</v>
      </c>
      <c r="AK923" s="24" t="n">
        <f aca="false">AI923*AJ923/365</f>
        <v>26232.1970752566</v>
      </c>
      <c r="AL923" s="24" t="n">
        <f aca="false">AD923</f>
        <v>73683.5980626808</v>
      </c>
      <c r="AM923" s="24" t="n">
        <f aca="false">AK923-AL923</f>
        <v>-47451.4009874242</v>
      </c>
      <c r="AN923" s="28" t="str">
        <f aca="false">IF(A923&gt;=Hip3LaunchDate,"YES","")</f>
        <v>YES</v>
      </c>
      <c r="AO923" s="28" t="str">
        <f aca="false">IF(A923&lt;Hip4LaunchDate,"pre-launch","live (zero-fee)")</f>
        <v>pre-launch</v>
      </c>
      <c r="AP923" s="30" t="n">
        <v>12</v>
      </c>
      <c r="AQ923" s="30" t="n">
        <v>9</v>
      </c>
      <c r="AR923" s="19" t="n">
        <v>2092.14779520525</v>
      </c>
    </row>
    <row r="924" customFormat="false" ht="15" hidden="false" customHeight="false" outlineLevel="0" collapsed="false">
      <c r="A924" s="18" t="n">
        <v>45985</v>
      </c>
      <c r="B924" s="19" t="n">
        <v>9428477851.88</v>
      </c>
      <c r="C924" s="19" t="n">
        <v>447191479.34</v>
      </c>
      <c r="D924" s="19" t="n">
        <v>279378464</v>
      </c>
      <c r="E924" s="21" t="n">
        <f aca="false">B924+C924</f>
        <v>9875669331.22</v>
      </c>
      <c r="F924" s="21" t="n">
        <f aca="false">E924+D924</f>
        <v>10155047795.22</v>
      </c>
      <c r="G924" s="22" t="n">
        <f aca="false">IFERROR(C924/E924,0)</f>
        <v>0.0452821438569527</v>
      </c>
      <c r="H924" s="19" t="n">
        <v>3462385</v>
      </c>
      <c r="I924" s="19" t="n">
        <v>128678</v>
      </c>
      <c r="J924" s="19" t="n">
        <v>33175</v>
      </c>
      <c r="K924" s="21" t="n">
        <f aca="false">H924+I924</f>
        <v>3591063</v>
      </c>
      <c r="L924" s="19" t="n">
        <v>13824.8272571475</v>
      </c>
      <c r="M924" s="21" t="n">
        <f aca="false">H924-L924</f>
        <v>3448560.17274285</v>
      </c>
      <c r="N924" s="23" t="n">
        <f aca="false">IFERROR(M924/B924*10000,0)</f>
        <v>3.65760012052765</v>
      </c>
      <c r="O924" s="19" t="n">
        <v>3182394</v>
      </c>
      <c r="P924" s="19" t="n">
        <v>101913</v>
      </c>
      <c r="Q924" s="21" t="n">
        <f aca="false">O924+P924</f>
        <v>3284307</v>
      </c>
      <c r="R924" s="22" t="n">
        <f aca="false">IF(A924&lt;HlpChangeDate,HlpSharePre,HlpSharePost)</f>
        <v>0.01</v>
      </c>
      <c r="S924" s="21" t="n">
        <f aca="false">Q924*R924/(1-R924)</f>
        <v>33174.8181818182</v>
      </c>
      <c r="T924" s="19" t="n">
        <v>33175</v>
      </c>
      <c r="U924" s="21" t="n">
        <f aca="false">S924-T924</f>
        <v>-0.181818181816197</v>
      </c>
      <c r="V924" s="21" t="n">
        <f aca="false">Y924-O924*R924/(1-R924)</f>
        <v>247845.606060606</v>
      </c>
      <c r="W924" s="21" t="n">
        <f aca="false">Z924-P924*R924/(1-R924)</f>
        <v>25735.5757575758</v>
      </c>
      <c r="X924" s="21" t="n">
        <f aca="false">S924+V924+W924</f>
        <v>306756</v>
      </c>
      <c r="Y924" s="19" t="n">
        <v>279991</v>
      </c>
      <c r="Z924" s="19" t="n">
        <v>26765</v>
      </c>
      <c r="AA924" s="19" t="n">
        <v>3284307</v>
      </c>
      <c r="AB924" s="29" t="n">
        <v>33.722</v>
      </c>
      <c r="AC924" s="29" t="n">
        <v>32.556</v>
      </c>
      <c r="AD924" s="24" t="n">
        <f aca="false">IFERROR(AA924/AC924,0)</f>
        <v>100881.772945079</v>
      </c>
      <c r="AE924" s="25" t="n">
        <f aca="false">K924-Q924-X924</f>
        <v>0</v>
      </c>
      <c r="AF924" s="25" t="n">
        <f aca="false">Q924-AA924</f>
        <v>0</v>
      </c>
      <c r="AG924" s="19" t="n">
        <v>2582810.66534102</v>
      </c>
      <c r="AH924" s="26" t="n">
        <f aca="false">IFERROR(AG924/Q924,0)</f>
        <v>0.786409633856098</v>
      </c>
      <c r="AI924" s="27" t="n">
        <v>408190669.861751</v>
      </c>
      <c r="AJ924" s="26" t="n">
        <f aca="false">IF(AI924&gt;0,AprCoef/SQRT(AI924),0)</f>
        <v>0.0234610154130794</v>
      </c>
      <c r="AK924" s="24" t="n">
        <f aca="false">AI924*AJ924/365</f>
        <v>26237.1714989088</v>
      </c>
      <c r="AL924" s="24" t="n">
        <f aca="false">AD924</f>
        <v>100881.772945079</v>
      </c>
      <c r="AM924" s="24" t="n">
        <f aca="false">AK924-AL924</f>
        <v>-74644.6014461704</v>
      </c>
      <c r="AN924" s="28" t="str">
        <f aca="false">IF(A924&gt;=Hip3LaunchDate,"YES","")</f>
        <v>YES</v>
      </c>
      <c r="AO924" s="28" t="str">
        <f aca="false">IF(A924&lt;Hip4LaunchDate,"pre-launch","live (zero-fee)")</f>
        <v>pre-launch</v>
      </c>
      <c r="AP924" s="30" t="n">
        <v>13</v>
      </c>
      <c r="AQ924" s="30" t="n">
        <v>11</v>
      </c>
      <c r="AR924" s="19" t="n">
        <v>13824.8272571475</v>
      </c>
    </row>
    <row r="925" customFormat="false" ht="15" hidden="false" customHeight="false" outlineLevel="0" collapsed="false">
      <c r="A925" s="18" t="n">
        <v>45986</v>
      </c>
      <c r="B925" s="19" t="n">
        <v>7560665189.07</v>
      </c>
      <c r="C925" s="19" t="n">
        <v>527411695.66</v>
      </c>
      <c r="D925" s="19" t="n">
        <v>253234221</v>
      </c>
      <c r="E925" s="21" t="n">
        <f aca="false">B925+C925</f>
        <v>8088076884.73</v>
      </c>
      <c r="F925" s="21" t="n">
        <f aca="false">E925+D925</f>
        <v>8341311105.73</v>
      </c>
      <c r="G925" s="22" t="n">
        <f aca="false">IFERROR(C925/E925,0)</f>
        <v>0.0652085413104485</v>
      </c>
      <c r="H925" s="19" t="n">
        <v>2934181</v>
      </c>
      <c r="I925" s="19" t="n">
        <v>125607</v>
      </c>
      <c r="J925" s="19" t="n">
        <v>28228</v>
      </c>
      <c r="K925" s="21" t="n">
        <f aca="false">H925+I925</f>
        <v>3059788</v>
      </c>
      <c r="L925" s="19" t="n">
        <v>15907.6124253054</v>
      </c>
      <c r="M925" s="21" t="n">
        <f aca="false">H925-L925</f>
        <v>2918273.38757469</v>
      </c>
      <c r="N925" s="23" t="n">
        <f aca="false">IFERROR(M925/B925*10000,0)</f>
        <v>3.85981036667708</v>
      </c>
      <c r="O925" s="19" t="n">
        <v>2695439</v>
      </c>
      <c r="P925" s="19" t="n">
        <v>99165</v>
      </c>
      <c r="Q925" s="21" t="n">
        <f aca="false">O925+P925</f>
        <v>2794604</v>
      </c>
      <c r="R925" s="22" t="n">
        <f aca="false">IF(A925&lt;HlpChangeDate,HlpSharePre,HlpSharePost)</f>
        <v>0.01</v>
      </c>
      <c r="S925" s="21" t="n">
        <f aca="false">Q925*R925/(1-R925)</f>
        <v>28228.3232323232</v>
      </c>
      <c r="T925" s="19" t="n">
        <v>28228</v>
      </c>
      <c r="U925" s="21" t="n">
        <f aca="false">S925-T925</f>
        <v>0.323232323233242</v>
      </c>
      <c r="V925" s="21" t="n">
        <f aca="false">Y925-O925*R925/(1-R925)</f>
        <v>211515.343434343</v>
      </c>
      <c r="W925" s="21" t="n">
        <f aca="false">Z925-P925*R925/(1-R925)</f>
        <v>25440.3333333333</v>
      </c>
      <c r="X925" s="21" t="n">
        <f aca="false">S925+V925+W925</f>
        <v>265184</v>
      </c>
      <c r="Y925" s="19" t="n">
        <v>238742</v>
      </c>
      <c r="Z925" s="19" t="n">
        <v>26442</v>
      </c>
      <c r="AA925" s="19" t="n">
        <v>2794604</v>
      </c>
      <c r="AB925" s="29" t="n">
        <v>33.737</v>
      </c>
      <c r="AC925" s="29" t="n">
        <v>33.5765</v>
      </c>
      <c r="AD925" s="24" t="n">
        <f aca="false">IFERROR(AA925/AC925,0)</f>
        <v>83230.9502181585</v>
      </c>
      <c r="AE925" s="25" t="n">
        <f aca="false">K925-Q925-X925</f>
        <v>0</v>
      </c>
      <c r="AF925" s="25" t="n">
        <f aca="false">Q925-AA925</f>
        <v>0</v>
      </c>
      <c r="AG925" s="19" t="n">
        <v>2226924.04128897</v>
      </c>
      <c r="AH925" s="26" t="n">
        <f aca="false">IFERROR(AG925/Q925,0)</f>
        <v>0.79686568876627</v>
      </c>
      <c r="AI925" s="27" t="n">
        <v>408345436.608295</v>
      </c>
      <c r="AJ925" s="26" t="n">
        <f aca="false">IF(AI925&gt;0,AprCoef/SQRT(AI925),0)</f>
        <v>0.0234565690194012</v>
      </c>
      <c r="AK925" s="24" t="n">
        <f aca="false">AI925*AJ925/365</f>
        <v>26242.1449796164</v>
      </c>
      <c r="AL925" s="24" t="n">
        <f aca="false">AD925</f>
        <v>83230.9502181585</v>
      </c>
      <c r="AM925" s="24" t="n">
        <f aca="false">AK925-AL925</f>
        <v>-56988.8052385421</v>
      </c>
      <c r="AN925" s="28" t="str">
        <f aca="false">IF(A925&gt;=Hip3LaunchDate,"YES","")</f>
        <v>YES</v>
      </c>
      <c r="AO925" s="28" t="str">
        <f aca="false">IF(A925&lt;Hip4LaunchDate,"pre-launch","live (zero-fee)")</f>
        <v>pre-launch</v>
      </c>
      <c r="AP925" s="30" t="n">
        <v>16</v>
      </c>
      <c r="AQ925" s="30" t="n">
        <v>13</v>
      </c>
      <c r="AR925" s="19" t="n">
        <v>15907.6124253054</v>
      </c>
    </row>
    <row r="926" customFormat="false" ht="15" hidden="false" customHeight="false" outlineLevel="0" collapsed="false">
      <c r="A926" s="18" t="n">
        <v>45987</v>
      </c>
      <c r="B926" s="19" t="n">
        <v>6851266930.15</v>
      </c>
      <c r="C926" s="19" t="n">
        <v>398396017.33</v>
      </c>
      <c r="D926" s="19" t="n">
        <v>238109466</v>
      </c>
      <c r="E926" s="21" t="n">
        <f aca="false">B926+C926</f>
        <v>7249662947.48</v>
      </c>
      <c r="F926" s="21" t="n">
        <f aca="false">E926+D926</f>
        <v>7487772413.48</v>
      </c>
      <c r="G926" s="22" t="n">
        <f aca="false">IFERROR(C926/E926,0)</f>
        <v>0.0549537296031788</v>
      </c>
      <c r="H926" s="19" t="n">
        <v>2624329</v>
      </c>
      <c r="I926" s="19" t="n">
        <v>129077</v>
      </c>
      <c r="J926" s="19" t="n">
        <v>25095</v>
      </c>
      <c r="K926" s="21" t="n">
        <f aca="false">H926+I926</f>
        <v>2753406</v>
      </c>
      <c r="L926" s="19" t="n">
        <v>12392.481867023</v>
      </c>
      <c r="M926" s="21" t="n">
        <f aca="false">H926-L926</f>
        <v>2611936.51813298</v>
      </c>
      <c r="N926" s="23" t="n">
        <f aca="false">IFERROR(M926/B926*10000,0)</f>
        <v>3.81234090681647</v>
      </c>
      <c r="O926" s="19" t="n">
        <v>2385572</v>
      </c>
      <c r="P926" s="19" t="n">
        <v>98810</v>
      </c>
      <c r="Q926" s="21" t="n">
        <f aca="false">O926+P926</f>
        <v>2484382</v>
      </c>
      <c r="R926" s="22" t="n">
        <f aca="false">IF(A926&lt;HlpChangeDate,HlpSharePre,HlpSharePost)</f>
        <v>0.01</v>
      </c>
      <c r="S926" s="21" t="n">
        <f aca="false">Q926*R926/(1-R926)</f>
        <v>25094.7676767677</v>
      </c>
      <c r="T926" s="19" t="n">
        <v>25095</v>
      </c>
      <c r="U926" s="21" t="n">
        <f aca="false">S926-T926</f>
        <v>-0.232323232321505</v>
      </c>
      <c r="V926" s="21" t="n">
        <f aca="false">Y926-O926*R926/(1-R926)</f>
        <v>214660.313131313</v>
      </c>
      <c r="W926" s="21" t="n">
        <f aca="false">Z926-P926*R926/(1-R926)</f>
        <v>29269.9191919192</v>
      </c>
      <c r="X926" s="21" t="n">
        <f aca="false">S926+V926+W926</f>
        <v>269025</v>
      </c>
      <c r="Y926" s="19" t="n">
        <v>238757</v>
      </c>
      <c r="Z926" s="19" t="n">
        <v>30268</v>
      </c>
      <c r="AA926" s="19" t="n">
        <v>2484382</v>
      </c>
      <c r="AB926" s="29" t="n">
        <v>36.248</v>
      </c>
      <c r="AC926" s="29" t="n">
        <v>34.85225</v>
      </c>
      <c r="AD926" s="24" t="n">
        <f aca="false">IFERROR(AA926/AC926,0)</f>
        <v>71283.2600477731</v>
      </c>
      <c r="AE926" s="25" t="n">
        <f aca="false">K926-Q926-X926</f>
        <v>-1</v>
      </c>
      <c r="AF926" s="25" t="n">
        <f aca="false">Q926-AA926</f>
        <v>0</v>
      </c>
      <c r="AG926" s="19" t="n">
        <v>1990394.74779701</v>
      </c>
      <c r="AH926" s="26" t="n">
        <f aca="false">IFERROR(AG926/Q926,0)</f>
        <v>0.801162924138483</v>
      </c>
      <c r="AI926" s="27" t="n">
        <v>408500203.354839</v>
      </c>
      <c r="AJ926" s="26" t="n">
        <f aca="false">IF(AI926&gt;0,AprCoef/SQRT(AI926),0)</f>
        <v>0.0234521251528421</v>
      </c>
      <c r="AK926" s="24" t="n">
        <f aca="false">AI926*AJ926/365</f>
        <v>26247.1175179154</v>
      </c>
      <c r="AL926" s="24" t="n">
        <f aca="false">AD926</f>
        <v>71283.2600477731</v>
      </c>
      <c r="AM926" s="24" t="n">
        <f aca="false">AK926-AL926</f>
        <v>-45036.1425298577</v>
      </c>
      <c r="AN926" s="28" t="str">
        <f aca="false">IF(A926&gt;=Hip3LaunchDate,"YES","")</f>
        <v>YES</v>
      </c>
      <c r="AO926" s="28" t="str">
        <f aca="false">IF(A926&lt;Hip4LaunchDate,"pre-launch","live (zero-fee)")</f>
        <v>pre-launch</v>
      </c>
      <c r="AP926" s="30" t="n">
        <v>17</v>
      </c>
      <c r="AQ926" s="30" t="n">
        <v>14</v>
      </c>
      <c r="AR926" s="19" t="n">
        <v>12392.481867023</v>
      </c>
    </row>
    <row r="927" customFormat="false" ht="15" hidden="false" customHeight="false" outlineLevel="0" collapsed="false">
      <c r="A927" s="18" t="n">
        <v>45988</v>
      </c>
      <c r="B927" s="19" t="n">
        <v>4534095996.13</v>
      </c>
      <c r="C927" s="19" t="n">
        <v>188984049.67</v>
      </c>
      <c r="D927" s="19" t="n">
        <v>247442973</v>
      </c>
      <c r="E927" s="21" t="n">
        <f aca="false">B927+C927</f>
        <v>4723080045.8</v>
      </c>
      <c r="F927" s="21" t="n">
        <f aca="false">E927+D927</f>
        <v>4970523018.8</v>
      </c>
      <c r="G927" s="22" t="n">
        <f aca="false">IFERROR(C927/E927,0)</f>
        <v>0.0400128830842183</v>
      </c>
      <c r="H927" s="19" t="n">
        <v>1851782</v>
      </c>
      <c r="I927" s="19" t="n">
        <v>125247</v>
      </c>
      <c r="J927" s="19" t="n">
        <v>17583</v>
      </c>
      <c r="K927" s="21" t="n">
        <f aca="false">H927+I927</f>
        <v>1977029</v>
      </c>
      <c r="L927" s="19" t="n">
        <v>6186.4434422418</v>
      </c>
      <c r="M927" s="21" t="n">
        <f aca="false">H927-L927</f>
        <v>1845595.55655776</v>
      </c>
      <c r="N927" s="23" t="n">
        <f aca="false">IFERROR(M927/B927*10000,0)</f>
        <v>4.07048187363707</v>
      </c>
      <c r="O927" s="19" t="n">
        <v>1638685</v>
      </c>
      <c r="P927" s="19" t="n">
        <v>102079</v>
      </c>
      <c r="Q927" s="21" t="n">
        <f aca="false">O927+P927</f>
        <v>1740764</v>
      </c>
      <c r="R927" s="22" t="n">
        <f aca="false">IF(A927&lt;HlpChangeDate,HlpSharePre,HlpSharePost)</f>
        <v>0.01</v>
      </c>
      <c r="S927" s="21" t="n">
        <f aca="false">Q927*R927/(1-R927)</f>
        <v>17583.4747474747</v>
      </c>
      <c r="T927" s="19" t="n">
        <v>17583</v>
      </c>
      <c r="U927" s="21" t="n">
        <f aca="false">S927-T927</f>
        <v>0.474747474745527</v>
      </c>
      <c r="V927" s="21" t="n">
        <f aca="false">Y927-O927*R927/(1-R927)</f>
        <v>196545.626262626</v>
      </c>
      <c r="W927" s="21" t="n">
        <f aca="false">Z927-P927*R927/(1-R927)</f>
        <v>22136.898989899</v>
      </c>
      <c r="X927" s="21" t="n">
        <f aca="false">S927+V927+W927</f>
        <v>236266</v>
      </c>
      <c r="Y927" s="19" t="n">
        <v>213098</v>
      </c>
      <c r="Z927" s="19" t="n">
        <v>23168</v>
      </c>
      <c r="AA927" s="19" t="n">
        <v>1740764</v>
      </c>
      <c r="AB927" s="29" t="n">
        <v>34.736</v>
      </c>
      <c r="AC927" s="29" t="n">
        <v>35.501</v>
      </c>
      <c r="AD927" s="24" t="n">
        <f aca="false">IFERROR(AA927/AC927,0)</f>
        <v>49034.2243880454</v>
      </c>
      <c r="AE927" s="25" t="n">
        <f aca="false">K927-Q927-X927</f>
        <v>-1</v>
      </c>
      <c r="AF927" s="25" t="n">
        <f aca="false">Q927-AA927</f>
        <v>0</v>
      </c>
      <c r="AG927" s="19" t="n">
        <v>1373731.82028699</v>
      </c>
      <c r="AH927" s="26" t="n">
        <f aca="false">IFERROR(AG927/Q927,0)</f>
        <v>0.789154543802025</v>
      </c>
      <c r="AI927" s="27" t="n">
        <v>408654970.101383</v>
      </c>
      <c r="AJ927" s="26" t="n">
        <f aca="false">IF(AI927&gt;0,AprCoef/SQRT(AI927),0)</f>
        <v>0.023447683811009</v>
      </c>
      <c r="AK927" s="24" t="n">
        <f aca="false">AI927*AJ927/365</f>
        <v>26252.0891143413</v>
      </c>
      <c r="AL927" s="24" t="n">
        <f aca="false">AD927</f>
        <v>49034.2243880454</v>
      </c>
      <c r="AM927" s="24" t="n">
        <f aca="false">AK927-AL927</f>
        <v>-22782.1352737041</v>
      </c>
      <c r="AN927" s="28" t="str">
        <f aca="false">IF(A927&gt;=Hip3LaunchDate,"YES","")</f>
        <v>YES</v>
      </c>
      <c r="AO927" s="28" t="str">
        <f aca="false">IF(A927&lt;Hip4LaunchDate,"pre-launch","live (zero-fee)")</f>
        <v>pre-launch</v>
      </c>
      <c r="AP927" s="30" t="n">
        <v>17</v>
      </c>
      <c r="AQ927" s="30" t="n">
        <v>14</v>
      </c>
      <c r="AR927" s="19" t="n">
        <v>6186.4434422418</v>
      </c>
    </row>
    <row r="928" customFormat="false" ht="15" hidden="false" customHeight="false" outlineLevel="0" collapsed="false">
      <c r="A928" s="18" t="n">
        <v>45989</v>
      </c>
      <c r="B928" s="19" t="n">
        <v>5243667224.09</v>
      </c>
      <c r="C928" s="19" t="n">
        <v>258707694.74</v>
      </c>
      <c r="D928" s="19" t="n">
        <v>239864451</v>
      </c>
      <c r="E928" s="21" t="n">
        <f aca="false">B928+C928</f>
        <v>5502374918.83</v>
      </c>
      <c r="F928" s="21" t="n">
        <f aca="false">E928+D928</f>
        <v>5742239369.83</v>
      </c>
      <c r="G928" s="22" t="n">
        <f aca="false">IFERROR(C928/E928,0)</f>
        <v>0.0470174603796374</v>
      </c>
      <c r="H928" s="19" t="n">
        <v>2165922</v>
      </c>
      <c r="I928" s="19" t="n">
        <v>135613</v>
      </c>
      <c r="J928" s="19" t="n">
        <v>20283</v>
      </c>
      <c r="K928" s="21" t="n">
        <f aca="false">H928+I928</f>
        <v>2301535</v>
      </c>
      <c r="L928" s="19" t="n">
        <v>7844.8023833671</v>
      </c>
      <c r="M928" s="21" t="n">
        <f aca="false">H928-L928</f>
        <v>2158077.19761663</v>
      </c>
      <c r="N928" s="23" t="n">
        <f aca="false">IFERROR(M928/B928*10000,0)</f>
        <v>4.11558763245345</v>
      </c>
      <c r="O928" s="19" t="n">
        <v>1901605</v>
      </c>
      <c r="P928" s="19" t="n">
        <v>106451</v>
      </c>
      <c r="Q928" s="21" t="n">
        <f aca="false">O928+P928</f>
        <v>2008056</v>
      </c>
      <c r="R928" s="22" t="n">
        <f aca="false">IF(A928&lt;HlpChangeDate,HlpSharePre,HlpSharePost)</f>
        <v>0.01</v>
      </c>
      <c r="S928" s="21" t="n">
        <f aca="false">Q928*R928/(1-R928)</f>
        <v>20283.3939393939</v>
      </c>
      <c r="T928" s="19" t="n">
        <v>20283</v>
      </c>
      <c r="U928" s="21" t="n">
        <f aca="false">S928-T928</f>
        <v>0.393939393939945</v>
      </c>
      <c r="V928" s="21" t="n">
        <f aca="false">Y928-O928*R928/(1-R928)</f>
        <v>245108.868686869</v>
      </c>
      <c r="W928" s="21" t="n">
        <f aca="false">Z928-P928*R928/(1-R928)</f>
        <v>28086.7373737374</v>
      </c>
      <c r="X928" s="21" t="n">
        <f aca="false">S928+V928+W928</f>
        <v>293479</v>
      </c>
      <c r="Y928" s="19" t="n">
        <v>264317</v>
      </c>
      <c r="Z928" s="19" t="n">
        <v>29162</v>
      </c>
      <c r="AA928" s="19" t="n">
        <v>2008056</v>
      </c>
      <c r="AB928" s="29" t="n">
        <v>34.938</v>
      </c>
      <c r="AC928" s="29" t="n">
        <v>35.074</v>
      </c>
      <c r="AD928" s="24" t="n">
        <f aca="false">IFERROR(AA928/AC928,0)</f>
        <v>57251.9815247762</v>
      </c>
      <c r="AE928" s="25" t="n">
        <f aca="false">K928-Q928-X928</f>
        <v>0</v>
      </c>
      <c r="AF928" s="25" t="n">
        <f aca="false">Q928-AA928</f>
        <v>0</v>
      </c>
      <c r="AG928" s="19" t="n">
        <v>1536464.66848111</v>
      </c>
      <c r="AH928" s="26" t="n">
        <f aca="false">IFERROR(AG928/Q928,0)</f>
        <v>0.765150308796723</v>
      </c>
      <c r="AI928" s="27" t="n">
        <v>408809736.847926</v>
      </c>
      <c r="AJ928" s="26" t="n">
        <f aca="false">IF(AI928&gt;0,AprCoef/SQRT(AI928),0)</f>
        <v>0.0234432449915123</v>
      </c>
      <c r="AK928" s="24" t="n">
        <f aca="false">AI928*AJ928/365</f>
        <v>26257.0597694291</v>
      </c>
      <c r="AL928" s="24" t="n">
        <f aca="false">AD928</f>
        <v>57251.9815247762</v>
      </c>
      <c r="AM928" s="24" t="n">
        <f aca="false">AK928-AL928</f>
        <v>-30994.9217553471</v>
      </c>
      <c r="AN928" s="28" t="str">
        <f aca="false">IF(A928&gt;=Hip3LaunchDate,"YES","")</f>
        <v>YES</v>
      </c>
      <c r="AO928" s="28" t="str">
        <f aca="false">IF(A928&lt;Hip4LaunchDate,"pre-launch","live (zero-fee)")</f>
        <v>pre-launch</v>
      </c>
      <c r="AP928" s="30" t="n">
        <v>17</v>
      </c>
      <c r="AQ928" s="30" t="n">
        <v>14</v>
      </c>
      <c r="AR928" s="19" t="n">
        <v>7844.8023833671</v>
      </c>
    </row>
    <row r="929" customFormat="false" ht="15" hidden="false" customHeight="false" outlineLevel="0" collapsed="false">
      <c r="A929" s="18" t="n">
        <v>45990</v>
      </c>
      <c r="B929" s="19" t="n">
        <v>2749011804.79</v>
      </c>
      <c r="C929" s="19" t="n">
        <v>138058631.5</v>
      </c>
      <c r="D929" s="19" t="n">
        <v>169134928</v>
      </c>
      <c r="E929" s="21" t="n">
        <f aca="false">B929+C929</f>
        <v>2887070436.29</v>
      </c>
      <c r="F929" s="21" t="n">
        <f aca="false">E929+D929</f>
        <v>3056205364.29</v>
      </c>
      <c r="G929" s="22" t="n">
        <f aca="false">IFERROR(C929/E929,0)</f>
        <v>0.0478196270394465</v>
      </c>
      <c r="H929" s="19" t="n">
        <v>1119249</v>
      </c>
      <c r="I929" s="19" t="n">
        <v>101164</v>
      </c>
      <c r="J929" s="19" t="n">
        <v>10750</v>
      </c>
      <c r="K929" s="21" t="n">
        <f aca="false">H929+I929</f>
        <v>1220413</v>
      </c>
      <c r="L929" s="19" t="n">
        <v>4483.23608900784</v>
      </c>
      <c r="M929" s="21" t="n">
        <f aca="false">H929-L929</f>
        <v>1114765.76391099</v>
      </c>
      <c r="N929" s="23" t="n">
        <f aca="false">IFERROR(M929/B929*10000,0)</f>
        <v>4.05515087992192</v>
      </c>
      <c r="O929" s="19" t="n">
        <v>986726</v>
      </c>
      <c r="P929" s="19" t="n">
        <v>77510</v>
      </c>
      <c r="Q929" s="21" t="n">
        <f aca="false">O929+P929</f>
        <v>1064236</v>
      </c>
      <c r="R929" s="22" t="n">
        <f aca="false">IF(A929&lt;HlpChangeDate,HlpSharePre,HlpSharePost)</f>
        <v>0.01</v>
      </c>
      <c r="S929" s="21" t="n">
        <f aca="false">Q929*R929/(1-R929)</f>
        <v>10749.8585858586</v>
      </c>
      <c r="T929" s="19" t="n">
        <v>10750</v>
      </c>
      <c r="U929" s="21" t="n">
        <f aca="false">S929-T929</f>
        <v>-0.141414141413406</v>
      </c>
      <c r="V929" s="21" t="n">
        <f aca="false">Y929-O929*R929/(1-R929)</f>
        <v>122556.070707071</v>
      </c>
      <c r="W929" s="21" t="n">
        <f aca="false">Z929-P929*R929/(1-R929)</f>
        <v>22871.0707070707</v>
      </c>
      <c r="X929" s="21" t="n">
        <f aca="false">S929+V929+W929</f>
        <v>156177</v>
      </c>
      <c r="Y929" s="19" t="n">
        <v>132523</v>
      </c>
      <c r="Z929" s="19" t="n">
        <v>23654</v>
      </c>
      <c r="AA929" s="19" t="n">
        <v>1064236</v>
      </c>
      <c r="AB929" s="29" t="n">
        <v>34.349</v>
      </c>
      <c r="AC929" s="29" t="n">
        <v>34.947</v>
      </c>
      <c r="AD929" s="24" t="n">
        <f aca="false">IFERROR(AA929/AC929,0)</f>
        <v>30452.8571837354</v>
      </c>
      <c r="AE929" s="25" t="n">
        <f aca="false">K929-Q929-X929</f>
        <v>0</v>
      </c>
      <c r="AF929" s="25" t="n">
        <f aca="false">Q929-AA929</f>
        <v>0</v>
      </c>
      <c r="AG929" s="19" t="n">
        <v>825518.973879933</v>
      </c>
      <c r="AH929" s="26" t="n">
        <f aca="false">IFERROR(AG929/Q929,0)</f>
        <v>0.775691645349277</v>
      </c>
      <c r="AI929" s="27" t="n">
        <v>408964503.59447</v>
      </c>
      <c r="AJ929" s="26" t="n">
        <f aca="false">IF(AI929&gt;0,AprCoef/SQRT(AI929),0)</f>
        <v>0.0234388086919653</v>
      </c>
      <c r="AK929" s="24" t="n">
        <f aca="false">AI929*AJ929/365</f>
        <v>26262.0294837132</v>
      </c>
      <c r="AL929" s="24" t="n">
        <f aca="false">AD929</f>
        <v>30452.8571837354</v>
      </c>
      <c r="AM929" s="24" t="n">
        <f aca="false">AK929-AL929</f>
        <v>-4190.82770002212</v>
      </c>
      <c r="AN929" s="28" t="str">
        <f aca="false">IF(A929&gt;=Hip3LaunchDate,"YES","")</f>
        <v>YES</v>
      </c>
      <c r="AO929" s="28" t="str">
        <f aca="false">IF(A929&lt;Hip4LaunchDate,"pre-launch","live (zero-fee)")</f>
        <v>pre-launch</v>
      </c>
      <c r="AP929" s="30" t="n">
        <v>17</v>
      </c>
      <c r="AQ929" s="30" t="n">
        <v>14</v>
      </c>
      <c r="AR929" s="19" t="n">
        <v>4483.23608900784</v>
      </c>
    </row>
    <row r="930" customFormat="false" ht="15" hidden="false" customHeight="false" outlineLevel="0" collapsed="false">
      <c r="A930" s="18" t="n">
        <v>45991</v>
      </c>
      <c r="B930" s="19" t="n">
        <v>2620049398.72</v>
      </c>
      <c r="C930" s="19" t="n">
        <v>103685934.12</v>
      </c>
      <c r="D930" s="19" t="n">
        <v>139751242</v>
      </c>
      <c r="E930" s="21" t="n">
        <f aca="false">B930+C930</f>
        <v>2723735332.84</v>
      </c>
      <c r="F930" s="21" t="n">
        <f aca="false">E930+D930</f>
        <v>2863486574.84</v>
      </c>
      <c r="G930" s="22" t="n">
        <f aca="false">IFERROR(C930/E930,0)</f>
        <v>0.0380675511566273</v>
      </c>
      <c r="H930" s="19" t="n">
        <v>1139073</v>
      </c>
      <c r="I930" s="19" t="n">
        <v>82329</v>
      </c>
      <c r="J930" s="19" t="n">
        <v>10652</v>
      </c>
      <c r="K930" s="21" t="n">
        <f aca="false">H930+I930</f>
        <v>1221402</v>
      </c>
      <c r="L930" s="19" t="n">
        <v>3522.51573495229</v>
      </c>
      <c r="M930" s="21" t="n">
        <f aca="false">H930-L930</f>
        <v>1135550.48426505</v>
      </c>
      <c r="N930" s="23" t="n">
        <f aca="false">IFERROR(M930/B930*10000,0)</f>
        <v>4.33408043687959</v>
      </c>
      <c r="O930" s="19" t="n">
        <v>988286</v>
      </c>
      <c r="P930" s="19" t="n">
        <v>66269</v>
      </c>
      <c r="Q930" s="21" t="n">
        <f aca="false">O930+P930</f>
        <v>1054555</v>
      </c>
      <c r="R930" s="22" t="n">
        <f aca="false">IF(A930&lt;HlpChangeDate,HlpSharePre,HlpSharePost)</f>
        <v>0.01</v>
      </c>
      <c r="S930" s="21" t="n">
        <f aca="false">Q930*R930/(1-R930)</f>
        <v>10652.0707070707</v>
      </c>
      <c r="T930" s="19" t="n">
        <v>10652</v>
      </c>
      <c r="U930" s="21" t="n">
        <f aca="false">S930-T930</f>
        <v>0.0707070707085222</v>
      </c>
      <c r="V930" s="21" t="n">
        <f aca="false">Y930-O930*R930/(1-R930)</f>
        <v>140804.313131313</v>
      </c>
      <c r="W930" s="21" t="n">
        <f aca="false">Z930-P930*R930/(1-R930)</f>
        <v>15390.6161616162</v>
      </c>
      <c r="X930" s="21" t="n">
        <f aca="false">S930+V930+W930</f>
        <v>166847</v>
      </c>
      <c r="Y930" s="19" t="n">
        <v>150787</v>
      </c>
      <c r="Z930" s="19" t="n">
        <v>16060</v>
      </c>
      <c r="AA930" s="19" t="n">
        <v>1054555</v>
      </c>
      <c r="AB930" s="29" t="n">
        <v>31.894</v>
      </c>
      <c r="AC930" s="29" t="n">
        <v>33.158</v>
      </c>
      <c r="AD930" s="24" t="n">
        <f aca="false">IFERROR(AA930/AC930,0)</f>
        <v>31803.9387176549</v>
      </c>
      <c r="AE930" s="25" t="n">
        <f aca="false">K930-Q930-X930</f>
        <v>0</v>
      </c>
      <c r="AF930" s="25" t="n">
        <f aca="false">Q930-AA930</f>
        <v>0</v>
      </c>
      <c r="AG930" s="19" t="n">
        <v>762856.742693067</v>
      </c>
      <c r="AH930" s="26" t="n">
        <f aca="false">IFERROR(AG930/Q930,0)</f>
        <v>0.723392087366772</v>
      </c>
      <c r="AI930" s="27" t="n">
        <v>409119270.341014</v>
      </c>
      <c r="AJ930" s="26" t="n">
        <f aca="false">IF(AI930&gt;0,AprCoef/SQRT(AI930),0)</f>
        <v>0.0234343749099846</v>
      </c>
      <c r="AK930" s="24" t="n">
        <f aca="false">AI930*AJ930/365</f>
        <v>26266.9982577278</v>
      </c>
      <c r="AL930" s="24" t="n">
        <f aca="false">AD930</f>
        <v>31803.9387176549</v>
      </c>
      <c r="AM930" s="24" t="n">
        <f aca="false">AK930-AL930</f>
        <v>-5536.94045992702</v>
      </c>
      <c r="AN930" s="28" t="str">
        <f aca="false">IF(A930&gt;=Hip3LaunchDate,"YES","")</f>
        <v>YES</v>
      </c>
      <c r="AO930" s="28" t="str">
        <f aca="false">IF(A930&lt;Hip4LaunchDate,"pre-launch","live (zero-fee)")</f>
        <v>pre-launch</v>
      </c>
      <c r="AP930" s="30" t="n">
        <v>17</v>
      </c>
      <c r="AQ930" s="30" t="n">
        <v>14</v>
      </c>
      <c r="AR930" s="19" t="n">
        <v>3522.51573495229</v>
      </c>
    </row>
    <row r="931" customFormat="false" ht="15" hidden="false" customHeight="false" outlineLevel="0" collapsed="false">
      <c r="A931" s="18" t="n">
        <v>45992</v>
      </c>
      <c r="B931" s="19" t="n">
        <v>10209933420.56</v>
      </c>
      <c r="C931" s="19" t="n">
        <v>398423432.45</v>
      </c>
      <c r="D931" s="19" t="n">
        <v>329066780</v>
      </c>
      <c r="E931" s="21" t="n">
        <f aca="false">B931+C931</f>
        <v>10608356853.01</v>
      </c>
      <c r="F931" s="21" t="n">
        <f aca="false">E931+D931</f>
        <v>10937423633.01</v>
      </c>
      <c r="G931" s="22" t="n">
        <f aca="false">IFERROR(C931/E931,0)</f>
        <v>0.0375575065932055</v>
      </c>
      <c r="H931" s="19" t="n">
        <v>4188992</v>
      </c>
      <c r="I931" s="19" t="n">
        <v>175170</v>
      </c>
      <c r="J931" s="19" t="n">
        <v>38505</v>
      </c>
      <c r="K931" s="21" t="n">
        <f aca="false">H931+I931</f>
        <v>4364162</v>
      </c>
      <c r="L931" s="19" t="n">
        <v>11679.7122078011</v>
      </c>
      <c r="M931" s="21" t="n">
        <f aca="false">H931-L931</f>
        <v>4177312.2877922</v>
      </c>
      <c r="N931" s="23" t="n">
        <f aca="false">IFERROR(M931/B931*10000,0)</f>
        <v>4.09141971423657</v>
      </c>
      <c r="O931" s="19" t="n">
        <v>3677457</v>
      </c>
      <c r="P931" s="19" t="n">
        <v>134550</v>
      </c>
      <c r="Q931" s="21" t="n">
        <f aca="false">O931+P931</f>
        <v>3812007</v>
      </c>
      <c r="R931" s="22" t="n">
        <f aca="false">IF(A931&lt;HlpChangeDate,HlpSharePre,HlpSharePost)</f>
        <v>0.01</v>
      </c>
      <c r="S931" s="21" t="n">
        <f aca="false">Q931*R931/(1-R931)</f>
        <v>38505.1212121212</v>
      </c>
      <c r="T931" s="19" t="n">
        <v>38505</v>
      </c>
      <c r="U931" s="21" t="n">
        <f aca="false">S931-T931</f>
        <v>0.121212121215649</v>
      </c>
      <c r="V931" s="21" t="n">
        <f aca="false">Y931-O931*R931/(1-R931)</f>
        <v>474388.96969697</v>
      </c>
      <c r="W931" s="21" t="n">
        <f aca="false">Z931-P931*R931/(1-R931)</f>
        <v>39261.9090909091</v>
      </c>
      <c r="X931" s="21" t="n">
        <f aca="false">S931+V931+W931</f>
        <v>552156</v>
      </c>
      <c r="Y931" s="19" t="n">
        <v>511535</v>
      </c>
      <c r="Z931" s="19" t="n">
        <v>40621</v>
      </c>
      <c r="AA931" s="19" t="n">
        <v>3812007</v>
      </c>
      <c r="AB931" s="29" t="n">
        <v>30.995</v>
      </c>
      <c r="AC931" s="29" t="n">
        <v>31.0305</v>
      </c>
      <c r="AD931" s="24" t="n">
        <f aca="false">IFERROR(AA931/AC931,0)</f>
        <v>122847.102044762</v>
      </c>
      <c r="AE931" s="25" t="n">
        <f aca="false">K931-Q931-X931</f>
        <v>-1</v>
      </c>
      <c r="AF931" s="25" t="n">
        <f aca="false">Q931-AA931</f>
        <v>0</v>
      </c>
      <c r="AG931" s="19" t="n">
        <v>2920982.27416492</v>
      </c>
      <c r="AH931" s="26" t="n">
        <f aca="false">IFERROR(AG931/Q931,0)</f>
        <v>0.766258371027366</v>
      </c>
      <c r="AI931" s="27" t="n">
        <v>409274037.087558</v>
      </c>
      <c r="AJ931" s="26" t="n">
        <f aca="false">IF(AI931&gt;0,AprCoef/SQRT(AI931),0)</f>
        <v>0.02342994364319</v>
      </c>
      <c r="AK931" s="24" t="n">
        <f aca="false">AI931*AJ931/365</f>
        <v>26271.9660920064</v>
      </c>
      <c r="AL931" s="24" t="n">
        <f aca="false">AD931</f>
        <v>122847.102044762</v>
      </c>
      <c r="AM931" s="24" t="n">
        <f aca="false">AK931-AL931</f>
        <v>-96575.1359527561</v>
      </c>
      <c r="AN931" s="28" t="str">
        <f aca="false">IF(A931&gt;=Hip3LaunchDate,"YES","")</f>
        <v>YES</v>
      </c>
      <c r="AO931" s="28" t="str">
        <f aca="false">IF(A931&lt;Hip4LaunchDate,"pre-launch","live (zero-fee)")</f>
        <v>pre-launch</v>
      </c>
      <c r="AP931" s="30" t="n">
        <v>17</v>
      </c>
      <c r="AQ931" s="30" t="n">
        <v>14</v>
      </c>
      <c r="AR931" s="19" t="n">
        <v>11679.7122078011</v>
      </c>
    </row>
    <row r="932" customFormat="false" ht="15" hidden="false" customHeight="false" outlineLevel="0" collapsed="false">
      <c r="A932" s="18" t="n">
        <v>45993</v>
      </c>
      <c r="B932" s="19" t="n">
        <v>7511529283.45</v>
      </c>
      <c r="C932" s="19" t="n">
        <v>380008767.25</v>
      </c>
      <c r="D932" s="19" t="n">
        <v>269646568</v>
      </c>
      <c r="E932" s="21" t="n">
        <f aca="false">B932+C932</f>
        <v>7891538050.7</v>
      </c>
      <c r="F932" s="21" t="n">
        <f aca="false">E932+D932</f>
        <v>8161184618.7</v>
      </c>
      <c r="G932" s="22" t="n">
        <f aca="false">IFERROR(C932/E932,0)</f>
        <v>0.0481539548828878</v>
      </c>
      <c r="H932" s="19" t="n">
        <v>2974731</v>
      </c>
      <c r="I932" s="19" t="n">
        <v>141033</v>
      </c>
      <c r="J932" s="19" t="n">
        <v>27497</v>
      </c>
      <c r="K932" s="21" t="n">
        <f aca="false">H932+I932</f>
        <v>3115764</v>
      </c>
      <c r="L932" s="19" t="n">
        <v>12768.0046752208</v>
      </c>
      <c r="M932" s="21" t="n">
        <f aca="false">H932-L932</f>
        <v>2961962.99532478</v>
      </c>
      <c r="N932" s="23" t="n">
        <f aca="false">IFERROR(M932/B932*10000,0)</f>
        <v>3.94322232338335</v>
      </c>
      <c r="O932" s="19" t="n">
        <v>2618893</v>
      </c>
      <c r="P932" s="19" t="n">
        <v>103275</v>
      </c>
      <c r="Q932" s="21" t="n">
        <f aca="false">O932+P932</f>
        <v>2722168</v>
      </c>
      <c r="R932" s="22" t="n">
        <f aca="false">IF(A932&lt;HlpChangeDate,HlpSharePre,HlpSharePost)</f>
        <v>0.01</v>
      </c>
      <c r="S932" s="21" t="n">
        <f aca="false">Q932*R932/(1-R932)</f>
        <v>27496.6464646465</v>
      </c>
      <c r="T932" s="19" t="n">
        <v>27497</v>
      </c>
      <c r="U932" s="21" t="n">
        <f aca="false">S932-T932</f>
        <v>-0.353535353533516</v>
      </c>
      <c r="V932" s="21" t="n">
        <f aca="false">Y932-O932*R932/(1-R932)</f>
        <v>329384.535353535</v>
      </c>
      <c r="W932" s="21" t="n">
        <f aca="false">Z932-P932*R932/(1-R932)</f>
        <v>36714.8181818182</v>
      </c>
      <c r="X932" s="21" t="n">
        <f aca="false">S932+V932+W932</f>
        <v>393596</v>
      </c>
      <c r="Y932" s="19" t="n">
        <v>355838</v>
      </c>
      <c r="Z932" s="19" t="n">
        <v>37758</v>
      </c>
      <c r="AA932" s="19" t="n">
        <v>2722168</v>
      </c>
      <c r="AB932" s="29" t="n">
        <v>33.833</v>
      </c>
      <c r="AC932" s="29" t="n">
        <v>32.3905</v>
      </c>
      <c r="AD932" s="24" t="n">
        <f aca="false">IFERROR(AA932/AC932,0)</f>
        <v>84042.172859326</v>
      </c>
      <c r="AE932" s="25" t="n">
        <f aca="false">K932-Q932-X932</f>
        <v>0</v>
      </c>
      <c r="AF932" s="25" t="n">
        <f aca="false">Q932-AA932</f>
        <v>0</v>
      </c>
      <c r="AG932" s="19" t="n">
        <v>2327750.86230505</v>
      </c>
      <c r="AH932" s="26" t="n">
        <f aca="false">IFERROR(AG932/Q932,0)</f>
        <v>0.855109185878699</v>
      </c>
      <c r="AI932" s="27" t="n">
        <v>409428803.834101</v>
      </c>
      <c r="AJ932" s="26" t="n">
        <f aca="false">IF(AI932&gt;0,AprCoef/SQRT(AI932),0)</f>
        <v>0.0234255148892043</v>
      </c>
      <c r="AK932" s="24" t="n">
        <f aca="false">AI932*AJ932/365</f>
        <v>26276.9329870818</v>
      </c>
      <c r="AL932" s="24" t="n">
        <f aca="false">AD932</f>
        <v>84042.172859326</v>
      </c>
      <c r="AM932" s="24" t="n">
        <f aca="false">AK932-AL932</f>
        <v>-57765.2398722443</v>
      </c>
      <c r="AN932" s="28" t="str">
        <f aca="false">IF(A932&gt;=Hip3LaunchDate,"YES","")</f>
        <v>YES</v>
      </c>
      <c r="AO932" s="28" t="str">
        <f aca="false">IF(A932&lt;Hip4LaunchDate,"pre-launch","live (zero-fee)")</f>
        <v>pre-launch</v>
      </c>
      <c r="AP932" s="30" t="n">
        <v>18</v>
      </c>
      <c r="AQ932" s="30" t="n">
        <v>14</v>
      </c>
      <c r="AR932" s="19" t="n">
        <v>12768.0046752208</v>
      </c>
    </row>
    <row r="933" customFormat="false" ht="15" hidden="false" customHeight="false" outlineLevel="0" collapsed="false">
      <c r="A933" s="18" t="n">
        <v>45994</v>
      </c>
      <c r="B933" s="19" t="n">
        <v>6875175215.9</v>
      </c>
      <c r="C933" s="19" t="n">
        <v>408842621.49</v>
      </c>
      <c r="D933" s="19" t="n">
        <v>206050583</v>
      </c>
      <c r="E933" s="21" t="n">
        <f aca="false">B933+C933</f>
        <v>7284017837.39</v>
      </c>
      <c r="F933" s="21" t="n">
        <f aca="false">E933+D933</f>
        <v>7490068420.39</v>
      </c>
      <c r="G933" s="22" t="n">
        <f aca="false">IFERROR(C933/E933,0)</f>
        <v>0.0561287232701912</v>
      </c>
      <c r="H933" s="19" t="n">
        <v>2951610</v>
      </c>
      <c r="I933" s="19" t="n">
        <v>108352</v>
      </c>
      <c r="J933" s="19" t="n">
        <v>27167</v>
      </c>
      <c r="K933" s="21" t="n">
        <f aca="false">H933+I933</f>
        <v>3059962</v>
      </c>
      <c r="L933" s="19" t="n">
        <v>14513.4466734265</v>
      </c>
      <c r="M933" s="21" t="n">
        <f aca="false">H933-L933</f>
        <v>2937096.55332657</v>
      </c>
      <c r="N933" s="23" t="n">
        <f aca="false">IFERROR(M933/B933*10000,0)</f>
        <v>4.27203156442332</v>
      </c>
      <c r="O933" s="19" t="n">
        <v>2603804</v>
      </c>
      <c r="P933" s="19" t="n">
        <v>85689</v>
      </c>
      <c r="Q933" s="21" t="n">
        <f aca="false">O933+P933</f>
        <v>2689493</v>
      </c>
      <c r="R933" s="22" t="n">
        <f aca="false">IF(A933&lt;HlpChangeDate,HlpSharePre,HlpSharePost)</f>
        <v>0.01</v>
      </c>
      <c r="S933" s="21" t="n">
        <f aca="false">Q933*R933/(1-R933)</f>
        <v>27166.595959596</v>
      </c>
      <c r="T933" s="19" t="n">
        <v>27167</v>
      </c>
      <c r="U933" s="21" t="n">
        <f aca="false">S933-T933</f>
        <v>-0.404040404038824</v>
      </c>
      <c r="V933" s="21" t="n">
        <f aca="false">Y933-O933*R933/(1-R933)</f>
        <v>321504.94949495</v>
      </c>
      <c r="W933" s="21" t="n">
        <f aca="false">Z933-P933*R933/(1-R933)</f>
        <v>21797.4545454545</v>
      </c>
      <c r="X933" s="21" t="n">
        <f aca="false">S933+V933+W933</f>
        <v>370469</v>
      </c>
      <c r="Y933" s="19" t="n">
        <v>347806</v>
      </c>
      <c r="Z933" s="19" t="n">
        <v>22663</v>
      </c>
      <c r="AA933" s="19" t="n">
        <v>2689493</v>
      </c>
      <c r="AB933" s="29" t="n">
        <v>34.63</v>
      </c>
      <c r="AC933" s="29" t="n">
        <v>34.30075</v>
      </c>
      <c r="AD933" s="24" t="n">
        <f aca="false">IFERROR(AA933/AC933,0)</f>
        <v>78409.1601495594</v>
      </c>
      <c r="AE933" s="25" t="n">
        <f aca="false">K933-Q933-X933</f>
        <v>0</v>
      </c>
      <c r="AF933" s="25" t="n">
        <f aca="false">Q933-AA933</f>
        <v>0</v>
      </c>
      <c r="AG933" s="19" t="n">
        <v>2026340.28508902</v>
      </c>
      <c r="AH933" s="26" t="n">
        <f aca="false">IFERROR(AG933/Q933,0)</f>
        <v>0.753428354373488</v>
      </c>
      <c r="AI933" s="27" t="n">
        <v>409583570.580645</v>
      </c>
      <c r="AJ933" s="26" t="n">
        <f aca="false">IF(AI933&gt;0,AprCoef/SQRT(AI933),0)</f>
        <v>0.0234210886456536</v>
      </c>
      <c r="AK933" s="24" t="n">
        <f aca="false">AI933*AJ933/365</f>
        <v>26281.8989434865</v>
      </c>
      <c r="AL933" s="24" t="n">
        <f aca="false">AD933</f>
        <v>78409.1601495594</v>
      </c>
      <c r="AM933" s="24" t="n">
        <f aca="false">AK933-AL933</f>
        <v>-52127.2612060729</v>
      </c>
      <c r="AN933" s="28" t="str">
        <f aca="false">IF(A933&gt;=Hip3LaunchDate,"YES","")</f>
        <v>YES</v>
      </c>
      <c r="AO933" s="28" t="str">
        <f aca="false">IF(A933&lt;Hip4LaunchDate,"pre-launch","live (zero-fee)")</f>
        <v>pre-launch</v>
      </c>
      <c r="AP933" s="30" t="n">
        <v>20</v>
      </c>
      <c r="AQ933" s="30" t="n">
        <v>15</v>
      </c>
      <c r="AR933" s="19" t="n">
        <v>14513.4231167572</v>
      </c>
    </row>
    <row r="934" customFormat="false" ht="15" hidden="false" customHeight="false" outlineLevel="0" collapsed="false">
      <c r="A934" s="18" t="n">
        <v>45995</v>
      </c>
      <c r="B934" s="19" t="n">
        <v>5779503733.59</v>
      </c>
      <c r="C934" s="19" t="n">
        <v>514070575.12</v>
      </c>
      <c r="D934" s="19" t="n">
        <v>182559226</v>
      </c>
      <c r="E934" s="21" t="n">
        <f aca="false">B934+C934</f>
        <v>6293574308.71</v>
      </c>
      <c r="F934" s="21" t="n">
        <f aca="false">E934+D934</f>
        <v>6476133534.71</v>
      </c>
      <c r="G934" s="22" t="n">
        <f aca="false">IFERROR(C934/E934,0)</f>
        <v>0.0816818154365082</v>
      </c>
      <c r="H934" s="19" t="n">
        <v>2512255</v>
      </c>
      <c r="I934" s="19" t="n">
        <v>101717</v>
      </c>
      <c r="J934" s="19" t="n">
        <v>23026</v>
      </c>
      <c r="K934" s="21" t="n">
        <f aca="false">H934+I934</f>
        <v>2613972</v>
      </c>
      <c r="L934" s="19" t="n">
        <v>18328.2800025108</v>
      </c>
      <c r="M934" s="21" t="n">
        <f aca="false">H934-L934</f>
        <v>2493926.71999749</v>
      </c>
      <c r="N934" s="23" t="n">
        <f aca="false">IFERROR(M934/B934*10000,0)</f>
        <v>4.31512260387167</v>
      </c>
      <c r="O934" s="19" t="n">
        <v>2199371</v>
      </c>
      <c r="P934" s="19" t="n">
        <v>80243</v>
      </c>
      <c r="Q934" s="21" t="n">
        <f aca="false">O934+P934</f>
        <v>2279614</v>
      </c>
      <c r="R934" s="22" t="n">
        <f aca="false">IF(A934&lt;HlpChangeDate,HlpSharePre,HlpSharePost)</f>
        <v>0.01</v>
      </c>
      <c r="S934" s="21" t="n">
        <f aca="false">Q934*R934/(1-R934)</f>
        <v>23026.404040404</v>
      </c>
      <c r="T934" s="19" t="n">
        <v>23026</v>
      </c>
      <c r="U934" s="21" t="n">
        <f aca="false">S934-T934</f>
        <v>0.404040404038824</v>
      </c>
      <c r="V934" s="21" t="n">
        <f aca="false">Y934-O934*R934/(1-R934)</f>
        <v>290667.131313131</v>
      </c>
      <c r="W934" s="21" t="n">
        <f aca="false">Z934-P934*R934/(1-R934)</f>
        <v>20663.4646464646</v>
      </c>
      <c r="X934" s="21" t="n">
        <f aca="false">S934+V934+W934</f>
        <v>334357</v>
      </c>
      <c r="Y934" s="19" t="n">
        <v>312883</v>
      </c>
      <c r="Z934" s="19" t="n">
        <v>21474</v>
      </c>
      <c r="AA934" s="19" t="n">
        <v>2279614</v>
      </c>
      <c r="AB934" s="29" t="n">
        <v>33.533</v>
      </c>
      <c r="AC934" s="29" t="n">
        <v>34.358</v>
      </c>
      <c r="AD934" s="24" t="n">
        <f aca="false">IFERROR(AA934/AC934,0)</f>
        <v>66348.8561615926</v>
      </c>
      <c r="AE934" s="25" t="n">
        <f aca="false">K934-Q934-X934</f>
        <v>1.00000000005821</v>
      </c>
      <c r="AF934" s="25" t="n">
        <f aca="false">Q934-AA934</f>
        <v>0</v>
      </c>
      <c r="AG934" s="19" t="n">
        <v>1716455.41918194</v>
      </c>
      <c r="AH934" s="26" t="n">
        <f aca="false">IFERROR(AG934/Q934,0)</f>
        <v>0.752958798806264</v>
      </c>
      <c r="AI934" s="27" t="n">
        <v>409738337.327189</v>
      </c>
      <c r="AJ934" s="26" t="n">
        <f aca="false">IF(AI934&gt;0,AprCoef/SQRT(AI934),0)</f>
        <v>0.023416664910167</v>
      </c>
      <c r="AK934" s="24" t="n">
        <f aca="false">AI934*AJ934/365</f>
        <v>26286.8639617527</v>
      </c>
      <c r="AL934" s="24" t="n">
        <f aca="false">AD934</f>
        <v>66348.8561615926</v>
      </c>
      <c r="AM934" s="24" t="n">
        <f aca="false">AK934-AL934</f>
        <v>-40061.9921998399</v>
      </c>
      <c r="AN934" s="28" t="str">
        <f aca="false">IF(A934&gt;=Hip3LaunchDate,"YES","")</f>
        <v>YES</v>
      </c>
      <c r="AO934" s="28" t="str">
        <f aca="false">IF(A934&lt;Hip4LaunchDate,"pre-launch","live (zero-fee)")</f>
        <v>pre-launch</v>
      </c>
      <c r="AP934" s="30" t="n">
        <v>21</v>
      </c>
      <c r="AQ934" s="30" t="n">
        <v>16</v>
      </c>
      <c r="AR934" s="19" t="n">
        <v>18328.276375885</v>
      </c>
    </row>
    <row r="935" customFormat="false" ht="15" hidden="false" customHeight="false" outlineLevel="0" collapsed="false">
      <c r="A935" s="18" t="n">
        <v>45996</v>
      </c>
      <c r="B935" s="19" t="n">
        <v>7078405379.52</v>
      </c>
      <c r="C935" s="19" t="n">
        <v>337688928.71</v>
      </c>
      <c r="D935" s="19" t="n">
        <v>184407507</v>
      </c>
      <c r="E935" s="21" t="n">
        <f aca="false">B935+C935</f>
        <v>7416094308.23</v>
      </c>
      <c r="F935" s="21" t="n">
        <f aca="false">E935+D935</f>
        <v>7600501815.23</v>
      </c>
      <c r="G935" s="22" t="n">
        <f aca="false">IFERROR(C935/E935,0)</f>
        <v>0.0455346055045781</v>
      </c>
      <c r="H935" s="19" t="n">
        <v>2772077</v>
      </c>
      <c r="I935" s="19" t="n">
        <v>94893</v>
      </c>
      <c r="J935" s="19" t="n">
        <v>25933</v>
      </c>
      <c r="K935" s="21" t="n">
        <f aca="false">H935+I935</f>
        <v>2866970</v>
      </c>
      <c r="L935" s="19" t="n">
        <v>13890.113110384</v>
      </c>
      <c r="M935" s="21" t="n">
        <f aca="false">H935-L935</f>
        <v>2758186.88688962</v>
      </c>
      <c r="N935" s="23" t="n">
        <f aca="false">IFERROR(M935/B935*10000,0)</f>
        <v>3.89662182229616</v>
      </c>
      <c r="O935" s="19" t="n">
        <v>2490853</v>
      </c>
      <c r="P935" s="19" t="n">
        <v>76535</v>
      </c>
      <c r="Q935" s="21" t="n">
        <f aca="false">O935+P935</f>
        <v>2567388</v>
      </c>
      <c r="R935" s="22" t="n">
        <f aca="false">IF(A935&lt;HlpChangeDate,HlpSharePre,HlpSharePost)</f>
        <v>0.01</v>
      </c>
      <c r="S935" s="21" t="n">
        <f aca="false">Q935*R935/(1-R935)</f>
        <v>25933.2121212121</v>
      </c>
      <c r="T935" s="19" t="n">
        <v>25933</v>
      </c>
      <c r="U935" s="21" t="n">
        <f aca="false">S935-T935</f>
        <v>0.212121212123748</v>
      </c>
      <c r="V935" s="21" t="n">
        <f aca="false">Y935-O935*R935/(1-R935)</f>
        <v>256063.868686869</v>
      </c>
      <c r="W935" s="21" t="n">
        <f aca="false">Z935-P935*R935/(1-R935)</f>
        <v>17584.9191919192</v>
      </c>
      <c r="X935" s="21" t="n">
        <f aca="false">S935+V935+W935</f>
        <v>299582</v>
      </c>
      <c r="Y935" s="19" t="n">
        <v>281224</v>
      </c>
      <c r="Z935" s="19" t="n">
        <v>18358</v>
      </c>
      <c r="AA935" s="19" t="n">
        <v>2567388</v>
      </c>
      <c r="AB935" s="29" t="n">
        <v>30.992</v>
      </c>
      <c r="AC935" s="29" t="n">
        <v>32.229</v>
      </c>
      <c r="AD935" s="24" t="n">
        <f aca="false">IFERROR(AA935/AC935,0)</f>
        <v>79660.802382947</v>
      </c>
      <c r="AE935" s="25" t="n">
        <f aca="false">K935-Q935-X935</f>
        <v>0</v>
      </c>
      <c r="AF935" s="25" t="n">
        <f aca="false">Q935-AA935</f>
        <v>0</v>
      </c>
      <c r="AG935" s="19" t="n">
        <v>2029066.095312</v>
      </c>
      <c r="AH935" s="26" t="n">
        <f aca="false">IFERROR(AG935/Q935,0)</f>
        <v>0.790323120351111</v>
      </c>
      <c r="AI935" s="27" t="n">
        <v>409893104.073733</v>
      </c>
      <c r="AJ935" s="26" t="n">
        <f aca="false">IF(AI935&gt;0,AprCoef/SQRT(AI935),0)</f>
        <v>0.0234122436803768</v>
      </c>
      <c r="AK935" s="24" t="n">
        <f aca="false">AI935*AJ935/365</f>
        <v>26291.8280424117</v>
      </c>
      <c r="AL935" s="24" t="n">
        <f aca="false">AD935</f>
        <v>79660.802382947</v>
      </c>
      <c r="AM935" s="24" t="n">
        <f aca="false">AK935-AL935</f>
        <v>-53368.9743405353</v>
      </c>
      <c r="AN935" s="28" t="str">
        <f aca="false">IF(A935&gt;=Hip3LaunchDate,"YES","")</f>
        <v>YES</v>
      </c>
      <c r="AO935" s="28" t="str">
        <f aca="false">IF(A935&lt;Hip4LaunchDate,"pre-launch","live (zero-fee)")</f>
        <v>pre-launch</v>
      </c>
      <c r="AP935" s="30" t="n">
        <v>22</v>
      </c>
      <c r="AQ935" s="30" t="n">
        <v>17</v>
      </c>
      <c r="AR935" s="19" t="n">
        <v>13890.0435839613</v>
      </c>
    </row>
    <row r="936" customFormat="false" ht="15" hidden="false" customHeight="false" outlineLevel="0" collapsed="false">
      <c r="A936" s="18" t="n">
        <v>45997</v>
      </c>
      <c r="B936" s="19" t="n">
        <v>2342409581.15</v>
      </c>
      <c r="C936" s="19" t="n">
        <v>60225116.11</v>
      </c>
      <c r="D936" s="19" t="n">
        <v>99071556</v>
      </c>
      <c r="E936" s="21" t="n">
        <f aca="false">B936+C936</f>
        <v>2402634697.26</v>
      </c>
      <c r="F936" s="21" t="n">
        <f aca="false">E936+D936</f>
        <v>2501706253.26</v>
      </c>
      <c r="G936" s="22" t="n">
        <f aca="false">IFERROR(C936/E936,0)</f>
        <v>0.0250662808535486</v>
      </c>
      <c r="H936" s="19" t="n">
        <v>964175</v>
      </c>
      <c r="I936" s="19" t="n">
        <v>57413</v>
      </c>
      <c r="J936" s="19" t="n">
        <v>8960</v>
      </c>
      <c r="K936" s="21" t="n">
        <f aca="false">H936+I936</f>
        <v>1021588</v>
      </c>
      <c r="L936" s="19" t="n">
        <v>2442.07586591615</v>
      </c>
      <c r="M936" s="21" t="n">
        <f aca="false">H936-L936</f>
        <v>961732.924134084</v>
      </c>
      <c r="N936" s="23" t="n">
        <f aca="false">IFERROR(M936/B936*10000,0)</f>
        <v>4.10574193289426</v>
      </c>
      <c r="O936" s="19" t="n">
        <v>843305</v>
      </c>
      <c r="P936" s="19" t="n">
        <v>43750</v>
      </c>
      <c r="Q936" s="21" t="n">
        <f aca="false">O936+P936</f>
        <v>887055</v>
      </c>
      <c r="R936" s="22" t="n">
        <f aca="false">IF(A936&lt;HlpChangeDate,HlpSharePre,HlpSharePost)</f>
        <v>0.01</v>
      </c>
      <c r="S936" s="21" t="n">
        <f aca="false">Q936*R936/(1-R936)</f>
        <v>8960.15151515152</v>
      </c>
      <c r="T936" s="19" t="n">
        <v>8960</v>
      </c>
      <c r="U936" s="21" t="n">
        <f aca="false">S936-T936</f>
        <v>0.151515151515923</v>
      </c>
      <c r="V936" s="21" t="n">
        <f aca="false">Y936-O936*R936/(1-R936)</f>
        <v>112352.767676768</v>
      </c>
      <c r="W936" s="21" t="n">
        <f aca="false">Z936-P936*R936/(1-R936)</f>
        <v>13220.0808080808</v>
      </c>
      <c r="X936" s="21" t="n">
        <f aca="false">S936+V936+W936</f>
        <v>134533</v>
      </c>
      <c r="Y936" s="19" t="n">
        <v>120871</v>
      </c>
      <c r="Z936" s="19" t="n">
        <v>13662</v>
      </c>
      <c r="AA936" s="19" t="n">
        <v>887055</v>
      </c>
      <c r="AB936" s="29" t="n">
        <v>30.952</v>
      </c>
      <c r="AC936" s="29" t="n">
        <v>30.9095</v>
      </c>
      <c r="AD936" s="24" t="n">
        <f aca="false">IFERROR(AA936/AC936,0)</f>
        <v>28698.4584027564</v>
      </c>
      <c r="AE936" s="25" t="n">
        <f aca="false">K936-Q936-X936</f>
        <v>0</v>
      </c>
      <c r="AF936" s="25" t="n">
        <f aca="false">Q936-AA936</f>
        <v>0</v>
      </c>
      <c r="AG936" s="19" t="n">
        <v>685914.764258981</v>
      </c>
      <c r="AH936" s="26" t="n">
        <f aca="false">IFERROR(AG936/Q936,0)</f>
        <v>0.773249420000993</v>
      </c>
      <c r="AI936" s="27" t="n">
        <v>410047870.820277</v>
      </c>
      <c r="AJ936" s="26" t="n">
        <f aca="false">IF(AI936&gt;0,AprCoef/SQRT(AI936),0)</f>
        <v>0.0234078249539185</v>
      </c>
      <c r="AK936" s="24" t="n">
        <f aca="false">AI936*AJ936/365</f>
        <v>26296.7911859946</v>
      </c>
      <c r="AL936" s="24" t="n">
        <f aca="false">AD936</f>
        <v>28698.4584027564</v>
      </c>
      <c r="AM936" s="24" t="n">
        <f aca="false">AK936-AL936</f>
        <v>-2401.66721676189</v>
      </c>
      <c r="AN936" s="28" t="str">
        <f aca="false">IF(A936&gt;=Hip3LaunchDate,"YES","")</f>
        <v>YES</v>
      </c>
      <c r="AO936" s="28" t="str">
        <f aca="false">IF(A936&lt;Hip4LaunchDate,"pre-launch","live (zero-fee)")</f>
        <v>pre-launch</v>
      </c>
      <c r="AP936" s="30" t="n">
        <v>23</v>
      </c>
      <c r="AQ936" s="30" t="n">
        <v>17</v>
      </c>
      <c r="AR936" s="19" t="n">
        <v>2441.65401321875</v>
      </c>
    </row>
    <row r="937" customFormat="false" ht="15" hidden="false" customHeight="false" outlineLevel="0" collapsed="false">
      <c r="A937" s="18" t="n">
        <v>45998</v>
      </c>
      <c r="B937" s="19" t="n">
        <v>6051691032.19</v>
      </c>
      <c r="C937" s="19" t="n">
        <v>101338016.23</v>
      </c>
      <c r="D937" s="19" t="n">
        <v>160424812</v>
      </c>
      <c r="E937" s="21" t="n">
        <f aca="false">B937+C937</f>
        <v>6153029048.42</v>
      </c>
      <c r="F937" s="21" t="n">
        <f aca="false">E937+D937</f>
        <v>6313453860.42</v>
      </c>
      <c r="G937" s="22" t="n">
        <f aca="false">IFERROR(C937/E937,0)</f>
        <v>0.016469614466719</v>
      </c>
      <c r="H937" s="19" t="n">
        <v>2398211</v>
      </c>
      <c r="I937" s="19" t="n">
        <v>83272</v>
      </c>
      <c r="J937" s="19" t="n">
        <v>22797</v>
      </c>
      <c r="K937" s="21" t="n">
        <f aca="false">H937+I937</f>
        <v>2481483</v>
      </c>
      <c r="L937" s="19" t="n">
        <v>3443.99724651951</v>
      </c>
      <c r="M937" s="21" t="n">
        <f aca="false">H937-L937</f>
        <v>2394767.00275348</v>
      </c>
      <c r="N937" s="23" t="n">
        <f aca="false">IFERROR(M937/B937*10000,0)</f>
        <v>3.95718649550233</v>
      </c>
      <c r="O937" s="19" t="n">
        <v>2186115</v>
      </c>
      <c r="P937" s="19" t="n">
        <v>70761</v>
      </c>
      <c r="Q937" s="21" t="n">
        <f aca="false">O937+P937</f>
        <v>2256876</v>
      </c>
      <c r="R937" s="22" t="n">
        <f aca="false">IF(A937&lt;HlpChangeDate,HlpSharePre,HlpSharePost)</f>
        <v>0.01</v>
      </c>
      <c r="S937" s="21" t="n">
        <f aca="false">Q937*R937/(1-R937)</f>
        <v>22796.7272727273</v>
      </c>
      <c r="T937" s="19" t="n">
        <v>22797</v>
      </c>
      <c r="U937" s="21" t="n">
        <f aca="false">S937-T937</f>
        <v>-0.272727272724296</v>
      </c>
      <c r="V937" s="21" t="n">
        <f aca="false">Y937-O937*R937/(1-R937)</f>
        <v>190014.03030303</v>
      </c>
      <c r="W937" s="21" t="n">
        <f aca="false">Z937-P937*R937/(1-R937)</f>
        <v>11796.2424242424</v>
      </c>
      <c r="X937" s="21" t="n">
        <f aca="false">S937+V937+W937</f>
        <v>224607</v>
      </c>
      <c r="Y937" s="19" t="n">
        <v>212096</v>
      </c>
      <c r="Z937" s="19" t="n">
        <v>12511</v>
      </c>
      <c r="AA937" s="19" t="n">
        <v>2256876</v>
      </c>
      <c r="AB937" s="29" t="n">
        <v>29.728</v>
      </c>
      <c r="AC937" s="29" t="n">
        <v>30.0035</v>
      </c>
      <c r="AD937" s="24" t="n">
        <f aca="false">IFERROR(AA937/AC937,0)</f>
        <v>75220.4242838336</v>
      </c>
      <c r="AE937" s="25" t="n">
        <f aca="false">K937-Q937-X937</f>
        <v>0</v>
      </c>
      <c r="AF937" s="25" t="n">
        <f aca="false">Q937-AA937</f>
        <v>0</v>
      </c>
      <c r="AG937" s="19" t="n">
        <v>1745924.68826306</v>
      </c>
      <c r="AH937" s="26" t="n">
        <f aca="false">IFERROR(AG937/Q937,0)</f>
        <v>0.773602399185006</v>
      </c>
      <c r="AI937" s="27" t="n">
        <v>410202637.56682</v>
      </c>
      <c r="AJ937" s="26" t="n">
        <f aca="false">IF(AI937&gt;0,AprCoef/SQRT(AI937),0)</f>
        <v>0.0234034087284306</v>
      </c>
      <c r="AK937" s="24" t="n">
        <f aca="false">AI937*AJ937/365</f>
        <v>26301.7533930317</v>
      </c>
      <c r="AL937" s="24" t="n">
        <f aca="false">AD937</f>
        <v>75220.4242838336</v>
      </c>
      <c r="AM937" s="24" t="n">
        <f aca="false">AK937-AL937</f>
        <v>-48918.6708908019</v>
      </c>
      <c r="AN937" s="28" t="str">
        <f aca="false">IF(A937&gt;=Hip3LaunchDate,"YES","")</f>
        <v>YES</v>
      </c>
      <c r="AO937" s="28" t="str">
        <f aca="false">IF(A937&lt;Hip4LaunchDate,"pre-launch","live (zero-fee)")</f>
        <v>pre-launch</v>
      </c>
      <c r="AP937" s="30" t="n">
        <v>23</v>
      </c>
      <c r="AQ937" s="30" t="n">
        <v>17</v>
      </c>
      <c r="AR937" s="19" t="n">
        <v>3443.9711624604</v>
      </c>
    </row>
    <row r="938" customFormat="false" ht="15" hidden="false" customHeight="false" outlineLevel="0" collapsed="false">
      <c r="A938" s="18" t="n">
        <v>45999</v>
      </c>
      <c r="B938" s="19" t="n">
        <v>5995925599.91</v>
      </c>
      <c r="C938" s="19" t="n">
        <v>303424289.35</v>
      </c>
      <c r="D938" s="19" t="n">
        <v>149941296</v>
      </c>
      <c r="E938" s="21" t="n">
        <f aca="false">B938+C938</f>
        <v>6299349889.26</v>
      </c>
      <c r="F938" s="21" t="n">
        <f aca="false">E938+D938</f>
        <v>6449291185.26</v>
      </c>
      <c r="G938" s="22" t="n">
        <f aca="false">IFERROR(C938/E938,0)</f>
        <v>0.0481675561262789</v>
      </c>
      <c r="H938" s="19" t="n">
        <v>2430188</v>
      </c>
      <c r="I938" s="19" t="n">
        <v>79707</v>
      </c>
      <c r="J938" s="19" t="n">
        <v>22540</v>
      </c>
      <c r="K938" s="21" t="n">
        <f aca="false">H938+I938</f>
        <v>2509895</v>
      </c>
      <c r="L938" s="19" t="n">
        <v>10439.1082822366</v>
      </c>
      <c r="M938" s="21" t="n">
        <f aca="false">H938-L938</f>
        <v>2419748.89171776</v>
      </c>
      <c r="N938" s="23" t="n">
        <f aca="false">IFERROR(M938/B938*10000,0)</f>
        <v>4.03565529858156</v>
      </c>
      <c r="O938" s="19" t="n">
        <v>2169157</v>
      </c>
      <c r="P938" s="19" t="n">
        <v>62256</v>
      </c>
      <c r="Q938" s="21" t="n">
        <f aca="false">O938+P938</f>
        <v>2231413</v>
      </c>
      <c r="R938" s="22" t="n">
        <f aca="false">IF(A938&lt;HlpChangeDate,HlpSharePre,HlpSharePost)</f>
        <v>0.01</v>
      </c>
      <c r="S938" s="21" t="n">
        <f aca="false">Q938*R938/(1-R938)</f>
        <v>22539.5252525253</v>
      </c>
      <c r="T938" s="19" t="n">
        <v>22540</v>
      </c>
      <c r="U938" s="21" t="n">
        <f aca="false">S938-T938</f>
        <v>-0.474747474745527</v>
      </c>
      <c r="V938" s="21" t="n">
        <f aca="false">Y938-O938*R938/(1-R938)</f>
        <v>239121.323232323</v>
      </c>
      <c r="W938" s="21" t="n">
        <f aca="false">Z938-P938*R938/(1-R938)</f>
        <v>16822.1515151515</v>
      </c>
      <c r="X938" s="21" t="n">
        <f aca="false">S938+V938+W938</f>
        <v>278483</v>
      </c>
      <c r="Y938" s="19" t="n">
        <v>261032</v>
      </c>
      <c r="Z938" s="19" t="n">
        <v>17451</v>
      </c>
      <c r="AA938" s="19" t="n">
        <v>2231413</v>
      </c>
      <c r="AB938" s="29" t="n">
        <v>29.476</v>
      </c>
      <c r="AC938" s="29" t="n">
        <v>29.70575</v>
      </c>
      <c r="AD938" s="24" t="n">
        <f aca="false">IFERROR(AA938/AC938,0)</f>
        <v>75117.2079479562</v>
      </c>
      <c r="AE938" s="25" t="n">
        <f aca="false">K938-Q938-X938</f>
        <v>-1</v>
      </c>
      <c r="AF938" s="25" t="n">
        <f aca="false">Q938-AA938</f>
        <v>0</v>
      </c>
      <c r="AG938" s="19" t="n">
        <v>1761371.35711694</v>
      </c>
      <c r="AH938" s="26" t="n">
        <f aca="false">IFERROR(AG938/Q938,0)</f>
        <v>0.789352467300736</v>
      </c>
      <c r="AI938" s="27" t="n">
        <v>410357404.313364</v>
      </c>
      <c r="AJ938" s="26" t="n">
        <f aca="false">IF(AI938&gt;0,AprCoef/SQRT(AI938),0)</f>
        <v>0.0233989950015548</v>
      </c>
      <c r="AK938" s="24" t="n">
        <f aca="false">AI938*AJ938/365</f>
        <v>26306.7146640531</v>
      </c>
      <c r="AL938" s="24" t="n">
        <f aca="false">AD938</f>
        <v>75117.2079479562</v>
      </c>
      <c r="AM938" s="24" t="n">
        <f aca="false">AK938-AL938</f>
        <v>-48810.4932839031</v>
      </c>
      <c r="AN938" s="28" t="str">
        <f aca="false">IF(A938&gt;=Hip3LaunchDate,"YES","")</f>
        <v>YES</v>
      </c>
      <c r="AO938" s="28" t="str">
        <f aca="false">IF(A938&lt;Hip4LaunchDate,"pre-launch","live (zero-fee)")</f>
        <v>pre-launch</v>
      </c>
      <c r="AP938" s="30" t="n">
        <v>26</v>
      </c>
      <c r="AQ938" s="30" t="n">
        <v>18</v>
      </c>
      <c r="AR938" s="19" t="n">
        <v>10437.5027909148</v>
      </c>
    </row>
    <row r="939" customFormat="false" ht="15" hidden="false" customHeight="false" outlineLevel="0" collapsed="false">
      <c r="A939" s="18" t="n">
        <v>46000</v>
      </c>
      <c r="B939" s="19" t="n">
        <v>8394571898.99</v>
      </c>
      <c r="C939" s="19" t="n">
        <v>288573447.49</v>
      </c>
      <c r="D939" s="19" t="n">
        <v>242510850</v>
      </c>
      <c r="E939" s="21" t="n">
        <f aca="false">B939+C939</f>
        <v>8683145346.48</v>
      </c>
      <c r="F939" s="21" t="n">
        <f aca="false">E939+D939</f>
        <v>8925656196.48</v>
      </c>
      <c r="G939" s="22" t="n">
        <f aca="false">IFERROR(C939/E939,0)</f>
        <v>0.0332337460649536</v>
      </c>
      <c r="H939" s="19" t="n">
        <v>3223637</v>
      </c>
      <c r="I939" s="19" t="n">
        <v>121960</v>
      </c>
      <c r="J939" s="19" t="n">
        <v>30638</v>
      </c>
      <c r="K939" s="21" t="n">
        <f aca="false">H939+I939</f>
        <v>3345597</v>
      </c>
      <c r="L939" s="19" t="n">
        <v>15063.6655744867</v>
      </c>
      <c r="M939" s="21" t="n">
        <f aca="false">H939-L939</f>
        <v>3208573.33442551</v>
      </c>
      <c r="N939" s="23" t="n">
        <f aca="false">IFERROR(M939/B939*10000,0)</f>
        <v>3.82220007527907</v>
      </c>
      <c r="O939" s="19" t="n">
        <v>2939646</v>
      </c>
      <c r="P939" s="19" t="n">
        <v>93509</v>
      </c>
      <c r="Q939" s="21" t="n">
        <f aca="false">O939+P939</f>
        <v>3033155</v>
      </c>
      <c r="R939" s="22" t="n">
        <f aca="false">IF(A939&lt;HlpChangeDate,HlpSharePre,HlpSharePost)</f>
        <v>0.01</v>
      </c>
      <c r="S939" s="21" t="n">
        <f aca="false">Q939*R939/(1-R939)</f>
        <v>30637.9292929293</v>
      </c>
      <c r="T939" s="19" t="n">
        <v>30638</v>
      </c>
      <c r="U939" s="21" t="n">
        <f aca="false">S939-T939</f>
        <v>-0.0707070707067032</v>
      </c>
      <c r="V939" s="21" t="n">
        <f aca="false">Y939-O939*R939/(1-R939)</f>
        <v>254298.606060606</v>
      </c>
      <c r="W939" s="21" t="n">
        <f aca="false">Z939-P939*R939/(1-R939)</f>
        <v>27507.4646464646</v>
      </c>
      <c r="X939" s="21" t="n">
        <f aca="false">S939+V939+W939</f>
        <v>312444</v>
      </c>
      <c r="Y939" s="19" t="n">
        <v>283992</v>
      </c>
      <c r="Z939" s="19" t="n">
        <v>28452</v>
      </c>
      <c r="AA939" s="19" t="n">
        <v>3033155</v>
      </c>
      <c r="AB939" s="29" t="n">
        <v>27.901</v>
      </c>
      <c r="AC939" s="29" t="n">
        <v>28.582</v>
      </c>
      <c r="AD939" s="24" t="n">
        <f aca="false">IFERROR(AA939/AC939,0)</f>
        <v>106121.160170737</v>
      </c>
      <c r="AE939" s="25" t="n">
        <f aca="false">K939-Q939-X939</f>
        <v>-1.99999999994179</v>
      </c>
      <c r="AF939" s="25" t="n">
        <f aca="false">Q939-AA939</f>
        <v>0</v>
      </c>
      <c r="AG939" s="19" t="n">
        <v>2454089.48796403</v>
      </c>
      <c r="AH939" s="26" t="n">
        <f aca="false">IFERROR(AG939/Q939,0)</f>
        <v>0.80908805780253</v>
      </c>
      <c r="AI939" s="27" t="n">
        <v>410512171.059908</v>
      </c>
      <c r="AJ939" s="26" t="n">
        <f aca="false">IF(AI939&gt;0,AprCoef/SQRT(AI939),0)</f>
        <v>0.0233945837709358</v>
      </c>
      <c r="AK939" s="24" t="n">
        <f aca="false">AI939*AJ939/365</f>
        <v>26311.6749995883</v>
      </c>
      <c r="AL939" s="24" t="n">
        <f aca="false">AD939</f>
        <v>106121.160170737</v>
      </c>
      <c r="AM939" s="24" t="n">
        <f aca="false">AK939-AL939</f>
        <v>-79809.4851711485</v>
      </c>
      <c r="AN939" s="28" t="str">
        <f aca="false">IF(A939&gt;=Hip3LaunchDate,"YES","")</f>
        <v>YES</v>
      </c>
      <c r="AO939" s="28" t="str">
        <f aca="false">IF(A939&lt;Hip4LaunchDate,"pre-launch","live (zero-fee)")</f>
        <v>pre-launch</v>
      </c>
      <c r="AP939" s="30" t="n">
        <v>26</v>
      </c>
      <c r="AQ939" s="30" t="n">
        <v>18</v>
      </c>
      <c r="AR939" s="19" t="n">
        <v>11175.2715810786</v>
      </c>
    </row>
    <row r="940" customFormat="false" ht="15" hidden="false" customHeight="false" outlineLevel="0" collapsed="false">
      <c r="A940" s="18" t="n">
        <v>46001</v>
      </c>
      <c r="B940" s="19" t="n">
        <v>7948970492.46</v>
      </c>
      <c r="C940" s="19" t="n">
        <v>396820136.35</v>
      </c>
      <c r="D940" s="19" t="n">
        <v>231476519</v>
      </c>
      <c r="E940" s="21" t="n">
        <f aca="false">B940+C940</f>
        <v>8345790628.81</v>
      </c>
      <c r="F940" s="21" t="n">
        <f aca="false">E940+D940</f>
        <v>8577267147.81</v>
      </c>
      <c r="G940" s="22" t="n">
        <f aca="false">IFERROR(C940/E940,0)</f>
        <v>0.047547339011856</v>
      </c>
      <c r="H940" s="19" t="n">
        <v>3061012</v>
      </c>
      <c r="I940" s="19" t="n">
        <v>134546</v>
      </c>
      <c r="J940" s="19" t="n">
        <v>28938</v>
      </c>
      <c r="K940" s="21" t="n">
        <f aca="false">H940+I940</f>
        <v>3195558</v>
      </c>
      <c r="L940" s="19" t="n">
        <v>19676.7393652676</v>
      </c>
      <c r="M940" s="21" t="n">
        <f aca="false">H940-L940</f>
        <v>3041335.26063473</v>
      </c>
      <c r="N940" s="23" t="n">
        <f aca="false">IFERROR(M940/B940*10000,0)</f>
        <v>3.82607441242812</v>
      </c>
      <c r="O940" s="19" t="n">
        <v>2790047</v>
      </c>
      <c r="P940" s="19" t="n">
        <v>74812</v>
      </c>
      <c r="Q940" s="21" t="n">
        <f aca="false">O940+P940</f>
        <v>2864859</v>
      </c>
      <c r="R940" s="22" t="n">
        <f aca="false">IF(A940&lt;HlpChangeDate,HlpSharePre,HlpSharePost)</f>
        <v>0.01</v>
      </c>
      <c r="S940" s="21" t="n">
        <f aca="false">Q940*R940/(1-R940)</f>
        <v>28937.9696969697</v>
      </c>
      <c r="T940" s="19" t="n">
        <v>28938</v>
      </c>
      <c r="U940" s="21" t="n">
        <f aca="false">S940-T940</f>
        <v>-0.0303030303039122</v>
      </c>
      <c r="V940" s="21" t="n">
        <f aca="false">Y940-O940*R940/(1-R940)</f>
        <v>242783.707070707</v>
      </c>
      <c r="W940" s="21" t="n">
        <f aca="false">Z940-P940*R940/(1-R940)</f>
        <v>58978.3232323232</v>
      </c>
      <c r="X940" s="21" t="n">
        <f aca="false">S940+V940+W940</f>
        <v>330700</v>
      </c>
      <c r="Y940" s="19" t="n">
        <v>270966</v>
      </c>
      <c r="Z940" s="19" t="n">
        <v>59734</v>
      </c>
      <c r="AA940" s="19" t="n">
        <v>2864859</v>
      </c>
      <c r="AB940" s="29" t="n">
        <v>28.836</v>
      </c>
      <c r="AC940" s="29" t="n">
        <v>28.58875</v>
      </c>
      <c r="AD940" s="24" t="n">
        <f aca="false">IFERROR(AA940/AC940,0)</f>
        <v>100209.313103931</v>
      </c>
      <c r="AE940" s="25" t="n">
        <f aca="false">K940-Q940-X940</f>
        <v>-1</v>
      </c>
      <c r="AF940" s="25" t="n">
        <f aca="false">Q940-AA940</f>
        <v>0</v>
      </c>
      <c r="AG940" s="19" t="n">
        <v>2302142.27518797</v>
      </c>
      <c r="AH940" s="26" t="n">
        <f aca="false">IFERROR(AG940/Q940,0)</f>
        <v>0.803579609044623</v>
      </c>
      <c r="AI940" s="27" t="n">
        <v>410666937.806452</v>
      </c>
      <c r="AJ940" s="26" t="n">
        <f aca="false">IF(AI940&gt;0,AprCoef/SQRT(AI940),0)</f>
        <v>0.0233901750342216</v>
      </c>
      <c r="AK940" s="24" t="n">
        <f aca="false">AI940*AJ940/365</f>
        <v>26316.6344001663</v>
      </c>
      <c r="AL940" s="24" t="n">
        <f aca="false">AD940</f>
        <v>100209.313103931</v>
      </c>
      <c r="AM940" s="24" t="n">
        <f aca="false">AK940-AL940</f>
        <v>-73892.6787037644</v>
      </c>
      <c r="AN940" s="28" t="str">
        <f aca="false">IF(A940&gt;=Hip3LaunchDate,"YES","")</f>
        <v>YES</v>
      </c>
      <c r="AO940" s="28" t="str">
        <f aca="false">IF(A940&lt;Hip4LaunchDate,"pre-launch","live (zero-fee)")</f>
        <v>pre-launch</v>
      </c>
      <c r="AP940" s="30" t="n">
        <v>27</v>
      </c>
      <c r="AQ940" s="30" t="n">
        <v>18</v>
      </c>
      <c r="AR940" s="19" t="n">
        <v>14387.2373948189</v>
      </c>
    </row>
    <row r="941" customFormat="false" ht="15" hidden="false" customHeight="false" outlineLevel="0" collapsed="false">
      <c r="A941" s="18" t="n">
        <v>46002</v>
      </c>
      <c r="B941" s="19" t="n">
        <v>7799431900.45</v>
      </c>
      <c r="C941" s="19" t="n">
        <v>476510012.25</v>
      </c>
      <c r="D941" s="19" t="n">
        <v>185478279</v>
      </c>
      <c r="E941" s="21" t="n">
        <f aca="false">B941+C941</f>
        <v>8275941912.7</v>
      </c>
      <c r="F941" s="21" t="n">
        <f aca="false">E941+D941</f>
        <v>8461420191.7</v>
      </c>
      <c r="G941" s="22" t="n">
        <f aca="false">IFERROR(C941/E941,0)</f>
        <v>0.0575777376492654</v>
      </c>
      <c r="H941" s="19" t="n">
        <v>3095265</v>
      </c>
      <c r="I941" s="19" t="n">
        <v>89006</v>
      </c>
      <c r="J941" s="19" t="n">
        <v>29121</v>
      </c>
      <c r="K941" s="21" t="n">
        <f aca="false">H941+I941</f>
        <v>3184271</v>
      </c>
      <c r="L941" s="19" t="n">
        <v>20829.4726485477</v>
      </c>
      <c r="M941" s="21" t="n">
        <f aca="false">H941-L941</f>
        <v>3074435.52735145</v>
      </c>
      <c r="N941" s="23" t="n">
        <f aca="false">IFERROR(M941/B941*10000,0)</f>
        <v>3.94187110880995</v>
      </c>
      <c r="O941" s="19" t="n">
        <v>2817278</v>
      </c>
      <c r="P941" s="19" t="n">
        <v>65652</v>
      </c>
      <c r="Q941" s="21" t="n">
        <f aca="false">O941+P941</f>
        <v>2882930</v>
      </c>
      <c r="R941" s="22" t="n">
        <f aca="false">IF(A941&lt;HlpChangeDate,HlpSharePre,HlpSharePost)</f>
        <v>0.01</v>
      </c>
      <c r="S941" s="21" t="n">
        <f aca="false">Q941*R941/(1-R941)</f>
        <v>29120.5050505051</v>
      </c>
      <c r="T941" s="19" t="n">
        <v>29121</v>
      </c>
      <c r="U941" s="21" t="n">
        <f aca="false">S941-T941</f>
        <v>-0.494949494950561</v>
      </c>
      <c r="V941" s="21" t="n">
        <f aca="false">Y941-O941*R941/(1-R941)</f>
        <v>249529.646464646</v>
      </c>
      <c r="W941" s="21" t="n">
        <f aca="false">Z941-P941*R941/(1-R941)</f>
        <v>22689.8484848485</v>
      </c>
      <c r="X941" s="21" t="n">
        <f aca="false">S941+V941+W941</f>
        <v>301340</v>
      </c>
      <c r="Y941" s="19" t="n">
        <v>277987</v>
      </c>
      <c r="Z941" s="19" t="n">
        <v>23353</v>
      </c>
      <c r="AA941" s="19" t="n">
        <v>2882930</v>
      </c>
      <c r="AB941" s="29" t="n">
        <v>29.164</v>
      </c>
      <c r="AC941" s="29" t="n">
        <v>28.5275</v>
      </c>
      <c r="AD941" s="24" t="n">
        <f aca="false">IFERROR(AA941/AC941,0)</f>
        <v>101057.926562089</v>
      </c>
      <c r="AE941" s="25" t="n">
        <f aca="false">K941-Q941-X941</f>
        <v>0.999999999941792</v>
      </c>
      <c r="AF941" s="25" t="n">
        <f aca="false">Q941-AA941</f>
        <v>0</v>
      </c>
      <c r="AG941" s="19" t="n">
        <v>2236592.30879402</v>
      </c>
      <c r="AH941" s="26" t="n">
        <f aca="false">IFERROR(AG941/Q941,0)</f>
        <v>0.775805277545422</v>
      </c>
      <c r="AI941" s="27" t="n">
        <v>410821704.552995</v>
      </c>
      <c r="AJ941" s="26" t="n">
        <f aca="false">IF(AI941&gt;0,AprCoef/SQRT(AI941),0)</f>
        <v>0.0233857687890631</v>
      </c>
      <c r="AK941" s="24" t="n">
        <f aca="false">AI941*AJ941/365</f>
        <v>26321.5928663155</v>
      </c>
      <c r="AL941" s="24" t="n">
        <f aca="false">AD941</f>
        <v>101057.926562089</v>
      </c>
      <c r="AM941" s="24" t="n">
        <f aca="false">AK941-AL941</f>
        <v>-74736.3336957737</v>
      </c>
      <c r="AN941" s="28" t="str">
        <f aca="false">IF(A941&gt;=Hip3LaunchDate,"YES","")</f>
        <v>YES</v>
      </c>
      <c r="AO941" s="28" t="str">
        <f aca="false">IF(A941&lt;Hip4LaunchDate,"pre-launch","live (zero-fee)")</f>
        <v>pre-launch</v>
      </c>
      <c r="AP941" s="30" t="n">
        <v>27</v>
      </c>
      <c r="AQ941" s="30" t="n">
        <v>18</v>
      </c>
      <c r="AR941" s="19" t="n">
        <v>15639.7654914703</v>
      </c>
    </row>
    <row r="942" customFormat="false" ht="15" hidden="false" customHeight="false" outlineLevel="0" collapsed="false">
      <c r="A942" s="18" t="n">
        <v>46003</v>
      </c>
      <c r="B942" s="19" t="n">
        <v>5893889703.06</v>
      </c>
      <c r="C942" s="19" t="n">
        <v>491267765.39</v>
      </c>
      <c r="D942" s="19" t="n">
        <v>155950246</v>
      </c>
      <c r="E942" s="21" t="n">
        <f aca="false">B942+C942</f>
        <v>6385157468.45</v>
      </c>
      <c r="F942" s="21" t="n">
        <f aca="false">E942+D942</f>
        <v>6541107714.45</v>
      </c>
      <c r="G942" s="22" t="n">
        <f aca="false">IFERROR(C942/E942,0)</f>
        <v>0.0769390211310255</v>
      </c>
      <c r="H942" s="19" t="n">
        <v>2285973</v>
      </c>
      <c r="I942" s="19" t="n">
        <v>73899</v>
      </c>
      <c r="J942" s="19" t="n">
        <v>21579</v>
      </c>
      <c r="K942" s="21" t="n">
        <f aca="false">H942+I942</f>
        <v>2359872</v>
      </c>
      <c r="L942" s="19" t="n">
        <v>19838.3572464321</v>
      </c>
      <c r="M942" s="21" t="n">
        <f aca="false">H942-L942</f>
        <v>2266134.64275357</v>
      </c>
      <c r="N942" s="23" t="n">
        <f aca="false">IFERROR(M942/B942*10000,0)</f>
        <v>3.84488810772457</v>
      </c>
      <c r="O942" s="19" t="n">
        <v>2077793</v>
      </c>
      <c r="P942" s="19" t="n">
        <v>58512</v>
      </c>
      <c r="Q942" s="21" t="n">
        <f aca="false">O942+P942</f>
        <v>2136305</v>
      </c>
      <c r="R942" s="22" t="n">
        <f aca="false">IF(A942&lt;HlpChangeDate,HlpSharePre,HlpSharePost)</f>
        <v>0.01</v>
      </c>
      <c r="S942" s="21" t="n">
        <f aca="false">Q942*R942/(1-R942)</f>
        <v>21578.8383838384</v>
      </c>
      <c r="T942" s="19" t="n">
        <v>21579</v>
      </c>
      <c r="U942" s="21" t="n">
        <f aca="false">S942-T942</f>
        <v>-0.16161616161844</v>
      </c>
      <c r="V942" s="21" t="n">
        <f aca="false">Y942-O942*R942/(1-R942)</f>
        <v>187193.191919192</v>
      </c>
      <c r="W942" s="21" t="n">
        <f aca="false">Z942-P942*R942/(1-R942)</f>
        <v>14795.9696969697</v>
      </c>
      <c r="X942" s="21" t="n">
        <f aca="false">S942+V942+W942</f>
        <v>223568</v>
      </c>
      <c r="Y942" s="19" t="n">
        <v>208181</v>
      </c>
      <c r="Z942" s="19" t="n">
        <v>15387</v>
      </c>
      <c r="AA942" s="19" t="n">
        <v>2136305</v>
      </c>
      <c r="AB942" s="29" t="n">
        <v>28.612</v>
      </c>
      <c r="AC942" s="29" t="n">
        <v>29.0945</v>
      </c>
      <c r="AD942" s="24" t="n">
        <f aca="false">IFERROR(AA942/AC942,0)</f>
        <v>73426.4208011824</v>
      </c>
      <c r="AE942" s="25" t="n">
        <f aca="false">K942-Q942-X942</f>
        <v>-1</v>
      </c>
      <c r="AF942" s="25" t="n">
        <f aca="false">Q942-AA942</f>
        <v>0</v>
      </c>
      <c r="AG942" s="19" t="n">
        <v>1719664.34754503</v>
      </c>
      <c r="AH942" s="26" t="n">
        <f aca="false">IFERROR(AG942/Q942,0)</f>
        <v>0.804971362958486</v>
      </c>
      <c r="AI942" s="27" t="n">
        <v>410976471.299539</v>
      </c>
      <c r="AJ942" s="26" t="n">
        <f aca="false">IF(AI942&gt;0,AprCoef/SQRT(AI942),0)</f>
        <v>0.0233813650331145</v>
      </c>
      <c r="AK942" s="24" t="n">
        <f aca="false">AI942*AJ942/365</f>
        <v>26326.5503985639</v>
      </c>
      <c r="AL942" s="24" t="n">
        <f aca="false">AD942</f>
        <v>73426.4208011824</v>
      </c>
      <c r="AM942" s="24" t="n">
        <f aca="false">AK942-AL942</f>
        <v>-47099.8704026185</v>
      </c>
      <c r="AN942" s="28" t="str">
        <f aca="false">IF(A942&gt;=Hip3LaunchDate,"YES","")</f>
        <v>YES</v>
      </c>
      <c r="AO942" s="28" t="str">
        <f aca="false">IF(A942&lt;Hip4LaunchDate,"pre-launch","live (zero-fee)")</f>
        <v>pre-launch</v>
      </c>
      <c r="AP942" s="30" t="n">
        <v>28</v>
      </c>
      <c r="AQ942" s="30" t="n">
        <v>18</v>
      </c>
      <c r="AR942" s="19" t="n">
        <v>15796.8282262105</v>
      </c>
    </row>
    <row r="943" customFormat="false" ht="15" hidden="false" customHeight="false" outlineLevel="0" collapsed="false">
      <c r="A943" s="18" t="n">
        <v>46004</v>
      </c>
      <c r="B943" s="19" t="n">
        <v>1449347167.14</v>
      </c>
      <c r="C943" s="19" t="n">
        <v>46591635.47</v>
      </c>
      <c r="D943" s="19" t="n">
        <v>84693666</v>
      </c>
      <c r="E943" s="21" t="n">
        <f aca="false">B943+C943</f>
        <v>1495938802.61</v>
      </c>
      <c r="F943" s="21" t="n">
        <f aca="false">E943+D943</f>
        <v>1580632468.61</v>
      </c>
      <c r="G943" s="22" t="n">
        <f aca="false">IFERROR(C943/E943,0)</f>
        <v>0.0311454154332453</v>
      </c>
      <c r="H943" s="19" t="n">
        <v>629537</v>
      </c>
      <c r="I943" s="19" t="n">
        <v>47021</v>
      </c>
      <c r="J943" s="19" t="n">
        <v>5863</v>
      </c>
      <c r="K943" s="21" t="n">
        <f aca="false">H943+I943</f>
        <v>676558</v>
      </c>
      <c r="L943" s="19" t="n">
        <v>3759.61185428338</v>
      </c>
      <c r="M943" s="21" t="n">
        <f aca="false">H943-L943</f>
        <v>625777.388145717</v>
      </c>
      <c r="N943" s="23" t="n">
        <f aca="false">IFERROR(M943/B943*10000,0)</f>
        <v>4.31765005882314</v>
      </c>
      <c r="O943" s="19" t="n">
        <v>545421</v>
      </c>
      <c r="P943" s="19" t="n">
        <v>35015</v>
      </c>
      <c r="Q943" s="21" t="n">
        <f aca="false">O943+P943</f>
        <v>580436</v>
      </c>
      <c r="R943" s="22" t="n">
        <f aca="false">IF(A943&lt;HlpChangeDate,HlpSharePre,HlpSharePost)</f>
        <v>0.01</v>
      </c>
      <c r="S943" s="21" t="n">
        <f aca="false">Q943*R943/(1-R943)</f>
        <v>5862.9898989899</v>
      </c>
      <c r="T943" s="19" t="n">
        <v>5863</v>
      </c>
      <c r="U943" s="21" t="n">
        <f aca="false">S943-T943</f>
        <v>-0.0101010101016072</v>
      </c>
      <c r="V943" s="21" t="n">
        <f aca="false">Y943-O943*R943/(1-R943)</f>
        <v>78606.696969697</v>
      </c>
      <c r="W943" s="21" t="n">
        <f aca="false">Z943-P943*R943/(1-R943)</f>
        <v>11652.3131313131</v>
      </c>
      <c r="X943" s="21" t="n">
        <f aca="false">S943+V943+W943</f>
        <v>96122</v>
      </c>
      <c r="Y943" s="19" t="n">
        <v>84116</v>
      </c>
      <c r="Z943" s="19" t="n">
        <v>12006</v>
      </c>
      <c r="AA943" s="19" t="n">
        <v>580436</v>
      </c>
      <c r="AB943" s="29" t="n">
        <v>29.593</v>
      </c>
      <c r="AC943" s="29" t="n">
        <v>28.97325</v>
      </c>
      <c r="AD943" s="24" t="n">
        <f aca="false">IFERROR(AA943/AC943,0)</f>
        <v>20033.5136720941</v>
      </c>
      <c r="AE943" s="25" t="n">
        <f aca="false">K943-Q943-X943</f>
        <v>0</v>
      </c>
      <c r="AF943" s="25" t="n">
        <f aca="false">Q943-AA943</f>
        <v>0</v>
      </c>
      <c r="AG943" s="19" t="n">
        <v>462679.303442001</v>
      </c>
      <c r="AH943" s="26" t="n">
        <f aca="false">IFERROR(AG943/Q943,0)</f>
        <v>0.797123719827856</v>
      </c>
      <c r="AI943" s="27" t="n">
        <v>411131238.046083</v>
      </c>
      <c r="AJ943" s="26" t="n">
        <f aca="false">IF(AI943&gt;0,AprCoef/SQRT(AI943),0)</f>
        <v>0.0233769637640328</v>
      </c>
      <c r="AK943" s="24" t="n">
        <f aca="false">AI943*AJ943/365</f>
        <v>26331.506997439</v>
      </c>
      <c r="AL943" s="24" t="n">
        <f aca="false">AD943</f>
        <v>20033.5136720941</v>
      </c>
      <c r="AM943" s="24" t="n">
        <f aca="false">AK943-AL943</f>
        <v>6297.99332534488</v>
      </c>
      <c r="AN943" s="28" t="str">
        <f aca="false">IF(A943&gt;=Hip3LaunchDate,"YES","")</f>
        <v>YES</v>
      </c>
      <c r="AO943" s="28" t="str">
        <f aca="false">IF(A943&lt;Hip4LaunchDate,"pre-launch","live (zero-fee)")</f>
        <v>pre-launch</v>
      </c>
      <c r="AP943" s="30" t="n">
        <v>28</v>
      </c>
      <c r="AQ943" s="30" t="n">
        <v>18</v>
      </c>
      <c r="AR943" s="19" t="n">
        <v>1596.3607522129</v>
      </c>
    </row>
    <row r="944" customFormat="false" ht="15" hidden="false" customHeight="false" outlineLevel="0" collapsed="false">
      <c r="A944" s="18" t="n">
        <v>46005</v>
      </c>
      <c r="B944" s="19" t="n">
        <v>3168539416.95</v>
      </c>
      <c r="C944" s="19" t="n">
        <v>142350093.39</v>
      </c>
      <c r="D944" s="19" t="n">
        <v>140402699</v>
      </c>
      <c r="E944" s="21" t="n">
        <f aca="false">B944+C944</f>
        <v>3310889510.34</v>
      </c>
      <c r="F944" s="21" t="n">
        <f aca="false">E944+D944</f>
        <v>3451292209.34</v>
      </c>
      <c r="G944" s="22" t="n">
        <f aca="false">IFERROR(C944/E944,0)</f>
        <v>0.0429945164118092</v>
      </c>
      <c r="H944" s="19" t="n">
        <v>1337707</v>
      </c>
      <c r="I944" s="19" t="n">
        <v>83666</v>
      </c>
      <c r="J944" s="19" t="n">
        <v>12523</v>
      </c>
      <c r="K944" s="21" t="n">
        <f aca="false">H944+I944</f>
        <v>1421373</v>
      </c>
      <c r="L944" s="19" t="n">
        <v>7749.61522778286</v>
      </c>
      <c r="M944" s="21" t="n">
        <f aca="false">H944-L944</f>
        <v>1329957.38477222</v>
      </c>
      <c r="N944" s="23" t="n">
        <f aca="false">IFERROR(M944/B944*10000,0)</f>
        <v>4.19738311493824</v>
      </c>
      <c r="O944" s="19" t="n">
        <v>1175967</v>
      </c>
      <c r="P944" s="19" t="n">
        <v>63808</v>
      </c>
      <c r="Q944" s="21" t="n">
        <f aca="false">O944+P944</f>
        <v>1239775</v>
      </c>
      <c r="R944" s="22" t="n">
        <f aca="false">IF(A944&lt;HlpChangeDate,HlpSharePre,HlpSharePost)</f>
        <v>0.01</v>
      </c>
      <c r="S944" s="21" t="n">
        <f aca="false">Q944*R944/(1-R944)</f>
        <v>12522.9797979798</v>
      </c>
      <c r="T944" s="19" t="n">
        <v>12523</v>
      </c>
      <c r="U944" s="21" t="n">
        <f aca="false">S944-T944</f>
        <v>-0.0202020202013955</v>
      </c>
      <c r="V944" s="21" t="n">
        <f aca="false">Y944-O944*R944/(1-R944)</f>
        <v>149861.545454545</v>
      </c>
      <c r="W944" s="21" t="n">
        <f aca="false">Z944-P944*R944/(1-R944)</f>
        <v>19213.4747474748</v>
      </c>
      <c r="X944" s="21" t="n">
        <f aca="false">S944+V944+W944</f>
        <v>181598</v>
      </c>
      <c r="Y944" s="19" t="n">
        <v>161740</v>
      </c>
      <c r="Z944" s="19" t="n">
        <v>19858</v>
      </c>
      <c r="AA944" s="19" t="n">
        <v>1239775</v>
      </c>
      <c r="AB944" s="29" t="n">
        <v>28.834</v>
      </c>
      <c r="AC944" s="29" t="n">
        <v>29.18125</v>
      </c>
      <c r="AD944" s="24" t="n">
        <f aca="false">IFERROR(AA944/AC944,0)</f>
        <v>42485.3287641893</v>
      </c>
      <c r="AE944" s="25" t="n">
        <f aca="false">K944-Q944-X944</f>
        <v>0</v>
      </c>
      <c r="AF944" s="25" t="n">
        <f aca="false">Q944-AA944</f>
        <v>0</v>
      </c>
      <c r="AG944" s="19" t="n">
        <v>952815.07998395</v>
      </c>
      <c r="AH944" s="26" t="n">
        <f aca="false">IFERROR(AG944/Q944,0)</f>
        <v>0.768538710640197</v>
      </c>
      <c r="AI944" s="27" t="n">
        <v>411286004.792627</v>
      </c>
      <c r="AJ944" s="26" t="n">
        <f aca="false">IF(AI944&gt;0,AprCoef/SQRT(AI944),0)</f>
        <v>0.0233725649794784</v>
      </c>
      <c r="AK944" s="24" t="n">
        <f aca="false">AI944*AJ944/365</f>
        <v>26336.4626634678</v>
      </c>
      <c r="AL944" s="24" t="n">
        <f aca="false">AD944</f>
        <v>42485.3287641893</v>
      </c>
      <c r="AM944" s="24" t="n">
        <f aca="false">AK944-AL944</f>
        <v>-16148.8661007216</v>
      </c>
      <c r="AN944" s="28" t="str">
        <f aca="false">IF(A944&gt;=Hip3LaunchDate,"YES","")</f>
        <v>YES</v>
      </c>
      <c r="AO944" s="28" t="str">
        <f aca="false">IF(A944&lt;Hip4LaunchDate,"pre-launch","live (zero-fee)")</f>
        <v>pre-launch</v>
      </c>
      <c r="AP944" s="30" t="n">
        <v>28</v>
      </c>
      <c r="AQ944" s="30" t="n">
        <v>18</v>
      </c>
      <c r="AR944" s="19" t="n">
        <v>4628.50426972153</v>
      </c>
    </row>
    <row r="945" customFormat="false" ht="15" hidden="false" customHeight="false" outlineLevel="0" collapsed="false">
      <c r="A945" s="18" t="n">
        <v>46006</v>
      </c>
      <c r="B945" s="19" t="n">
        <v>7466293547.35</v>
      </c>
      <c r="C945" s="19" t="n">
        <v>340496991.35</v>
      </c>
      <c r="D945" s="19" t="n">
        <v>166090941</v>
      </c>
      <c r="E945" s="21" t="n">
        <f aca="false">B945+C945</f>
        <v>7806790538.7</v>
      </c>
      <c r="F945" s="21" t="n">
        <f aca="false">E945+D945</f>
        <v>7972881479.7</v>
      </c>
      <c r="G945" s="22" t="n">
        <f aca="false">IFERROR(C945/E945,0)</f>
        <v>0.0436154895743751</v>
      </c>
      <c r="H945" s="19" t="n">
        <v>2689400</v>
      </c>
      <c r="I945" s="19" t="n">
        <v>85315</v>
      </c>
      <c r="J945" s="19" t="n">
        <v>25341</v>
      </c>
      <c r="K945" s="21" t="n">
        <f aca="false">H945+I945</f>
        <v>2774715</v>
      </c>
      <c r="L945" s="19" t="n">
        <v>16419.0034121406</v>
      </c>
      <c r="M945" s="21" t="n">
        <f aca="false">H945-L945</f>
        <v>2672980.99658786</v>
      </c>
      <c r="N945" s="23" t="n">
        <f aca="false">IFERROR(M945/B945*10000,0)</f>
        <v>3.58006416388032</v>
      </c>
      <c r="O945" s="19" t="n">
        <v>2443396</v>
      </c>
      <c r="P945" s="19" t="n">
        <v>65373</v>
      </c>
      <c r="Q945" s="21" t="n">
        <f aca="false">O945+P945</f>
        <v>2508769</v>
      </c>
      <c r="R945" s="22" t="n">
        <f aca="false">IF(A945&lt;HlpChangeDate,HlpSharePre,HlpSharePost)</f>
        <v>0.01</v>
      </c>
      <c r="S945" s="21" t="n">
        <f aca="false">Q945*R945/(1-R945)</f>
        <v>25341.101010101</v>
      </c>
      <c r="T945" s="19" t="n">
        <v>25341</v>
      </c>
      <c r="U945" s="21" t="n">
        <f aca="false">S945-T945</f>
        <v>0.101010101014253</v>
      </c>
      <c r="V945" s="21" t="n">
        <f aca="false">Y945-O945*R945/(1-R945)</f>
        <v>221323.232323232</v>
      </c>
      <c r="W945" s="21" t="n">
        <f aca="false">Z945-P945*R945/(1-R945)</f>
        <v>19281.6666666667</v>
      </c>
      <c r="X945" s="21" t="n">
        <f aca="false">S945+V945+W945</f>
        <v>265946</v>
      </c>
      <c r="Y945" s="19" t="n">
        <v>246004</v>
      </c>
      <c r="Z945" s="19" t="n">
        <v>19942</v>
      </c>
      <c r="AA945" s="19" t="n">
        <v>2508769</v>
      </c>
      <c r="AB945" s="29" t="n">
        <v>27.598</v>
      </c>
      <c r="AC945" s="29" t="n">
        <v>28.29975</v>
      </c>
      <c r="AD945" s="24" t="n">
        <f aca="false">IFERROR(AA945/AC945,0)</f>
        <v>88649.8643980954</v>
      </c>
      <c r="AE945" s="25" t="n">
        <f aca="false">K945-Q945-X945</f>
        <v>0</v>
      </c>
      <c r="AF945" s="25" t="n">
        <f aca="false">Q945-AA945</f>
        <v>0</v>
      </c>
      <c r="AG945" s="19" t="n">
        <v>2139989.51472509</v>
      </c>
      <c r="AH945" s="26" t="n">
        <f aca="false">IFERROR(AG945/Q945,0)</f>
        <v>0.853003809727037</v>
      </c>
      <c r="AI945" s="27" t="n">
        <v>411440771.539171</v>
      </c>
      <c r="AJ945" s="26" t="n">
        <f aca="false">IF(AI945&gt;0,AprCoef/SQRT(AI945),0)</f>
        <v>0.0233681686771146</v>
      </c>
      <c r="AK945" s="24" t="n">
        <f aca="false">AI945*AJ945/365</f>
        <v>26341.4173971767</v>
      </c>
      <c r="AL945" s="24" t="n">
        <f aca="false">AD945</f>
        <v>88649.8643980954</v>
      </c>
      <c r="AM945" s="24" t="n">
        <f aca="false">AK945-AL945</f>
        <v>-62308.4470009187</v>
      </c>
      <c r="AN945" s="28" t="str">
        <f aca="false">IF(A945&gt;=Hip3LaunchDate,"YES","")</f>
        <v>YES</v>
      </c>
      <c r="AO945" s="28" t="str">
        <f aca="false">IF(A945&lt;Hip4LaunchDate,"pre-launch","live (zero-fee)")</f>
        <v>pre-launch</v>
      </c>
      <c r="AP945" s="30" t="n">
        <v>30</v>
      </c>
      <c r="AQ945" s="30" t="n">
        <v>19</v>
      </c>
      <c r="AR945" s="19" t="n">
        <v>11896.029387983</v>
      </c>
    </row>
    <row r="946" customFormat="false" ht="15" hidden="false" customHeight="false" outlineLevel="0" collapsed="false">
      <c r="A946" s="18" t="n">
        <v>46007</v>
      </c>
      <c r="B946" s="19" t="n">
        <v>5164187267.6</v>
      </c>
      <c r="C946" s="19" t="n">
        <v>376738432.91</v>
      </c>
      <c r="D946" s="19" t="n">
        <v>203429370</v>
      </c>
      <c r="E946" s="21" t="n">
        <f aca="false">B946+C946</f>
        <v>5540925700.51</v>
      </c>
      <c r="F946" s="21" t="n">
        <f aca="false">E946+D946</f>
        <v>5744355070.51</v>
      </c>
      <c r="G946" s="22" t="n">
        <f aca="false">IFERROR(C946/E946,0)</f>
        <v>0.0679919661935413</v>
      </c>
      <c r="H946" s="19" t="n">
        <v>2048662</v>
      </c>
      <c r="I946" s="19" t="n">
        <v>106340</v>
      </c>
      <c r="J946" s="19" t="n">
        <v>19369</v>
      </c>
      <c r="K946" s="21" t="n">
        <f aca="false">H946+I946</f>
        <v>2155002</v>
      </c>
      <c r="L946" s="19" t="n">
        <v>16760.6371955209</v>
      </c>
      <c r="M946" s="21" t="n">
        <f aca="false">H946-L946</f>
        <v>2031901.36280448</v>
      </c>
      <c r="N946" s="23" t="n">
        <f aca="false">IFERROR(M946/B946*10000,0)</f>
        <v>3.93460046569687</v>
      </c>
      <c r="O946" s="19" t="n">
        <v>1839316</v>
      </c>
      <c r="P946" s="19" t="n">
        <v>78197</v>
      </c>
      <c r="Q946" s="21" t="n">
        <f aca="false">O946+P946</f>
        <v>1917513</v>
      </c>
      <c r="R946" s="22" t="n">
        <f aca="false">IF(A946&lt;HlpChangeDate,HlpSharePre,HlpSharePost)</f>
        <v>0.01</v>
      </c>
      <c r="S946" s="21" t="n">
        <f aca="false">Q946*R946/(1-R946)</f>
        <v>19368.8181818182</v>
      </c>
      <c r="T946" s="19" t="n">
        <v>19369</v>
      </c>
      <c r="U946" s="21" t="n">
        <f aca="false">S946-T946</f>
        <v>-0.181818181816197</v>
      </c>
      <c r="V946" s="21" t="n">
        <f aca="false">Y946-O946*R946/(1-R946)</f>
        <v>190768.050505051</v>
      </c>
      <c r="W946" s="21" t="n">
        <f aca="false">Z946-P946*R946/(1-R946)</f>
        <v>27353.1313131313</v>
      </c>
      <c r="X946" s="21" t="n">
        <f aca="false">S946+V946+W946</f>
        <v>237490</v>
      </c>
      <c r="Y946" s="19" t="n">
        <v>209347</v>
      </c>
      <c r="Z946" s="19" t="n">
        <v>28143</v>
      </c>
      <c r="AA946" s="19" t="n">
        <v>1917513</v>
      </c>
      <c r="AB946" s="29" t="n">
        <v>26.795</v>
      </c>
      <c r="AC946" s="29" t="n">
        <v>27.02725</v>
      </c>
      <c r="AD946" s="24" t="n">
        <f aca="false">IFERROR(AA946/AC946,0)</f>
        <v>70947.3956839856</v>
      </c>
      <c r="AE946" s="25" t="n">
        <f aca="false">K946-Q946-X946</f>
        <v>-1</v>
      </c>
      <c r="AF946" s="25" t="n">
        <f aca="false">Q946-AA946</f>
        <v>0</v>
      </c>
      <c r="AG946" s="19" t="n">
        <v>1552377.61326599</v>
      </c>
      <c r="AH946" s="26" t="n">
        <f aca="false">IFERROR(AG946/Q946,0)</f>
        <v>0.809578664272936</v>
      </c>
      <c r="AI946" s="27" t="n">
        <v>411595538.285714</v>
      </c>
      <c r="AJ946" s="26" t="n">
        <f aca="false">IF(AI946&gt;0,AprCoef/SQRT(AI946),0)</f>
        <v>0.0233637748546078</v>
      </c>
      <c r="AK946" s="24" t="n">
        <f aca="false">AI946*AJ946/365</f>
        <v>26346.3711990919</v>
      </c>
      <c r="AL946" s="24" t="n">
        <f aca="false">AD946</f>
        <v>70947.3956839856</v>
      </c>
      <c r="AM946" s="24" t="n">
        <f aca="false">AK946-AL946</f>
        <v>-44601.0244848937</v>
      </c>
      <c r="AN946" s="28" t="str">
        <f aca="false">IF(A946&gt;=Hip3LaunchDate,"YES","")</f>
        <v>YES</v>
      </c>
      <c r="AO946" s="28" t="str">
        <f aca="false">IF(A946&lt;Hip4LaunchDate,"pre-launch","live (zero-fee)")</f>
        <v>pre-launch</v>
      </c>
      <c r="AP946" s="30" t="n">
        <v>31</v>
      </c>
      <c r="AQ946" s="30" t="n">
        <v>19</v>
      </c>
      <c r="AR946" s="19" t="n">
        <v>12828.2777691846</v>
      </c>
    </row>
    <row r="947" customFormat="false" ht="15" hidden="false" customHeight="false" outlineLevel="0" collapsed="false">
      <c r="A947" s="18" t="n">
        <v>46008</v>
      </c>
      <c r="B947" s="19" t="n">
        <v>7767570286.71</v>
      </c>
      <c r="C947" s="19" t="n">
        <v>376182993.88</v>
      </c>
      <c r="D947" s="19" t="n">
        <v>274131324</v>
      </c>
      <c r="E947" s="21" t="n">
        <f aca="false">B947+C947</f>
        <v>8143753280.59</v>
      </c>
      <c r="F947" s="21" t="n">
        <f aca="false">E947+D947</f>
        <v>8417884604.59</v>
      </c>
      <c r="G947" s="22" t="n">
        <f aca="false">IFERROR(C947/E947,0)</f>
        <v>0.0461928279159197</v>
      </c>
      <c r="H947" s="19" t="n">
        <v>2974448</v>
      </c>
      <c r="I947" s="19" t="n">
        <v>152482</v>
      </c>
      <c r="J947" s="19" t="n">
        <v>28400</v>
      </c>
      <c r="K947" s="21" t="n">
        <f aca="false">H947+I947</f>
        <v>3126930</v>
      </c>
      <c r="L947" s="19" t="n">
        <v>18359.842300054</v>
      </c>
      <c r="M947" s="21" t="n">
        <f aca="false">H947-L947</f>
        <v>2956088.15769995</v>
      </c>
      <c r="N947" s="23" t="n">
        <f aca="false">IFERROR(M947/B947*10000,0)</f>
        <v>3.80567931616621</v>
      </c>
      <c r="O947" s="19" t="n">
        <v>2682622</v>
      </c>
      <c r="P947" s="19" t="n">
        <v>128952</v>
      </c>
      <c r="Q947" s="21" t="n">
        <f aca="false">O947+P947</f>
        <v>2811574</v>
      </c>
      <c r="R947" s="22" t="n">
        <f aca="false">IF(A947&lt;HlpChangeDate,HlpSharePre,HlpSharePost)</f>
        <v>0.01</v>
      </c>
      <c r="S947" s="21" t="n">
        <f aca="false">Q947*R947/(1-R947)</f>
        <v>28399.7373737374</v>
      </c>
      <c r="T947" s="19" t="n">
        <v>28400</v>
      </c>
      <c r="U947" s="21" t="n">
        <f aca="false">S947-T947</f>
        <v>-0.262626262625417</v>
      </c>
      <c r="V947" s="21" t="n">
        <f aca="false">Y947-O947*R947/(1-R947)</f>
        <v>264727.808080808</v>
      </c>
      <c r="W947" s="21" t="n">
        <f aca="false">Z947-P947*R947/(1-R947)</f>
        <v>22226.4545454545</v>
      </c>
      <c r="X947" s="21" t="n">
        <f aca="false">S947+V947+W947</f>
        <v>315354</v>
      </c>
      <c r="Y947" s="19" t="n">
        <v>291825</v>
      </c>
      <c r="Z947" s="19" t="n">
        <v>23529</v>
      </c>
      <c r="AA947" s="19" t="n">
        <v>2811574</v>
      </c>
      <c r="AB947" s="29" t="n">
        <v>24.482</v>
      </c>
      <c r="AC947" s="29" t="n">
        <v>25.95</v>
      </c>
      <c r="AD947" s="24" t="n">
        <f aca="false">IFERROR(AA947/AC947,0)</f>
        <v>108345.818882466</v>
      </c>
      <c r="AE947" s="25" t="n">
        <f aca="false">K947-Q947-X947</f>
        <v>2</v>
      </c>
      <c r="AF947" s="25" t="n">
        <f aca="false">Q947-AA947</f>
        <v>0</v>
      </c>
      <c r="AG947" s="19" t="n">
        <v>2239995.51479399</v>
      </c>
      <c r="AH947" s="26" t="n">
        <f aca="false">IFERROR(AG947/Q947,0)</f>
        <v>0.79670516045247</v>
      </c>
      <c r="AI947" s="27" t="n">
        <v>411750305.032258</v>
      </c>
      <c r="AJ947" s="26" t="n">
        <f aca="false">IF(AI947&gt;0,AprCoef/SQRT(AI947),0)</f>
        <v>0.0233593835096276</v>
      </c>
      <c r="AK947" s="24" t="n">
        <f aca="false">AI947*AJ947/365</f>
        <v>26351.3240697388</v>
      </c>
      <c r="AL947" s="24" t="n">
        <f aca="false">AD947</f>
        <v>108345.818882466</v>
      </c>
      <c r="AM947" s="24" t="n">
        <f aca="false">AK947-AL947</f>
        <v>-81994.4948127275</v>
      </c>
      <c r="AN947" s="28" t="str">
        <f aca="false">IF(A947&gt;=Hip3LaunchDate,"YES","")</f>
        <v>YES</v>
      </c>
      <c r="AO947" s="28" t="str">
        <f aca="false">IF(A947&lt;Hip4LaunchDate,"pre-launch","live (zero-fee)")</f>
        <v>pre-launch</v>
      </c>
      <c r="AP947" s="30" t="n">
        <v>32</v>
      </c>
      <c r="AQ947" s="30" t="n">
        <v>19</v>
      </c>
      <c r="AR947" s="19" t="n">
        <v>13633.3766913445</v>
      </c>
    </row>
    <row r="948" customFormat="false" ht="15" hidden="false" customHeight="false" outlineLevel="0" collapsed="false">
      <c r="A948" s="18" t="n">
        <v>46009</v>
      </c>
      <c r="B948" s="19" t="n">
        <v>8210529594.51</v>
      </c>
      <c r="C948" s="19" t="n">
        <v>380613769.84</v>
      </c>
      <c r="D948" s="19" t="n">
        <v>287211113</v>
      </c>
      <c r="E948" s="21" t="n">
        <f aca="false">B948+C948</f>
        <v>8591143364.35</v>
      </c>
      <c r="F948" s="21" t="n">
        <f aca="false">E948+D948</f>
        <v>8878354477.35</v>
      </c>
      <c r="G948" s="22" t="n">
        <f aca="false">IFERROR(C948/E948,0)</f>
        <v>0.0443030402006098</v>
      </c>
      <c r="H948" s="19" t="n">
        <v>3282402</v>
      </c>
      <c r="I948" s="19" t="n">
        <v>150815</v>
      </c>
      <c r="J948" s="19" t="n">
        <v>31356</v>
      </c>
      <c r="K948" s="21" t="n">
        <f aca="false">H948+I948</f>
        <v>3433217</v>
      </c>
      <c r="L948" s="19" t="n">
        <v>19953.9569324489</v>
      </c>
      <c r="M948" s="21" t="n">
        <f aca="false">H948-L948</f>
        <v>3262448.04306755</v>
      </c>
      <c r="N948" s="23" t="n">
        <f aca="false">IFERROR(M948/B948*10000,0)</f>
        <v>3.97349282468819</v>
      </c>
      <c r="O948" s="19" t="n">
        <v>2986874</v>
      </c>
      <c r="P948" s="19" t="n">
        <v>117385</v>
      </c>
      <c r="Q948" s="21" t="n">
        <f aca="false">O948+P948</f>
        <v>3104259</v>
      </c>
      <c r="R948" s="22" t="n">
        <f aca="false">IF(A948&lt;HlpChangeDate,HlpSharePre,HlpSharePost)</f>
        <v>0.01</v>
      </c>
      <c r="S948" s="21" t="n">
        <f aca="false">Q948*R948/(1-R948)</f>
        <v>31356.1515151515</v>
      </c>
      <c r="T948" s="19" t="n">
        <v>31356</v>
      </c>
      <c r="U948" s="21" t="n">
        <f aca="false">S948-T948</f>
        <v>0.151515151515923</v>
      </c>
      <c r="V948" s="21" t="n">
        <f aca="false">Y948-O948*R948/(1-R948)</f>
        <v>265357.555555556</v>
      </c>
      <c r="W948" s="21" t="n">
        <f aca="false">Z948-P948*R948/(1-R948)</f>
        <v>32244.2929292929</v>
      </c>
      <c r="X948" s="21" t="n">
        <f aca="false">S948+V948+W948</f>
        <v>328958</v>
      </c>
      <c r="Y948" s="19" t="n">
        <v>295528</v>
      </c>
      <c r="Z948" s="19" t="n">
        <v>33430</v>
      </c>
      <c r="AA948" s="19" t="n">
        <v>3104259</v>
      </c>
      <c r="AB948" s="29" t="n">
        <v>22.452</v>
      </c>
      <c r="AC948" s="29" t="n">
        <v>23.6615</v>
      </c>
      <c r="AD948" s="24" t="n">
        <f aca="false">IFERROR(AA948/AC948,0)</f>
        <v>131194.514295374</v>
      </c>
      <c r="AE948" s="25" t="n">
        <f aca="false">K948-Q948-X948</f>
        <v>0</v>
      </c>
      <c r="AF948" s="25" t="n">
        <f aca="false">Q948-AA948</f>
        <v>0</v>
      </c>
      <c r="AG948" s="19" t="n">
        <v>2475832.70888996</v>
      </c>
      <c r="AH948" s="26" t="n">
        <f aca="false">IFERROR(AG948/Q948,0)</f>
        <v>0.797559968059998</v>
      </c>
      <c r="AI948" s="27" t="n">
        <v>411905071.778802</v>
      </c>
      <c r="AJ948" s="26" t="n">
        <f aca="false">IF(AI948&gt;0,AprCoef/SQRT(AI948),0)</f>
        <v>0.0233549946398463</v>
      </c>
      <c r="AK948" s="24" t="n">
        <f aca="false">AI948*AJ948/365</f>
        <v>26356.2760096423</v>
      </c>
      <c r="AL948" s="24" t="n">
        <f aca="false">AD948</f>
        <v>131194.514295374</v>
      </c>
      <c r="AM948" s="24" t="n">
        <f aca="false">AK948-AL948</f>
        <v>-104838.238285732</v>
      </c>
      <c r="AN948" s="28" t="str">
        <f aca="false">IF(A948&gt;=Hip3LaunchDate,"YES","")</f>
        <v>YES</v>
      </c>
      <c r="AO948" s="28" t="str">
        <f aca="false">IF(A948&lt;Hip4LaunchDate,"pre-launch","live (zero-fee)")</f>
        <v>pre-launch</v>
      </c>
      <c r="AP948" s="30" t="n">
        <v>32</v>
      </c>
      <c r="AQ948" s="30" t="n">
        <v>19</v>
      </c>
      <c r="AR948" s="19" t="n">
        <v>15875.0168476068</v>
      </c>
    </row>
    <row r="949" customFormat="false" ht="15" hidden="false" customHeight="false" outlineLevel="0" collapsed="false">
      <c r="A949" s="18" t="n">
        <v>46010</v>
      </c>
      <c r="B949" s="19" t="n">
        <v>6981320861.51</v>
      </c>
      <c r="C949" s="19" t="n">
        <v>280574366.98</v>
      </c>
      <c r="D949" s="19" t="n">
        <v>169419268</v>
      </c>
      <c r="E949" s="21" t="n">
        <f aca="false">B949+C949</f>
        <v>7261895228.49</v>
      </c>
      <c r="F949" s="21" t="n">
        <f aca="false">E949+D949</f>
        <v>7431314496.49</v>
      </c>
      <c r="G949" s="22" t="n">
        <f aca="false">IFERROR(C949/E949,0)</f>
        <v>0.0386365209290332</v>
      </c>
      <c r="H949" s="19" t="n">
        <v>2622456</v>
      </c>
      <c r="I949" s="19" t="n">
        <v>85819</v>
      </c>
      <c r="J949" s="19" t="n">
        <v>24644</v>
      </c>
      <c r="K949" s="21" t="n">
        <f aca="false">H949+I949</f>
        <v>2708275</v>
      </c>
      <c r="L949" s="19" t="n">
        <v>14938.0313990626</v>
      </c>
      <c r="M949" s="21" t="n">
        <f aca="false">H949-L949</f>
        <v>2607517.96860094</v>
      </c>
      <c r="N949" s="23" t="n">
        <f aca="false">IFERROR(M949/B949*10000,0)</f>
        <v>3.73499230350079</v>
      </c>
      <c r="O949" s="19" t="n">
        <v>2377214</v>
      </c>
      <c r="P949" s="19" t="n">
        <v>62503</v>
      </c>
      <c r="Q949" s="21" t="n">
        <f aca="false">O949+P949</f>
        <v>2439717</v>
      </c>
      <c r="R949" s="22" t="n">
        <f aca="false">IF(A949&lt;HlpChangeDate,HlpSharePre,HlpSharePost)</f>
        <v>0.01</v>
      </c>
      <c r="S949" s="21" t="n">
        <f aca="false">Q949*R949/(1-R949)</f>
        <v>24643.6060606061</v>
      </c>
      <c r="T949" s="19" t="n">
        <v>24644</v>
      </c>
      <c r="U949" s="21" t="n">
        <f aca="false">S949-T949</f>
        <v>-0.393939393936307</v>
      </c>
      <c r="V949" s="21" t="n">
        <f aca="false">Y949-O949*R949/(1-R949)</f>
        <v>221229.737373737</v>
      </c>
      <c r="W949" s="21" t="n">
        <f aca="false">Z949-P949*R949/(1-R949)</f>
        <v>22684.6565656566</v>
      </c>
      <c r="X949" s="21" t="n">
        <f aca="false">S949+V949+W949</f>
        <v>268558</v>
      </c>
      <c r="Y949" s="19" t="n">
        <v>245242</v>
      </c>
      <c r="Z949" s="19" t="n">
        <v>23316</v>
      </c>
      <c r="AA949" s="19" t="n">
        <v>2439717</v>
      </c>
      <c r="AB949" s="29" t="n">
        <v>24.874</v>
      </c>
      <c r="AC949" s="29" t="n">
        <v>23.6535</v>
      </c>
      <c r="AD949" s="24" t="n">
        <f aca="false">IFERROR(AA949/AC949,0)</f>
        <v>103144.016741708</v>
      </c>
      <c r="AE949" s="25" t="n">
        <f aca="false">K949-Q949-X949</f>
        <v>0</v>
      </c>
      <c r="AF949" s="25" t="n">
        <f aca="false">Q949-AA949</f>
        <v>0</v>
      </c>
      <c r="AG949" s="19" t="n">
        <v>2028326.63204002</v>
      </c>
      <c r="AH949" s="26" t="n">
        <f aca="false">IFERROR(AG949/Q949,0)</f>
        <v>0.831377832773237</v>
      </c>
      <c r="AI949" s="27" t="n">
        <v>412059838.525346</v>
      </c>
      <c r="AJ949" s="26" t="n">
        <f aca="false">IF(AI949&gt;0,AprCoef/SQRT(AI949),0)</f>
        <v>0.0233506082429398</v>
      </c>
      <c r="AK949" s="24" t="n">
        <f aca="false">AI949*AJ949/365</f>
        <v>26361.2270193271</v>
      </c>
      <c r="AL949" s="24" t="n">
        <f aca="false">AD949</f>
        <v>103144.016741708</v>
      </c>
      <c r="AM949" s="24" t="n">
        <f aca="false">AK949-AL949</f>
        <v>-76782.7897223813</v>
      </c>
      <c r="AN949" s="28" t="str">
        <f aca="false">IF(A949&gt;=Hip3LaunchDate,"YES","")</f>
        <v>YES</v>
      </c>
      <c r="AO949" s="28" t="str">
        <f aca="false">IF(A949&lt;Hip4LaunchDate,"pre-launch","live (zero-fee)")</f>
        <v>pre-launch</v>
      </c>
      <c r="AP949" s="30" t="n">
        <v>33</v>
      </c>
      <c r="AQ949" s="30" t="n">
        <v>20</v>
      </c>
      <c r="AR949" s="19" t="n">
        <v>11832.8773433423</v>
      </c>
    </row>
    <row r="950" customFormat="false" ht="15" hidden="false" customHeight="false" outlineLevel="0" collapsed="false">
      <c r="A950" s="18" t="n">
        <v>46011</v>
      </c>
      <c r="B950" s="19" t="n">
        <v>1593104348.47</v>
      </c>
      <c r="C950" s="19" t="n">
        <v>63353478.05</v>
      </c>
      <c r="D950" s="19" t="n">
        <v>77143877</v>
      </c>
      <c r="E950" s="21" t="n">
        <f aca="false">B950+C950</f>
        <v>1656457826.52</v>
      </c>
      <c r="F950" s="21" t="n">
        <f aca="false">E950+D950</f>
        <v>1733601703.52</v>
      </c>
      <c r="G950" s="22" t="n">
        <f aca="false">IFERROR(C950/E950,0)</f>
        <v>0.0382463573993292</v>
      </c>
      <c r="H950" s="19" t="n">
        <v>676381</v>
      </c>
      <c r="I950" s="19" t="n">
        <v>55827</v>
      </c>
      <c r="J950" s="19" t="n">
        <v>6316</v>
      </c>
      <c r="K950" s="21" t="n">
        <f aca="false">H950+I950</f>
        <v>732208</v>
      </c>
      <c r="L950" s="19" t="n">
        <v>6646.02668688446</v>
      </c>
      <c r="M950" s="21" t="n">
        <f aca="false">H950-L950</f>
        <v>669734.973313116</v>
      </c>
      <c r="N950" s="23" t="n">
        <f aca="false">IFERROR(M950/B950*10000,0)</f>
        <v>4.20396174272151</v>
      </c>
      <c r="O950" s="19" t="n">
        <v>583227</v>
      </c>
      <c r="P950" s="19" t="n">
        <v>42081</v>
      </c>
      <c r="Q950" s="21" t="n">
        <f aca="false">O950+P950</f>
        <v>625308</v>
      </c>
      <c r="R950" s="22" t="n">
        <f aca="false">IF(A950&lt;HlpChangeDate,HlpSharePre,HlpSharePost)</f>
        <v>0.01</v>
      </c>
      <c r="S950" s="21" t="n">
        <f aca="false">Q950*R950/(1-R950)</f>
        <v>6316.24242424242</v>
      </c>
      <c r="T950" s="19" t="n">
        <v>6316</v>
      </c>
      <c r="U950" s="21" t="n">
        <f aca="false">S950-T950</f>
        <v>0.242424242424022</v>
      </c>
      <c r="V950" s="21" t="n">
        <f aca="false">Y950-O950*R950/(1-R950)</f>
        <v>87263.8181818182</v>
      </c>
      <c r="W950" s="21" t="n">
        <f aca="false">Z950-P950*R950/(1-R950)</f>
        <v>13320.9393939394</v>
      </c>
      <c r="X950" s="21" t="n">
        <f aca="false">S950+V950+W950</f>
        <v>106901</v>
      </c>
      <c r="Y950" s="19" t="n">
        <v>93155</v>
      </c>
      <c r="Z950" s="19" t="n">
        <v>13746</v>
      </c>
      <c r="AA950" s="19" t="n">
        <v>625308</v>
      </c>
      <c r="AB950" s="29" t="n">
        <v>24.006</v>
      </c>
      <c r="AC950" s="29" t="n">
        <v>24.55575</v>
      </c>
      <c r="AD950" s="24" t="n">
        <f aca="false">IFERROR(AA950/AC950,0)</f>
        <v>25464.8300296265</v>
      </c>
      <c r="AE950" s="25" t="n">
        <f aca="false">K950-Q950-X950</f>
        <v>-1</v>
      </c>
      <c r="AF950" s="25" t="n">
        <f aca="false">Q950-AA950</f>
        <v>0</v>
      </c>
      <c r="AG950" s="19" t="n">
        <v>496386.739377976</v>
      </c>
      <c r="AH950" s="26" t="n">
        <f aca="false">IFERROR(AG950/Q950,0)</f>
        <v>0.793827584770986</v>
      </c>
      <c r="AI950" s="27" t="n">
        <v>412214605.271889</v>
      </c>
      <c r="AJ950" s="26" t="n">
        <f aca="false">IF(AI950&gt;0,AprCoef/SQRT(AI950),0)</f>
        <v>0.0233462243165866</v>
      </c>
      <c r="AK950" s="24" t="n">
        <f aca="false">AI950*AJ950/365</f>
        <v>26366.1770993171</v>
      </c>
      <c r="AL950" s="24" t="n">
        <f aca="false">AD950</f>
        <v>25464.8300296265</v>
      </c>
      <c r="AM950" s="24" t="n">
        <f aca="false">AK950-AL950</f>
        <v>901.347069690644</v>
      </c>
      <c r="AN950" s="28" t="str">
        <f aca="false">IF(A950&gt;=Hip3LaunchDate,"YES","")</f>
        <v>YES</v>
      </c>
      <c r="AO950" s="28" t="str">
        <f aca="false">IF(A950&lt;Hip4LaunchDate,"pre-launch","live (zero-fee)")</f>
        <v>pre-launch</v>
      </c>
      <c r="AP950" s="30" t="n">
        <v>33</v>
      </c>
      <c r="AQ950" s="30" t="n">
        <v>20</v>
      </c>
      <c r="AR950" s="19" t="n">
        <v>2632.06968928986</v>
      </c>
    </row>
    <row r="951" customFormat="false" ht="15" hidden="false" customHeight="false" outlineLevel="0" collapsed="false">
      <c r="A951" s="18" t="n">
        <v>46012</v>
      </c>
      <c r="B951" s="19" t="n">
        <v>2416410947.34</v>
      </c>
      <c r="C951" s="19" t="n">
        <v>57160395.6</v>
      </c>
      <c r="D951" s="19" t="n">
        <v>73273955</v>
      </c>
      <c r="E951" s="21" t="n">
        <f aca="false">B951+C951</f>
        <v>2473571342.94</v>
      </c>
      <c r="F951" s="21" t="n">
        <f aca="false">E951+D951</f>
        <v>2546845297.94</v>
      </c>
      <c r="G951" s="22" t="n">
        <f aca="false">IFERROR(C951/E951,0)</f>
        <v>0.0231084483425738</v>
      </c>
      <c r="H951" s="19" t="n">
        <v>989428</v>
      </c>
      <c r="I951" s="19" t="n">
        <v>47261</v>
      </c>
      <c r="J951" s="19" t="n">
        <v>9181</v>
      </c>
      <c r="K951" s="21" t="n">
        <f aca="false">H951+I951</f>
        <v>1036689</v>
      </c>
      <c r="L951" s="19" t="n">
        <v>5390.25015306169</v>
      </c>
      <c r="M951" s="21" t="n">
        <f aca="false">H951-L951</f>
        <v>984037.749846938</v>
      </c>
      <c r="N951" s="23" t="n">
        <f aca="false">IFERROR(M951/B951*10000,0)</f>
        <v>4.07231125537721</v>
      </c>
      <c r="O951" s="19" t="n">
        <v>873361</v>
      </c>
      <c r="P951" s="19" t="n">
        <v>35589</v>
      </c>
      <c r="Q951" s="21" t="n">
        <f aca="false">O951+P951</f>
        <v>908950</v>
      </c>
      <c r="R951" s="22" t="n">
        <f aca="false">IF(A951&lt;HlpChangeDate,HlpSharePre,HlpSharePost)</f>
        <v>0.01</v>
      </c>
      <c r="S951" s="21" t="n">
        <f aca="false">Q951*R951/(1-R951)</f>
        <v>9181.31313131313</v>
      </c>
      <c r="T951" s="19" t="n">
        <v>9181</v>
      </c>
      <c r="U951" s="21" t="n">
        <f aca="false">S951-T951</f>
        <v>0.313131313130725</v>
      </c>
      <c r="V951" s="21" t="n">
        <f aca="false">Y951-O951*R951/(1-R951)</f>
        <v>107245.171717172</v>
      </c>
      <c r="W951" s="21" t="n">
        <f aca="false">Z951-P951*R951/(1-R951)</f>
        <v>11312.5151515152</v>
      </c>
      <c r="X951" s="21" t="n">
        <f aca="false">S951+V951+W951</f>
        <v>127739</v>
      </c>
      <c r="Y951" s="19" t="n">
        <v>116067</v>
      </c>
      <c r="Z951" s="19" t="n">
        <v>11672</v>
      </c>
      <c r="AA951" s="19" t="n">
        <v>908950</v>
      </c>
      <c r="AB951" s="29" t="n">
        <v>24.84</v>
      </c>
      <c r="AC951" s="29" t="n">
        <v>24.3195</v>
      </c>
      <c r="AD951" s="24" t="n">
        <f aca="false">IFERROR(AA951/AC951,0)</f>
        <v>37375.3572236271</v>
      </c>
      <c r="AE951" s="25" t="n">
        <f aca="false">K951-Q951-X951</f>
        <v>0</v>
      </c>
      <c r="AF951" s="25" t="n">
        <f aca="false">Q951-AA951</f>
        <v>0</v>
      </c>
      <c r="AG951" s="19" t="n">
        <v>710964.646939039</v>
      </c>
      <c r="AH951" s="26" t="n">
        <f aca="false">IFERROR(AG951/Q951,0)</f>
        <v>0.782182349897177</v>
      </c>
      <c r="AI951" s="27" t="n">
        <v>412369372.018433</v>
      </c>
      <c r="AJ951" s="26" t="n">
        <f aca="false">IF(AI951&gt;0,AprCoef/SQRT(AI951),0)</f>
        <v>0.0233418428584685</v>
      </c>
      <c r="AK951" s="24" t="n">
        <f aca="false">AI951*AJ951/365</f>
        <v>26371.1262501359</v>
      </c>
      <c r="AL951" s="24" t="n">
        <f aca="false">AD951</f>
        <v>37375.3572236271</v>
      </c>
      <c r="AM951" s="24" t="n">
        <f aca="false">AK951-AL951</f>
        <v>-11004.2309734912</v>
      </c>
      <c r="AN951" s="28" t="str">
        <f aca="false">IF(A951&gt;=Hip3LaunchDate,"YES","")</f>
        <v>YES</v>
      </c>
      <c r="AO951" s="28" t="str">
        <f aca="false">IF(A951&lt;Hip4LaunchDate,"pre-launch","live (zero-fee)")</f>
        <v>pre-launch</v>
      </c>
      <c r="AP951" s="30" t="n">
        <v>34</v>
      </c>
      <c r="AQ951" s="30" t="n">
        <v>20</v>
      </c>
      <c r="AR951" s="19" t="n">
        <v>2573.97641103732</v>
      </c>
    </row>
    <row r="952" customFormat="false" ht="15" hidden="false" customHeight="false" outlineLevel="0" collapsed="false">
      <c r="A952" s="18" t="n">
        <v>46013</v>
      </c>
      <c r="B952" s="19" t="n">
        <v>6039055916.9</v>
      </c>
      <c r="C952" s="19" t="n">
        <v>200600846.87</v>
      </c>
      <c r="D952" s="19" t="n">
        <v>113859334</v>
      </c>
      <c r="E952" s="21" t="n">
        <f aca="false">B952+C952</f>
        <v>6239656763.77</v>
      </c>
      <c r="F952" s="21" t="n">
        <f aca="false">E952+D952</f>
        <v>6353516097.77</v>
      </c>
      <c r="G952" s="22" t="n">
        <f aca="false">IFERROR(C952/E952,0)</f>
        <v>0.0321493400141448</v>
      </c>
      <c r="H952" s="19" t="n">
        <v>2369420</v>
      </c>
      <c r="I952" s="19" t="n">
        <v>61798</v>
      </c>
      <c r="J952" s="19" t="n">
        <v>21930</v>
      </c>
      <c r="K952" s="21" t="n">
        <f aca="false">H952+I952</f>
        <v>2431218</v>
      </c>
      <c r="L952" s="19" t="n">
        <v>14544.0008168244</v>
      </c>
      <c r="M952" s="21" t="n">
        <f aca="false">H952-L952</f>
        <v>2354875.99918318</v>
      </c>
      <c r="N952" s="23" t="n">
        <f aca="false">IFERROR(M952/B952*10000,0)</f>
        <v>3.89941082114039</v>
      </c>
      <c r="O952" s="19" t="n">
        <v>2124676</v>
      </c>
      <c r="P952" s="19" t="n">
        <v>46382</v>
      </c>
      <c r="Q952" s="21" t="n">
        <f aca="false">O952+P952</f>
        <v>2171058</v>
      </c>
      <c r="R952" s="22" t="n">
        <f aca="false">IF(A952&lt;HlpChangeDate,HlpSharePre,HlpSharePost)</f>
        <v>0.01</v>
      </c>
      <c r="S952" s="21" t="n">
        <f aca="false">Q952*R952/(1-R952)</f>
        <v>21929.8787878788</v>
      </c>
      <c r="T952" s="19" t="n">
        <v>21930</v>
      </c>
      <c r="U952" s="21" t="n">
        <f aca="false">S952-T952</f>
        <v>-0.121212121208373</v>
      </c>
      <c r="V952" s="21" t="n">
        <f aca="false">Y952-O952*R952/(1-R952)</f>
        <v>223282.626262626</v>
      </c>
      <c r="W952" s="21" t="n">
        <f aca="false">Z952-P952*R952/(1-R952)</f>
        <v>14947.4949494949</v>
      </c>
      <c r="X952" s="21" t="n">
        <f aca="false">S952+V952+W952</f>
        <v>260160</v>
      </c>
      <c r="Y952" s="19" t="n">
        <v>244744</v>
      </c>
      <c r="Z952" s="19" t="n">
        <v>15416</v>
      </c>
      <c r="AA952" s="19" t="n">
        <v>2171058</v>
      </c>
      <c r="AB952" s="29" t="n">
        <v>24.858</v>
      </c>
      <c r="AC952" s="29" t="n">
        <v>24.95</v>
      </c>
      <c r="AD952" s="24" t="n">
        <f aca="false">IFERROR(AA952/AC952,0)</f>
        <v>87016.3527054108</v>
      </c>
      <c r="AE952" s="25" t="n">
        <f aca="false">K952-Q952-X952</f>
        <v>0</v>
      </c>
      <c r="AF952" s="25" t="n">
        <f aca="false">Q952-AA952</f>
        <v>0</v>
      </c>
      <c r="AG952" s="19" t="n">
        <v>1700030.07927299</v>
      </c>
      <c r="AH952" s="26" t="n">
        <f aca="false">IFERROR(AG952/Q952,0)</f>
        <v>0.783042221475882</v>
      </c>
      <c r="AI952" s="27" t="n">
        <v>412524138.764977</v>
      </c>
      <c r="AJ952" s="26" t="n">
        <f aca="false">IF(AI952&gt;0,AprCoef/SQRT(AI952),0)</f>
        <v>0.0233374638662702</v>
      </c>
      <c r="AK952" s="24" t="n">
        <f aca="false">AI952*AJ952/365</f>
        <v>26376.0744723066</v>
      </c>
      <c r="AL952" s="24" t="n">
        <f aca="false">AD952</f>
        <v>87016.3527054108</v>
      </c>
      <c r="AM952" s="24" t="n">
        <f aca="false">AK952-AL952</f>
        <v>-60640.2782331043</v>
      </c>
      <c r="AN952" s="28" t="str">
        <f aca="false">IF(A952&gt;=Hip3LaunchDate,"YES","")</f>
        <v>YES</v>
      </c>
      <c r="AO952" s="28" t="str">
        <f aca="false">IF(A952&lt;Hip4LaunchDate,"pre-launch","live (zero-fee)")</f>
        <v>pre-launch</v>
      </c>
      <c r="AP952" s="30" t="n">
        <v>36</v>
      </c>
      <c r="AQ952" s="30" t="n">
        <v>20</v>
      </c>
      <c r="AR952" s="19" t="n">
        <v>10161.7402839236</v>
      </c>
    </row>
    <row r="953" customFormat="false" ht="15" hidden="false" customHeight="false" outlineLevel="0" collapsed="false">
      <c r="A953" s="18" t="n">
        <v>46014</v>
      </c>
      <c r="B953" s="19" t="n">
        <v>5144879158.45</v>
      </c>
      <c r="C953" s="19" t="n">
        <v>274471326.21</v>
      </c>
      <c r="D953" s="19" t="n">
        <v>106813195</v>
      </c>
      <c r="E953" s="21" t="n">
        <f aca="false">B953+C953</f>
        <v>5419350484.66</v>
      </c>
      <c r="F953" s="21" t="n">
        <f aca="false">E953+D953</f>
        <v>5526163679.66</v>
      </c>
      <c r="G953" s="22" t="n">
        <f aca="false">IFERROR(C953/E953,0)</f>
        <v>0.0506465354080563</v>
      </c>
      <c r="H953" s="19" t="n">
        <v>2078459</v>
      </c>
      <c r="I953" s="19" t="n">
        <v>62692</v>
      </c>
      <c r="J953" s="19" t="n">
        <v>19423</v>
      </c>
      <c r="K953" s="21" t="n">
        <f aca="false">H953+I953</f>
        <v>2141151</v>
      </c>
      <c r="L953" s="19" t="n">
        <v>15908.9514358362</v>
      </c>
      <c r="M953" s="21" t="n">
        <f aca="false">H953-L953</f>
        <v>2062550.04856416</v>
      </c>
      <c r="N953" s="23" t="n">
        <f aca="false">IFERROR(M953/B953*10000,0)</f>
        <v>4.00893779045638</v>
      </c>
      <c r="O953" s="19" t="n">
        <v>1872839</v>
      </c>
      <c r="P953" s="19" t="n">
        <v>50059</v>
      </c>
      <c r="Q953" s="21" t="n">
        <f aca="false">O953+P953</f>
        <v>1922898</v>
      </c>
      <c r="R953" s="22" t="n">
        <f aca="false">IF(A953&lt;HlpChangeDate,HlpSharePre,HlpSharePost)</f>
        <v>0.01</v>
      </c>
      <c r="S953" s="21" t="n">
        <f aca="false">Q953*R953/(1-R953)</f>
        <v>19423.2121212121</v>
      </c>
      <c r="T953" s="19" t="n">
        <v>19423</v>
      </c>
      <c r="U953" s="21" t="n">
        <f aca="false">S953-T953</f>
        <v>0.21212121212011</v>
      </c>
      <c r="V953" s="21" t="n">
        <f aca="false">Y953-O953*R953/(1-R953)</f>
        <v>186702.434343434</v>
      </c>
      <c r="W953" s="21" t="n">
        <f aca="false">Z953-P953*R953/(1-R953)</f>
        <v>12127.3535353535</v>
      </c>
      <c r="X953" s="21" t="n">
        <f aca="false">S953+V953+W953</f>
        <v>218253</v>
      </c>
      <c r="Y953" s="19" t="n">
        <v>205620</v>
      </c>
      <c r="Z953" s="19" t="n">
        <v>12633</v>
      </c>
      <c r="AA953" s="19" t="n">
        <v>1922898</v>
      </c>
      <c r="AB953" s="29" t="n">
        <v>23.959</v>
      </c>
      <c r="AC953" s="29" t="n">
        <v>24.37275</v>
      </c>
      <c r="AD953" s="24" t="n">
        <f aca="false">IFERROR(AA953/AC953,0)</f>
        <v>78895.4057297597</v>
      </c>
      <c r="AE953" s="25" t="n">
        <f aca="false">K953-Q953-X953</f>
        <v>0</v>
      </c>
      <c r="AF953" s="25" t="n">
        <f aca="false">Q953-AA953</f>
        <v>0</v>
      </c>
      <c r="AG953" s="19" t="n">
        <v>1447950.88460493</v>
      </c>
      <c r="AH953" s="26" t="n">
        <f aca="false">IFERROR(AG953/Q953,0)</f>
        <v>0.753004519535062</v>
      </c>
      <c r="AI953" s="27" t="n">
        <v>412678905.511521</v>
      </c>
      <c r="AJ953" s="26" t="n">
        <f aca="false">IF(AI953&gt;0,AprCoef/SQRT(AI953),0)</f>
        <v>0.0233330873376796</v>
      </c>
      <c r="AK953" s="24" t="n">
        <f aca="false">AI953*AJ953/365</f>
        <v>26381.0217663516</v>
      </c>
      <c r="AL953" s="24" t="n">
        <f aca="false">AD953</f>
        <v>78895.4057297597</v>
      </c>
      <c r="AM953" s="24" t="n">
        <f aca="false">AK953-AL953</f>
        <v>-52514.3839634081</v>
      </c>
      <c r="AN953" s="28" t="str">
        <f aca="false">IF(A953&gt;=Hip3LaunchDate,"YES","")</f>
        <v>YES</v>
      </c>
      <c r="AO953" s="28" t="str">
        <f aca="false">IF(A953&lt;Hip4LaunchDate,"pre-launch","live (zero-fee)")</f>
        <v>pre-launch</v>
      </c>
      <c r="AP953" s="30" t="n">
        <v>37</v>
      </c>
      <c r="AQ953" s="30" t="n">
        <v>22</v>
      </c>
      <c r="AR953" s="19" t="n">
        <v>11976.8335699081</v>
      </c>
    </row>
    <row r="954" customFormat="false" ht="15" hidden="false" customHeight="false" outlineLevel="0" collapsed="false">
      <c r="A954" s="18" t="n">
        <v>46015</v>
      </c>
      <c r="B954" s="19" t="n">
        <v>3397530941.4</v>
      </c>
      <c r="C954" s="19" t="n">
        <v>153810285.28</v>
      </c>
      <c r="D954" s="19" t="n">
        <v>79714594</v>
      </c>
      <c r="E954" s="21" t="n">
        <f aca="false">B954+C954</f>
        <v>3551341226.68</v>
      </c>
      <c r="F954" s="21" t="n">
        <f aca="false">E954+D954</f>
        <v>3631055820.68</v>
      </c>
      <c r="G954" s="22" t="n">
        <f aca="false">IFERROR(C954/E954,0)</f>
        <v>0.0433104777779382</v>
      </c>
      <c r="H954" s="19" t="n">
        <v>1299673</v>
      </c>
      <c r="I954" s="19" t="n">
        <v>47538</v>
      </c>
      <c r="J954" s="19" t="n">
        <v>12167</v>
      </c>
      <c r="K954" s="21" t="n">
        <f aca="false">H954+I954</f>
        <v>1347211</v>
      </c>
      <c r="L954" s="19" t="n">
        <v>10197.7386273675</v>
      </c>
      <c r="M954" s="21" t="n">
        <f aca="false">H954-L954</f>
        <v>1289475.26137263</v>
      </c>
      <c r="N954" s="23" t="n">
        <f aca="false">IFERROR(M954/B954*10000,0)</f>
        <v>3.79533044323442</v>
      </c>
      <c r="O954" s="19" t="n">
        <v>1167390</v>
      </c>
      <c r="P954" s="19" t="n">
        <v>37155</v>
      </c>
      <c r="Q954" s="21" t="n">
        <f aca="false">O954+P954</f>
        <v>1204545</v>
      </c>
      <c r="R954" s="22" t="n">
        <f aca="false">IF(A954&lt;HlpChangeDate,HlpSharePre,HlpSharePost)</f>
        <v>0.01</v>
      </c>
      <c r="S954" s="21" t="n">
        <f aca="false">Q954*R954/(1-R954)</f>
        <v>12167.1212121212</v>
      </c>
      <c r="T954" s="19" t="n">
        <v>12167</v>
      </c>
      <c r="U954" s="21" t="n">
        <f aca="false">S954-T954</f>
        <v>0.12121212121383</v>
      </c>
      <c r="V954" s="21" t="n">
        <f aca="false">Y954-O954*R954/(1-R954)</f>
        <v>120491.181818182</v>
      </c>
      <c r="W954" s="21" t="n">
        <f aca="false">Z954-P954*R954/(1-R954)</f>
        <v>10007.696969697</v>
      </c>
      <c r="X954" s="21" t="n">
        <f aca="false">S954+V954+W954</f>
        <v>142666</v>
      </c>
      <c r="Y954" s="19" t="n">
        <v>132283</v>
      </c>
      <c r="Z954" s="19" t="n">
        <v>10383</v>
      </c>
      <c r="AA954" s="19" t="n">
        <v>1204545</v>
      </c>
      <c r="AB954" s="29" t="n">
        <v>25.155</v>
      </c>
      <c r="AC954" s="29" t="n">
        <v>24.49375</v>
      </c>
      <c r="AD954" s="24" t="n">
        <f aca="false">IFERROR(AA954/AC954,0)</f>
        <v>49177.6473590202</v>
      </c>
      <c r="AE954" s="25" t="n">
        <f aca="false">K954-Q954-X954</f>
        <v>0</v>
      </c>
      <c r="AF954" s="25" t="n">
        <f aca="false">Q954-AA954</f>
        <v>0</v>
      </c>
      <c r="AG954" s="19" t="n">
        <v>957051.957631111</v>
      </c>
      <c r="AH954" s="26" t="n">
        <f aca="false">IFERROR(AG954/Q954,0)</f>
        <v>0.794534000499036</v>
      </c>
      <c r="AI954" s="27" t="n">
        <v>412833672.258065</v>
      </c>
      <c r="AJ954" s="26" t="n">
        <f aca="false">IF(AI954&gt;0,AprCoef/SQRT(AI954),0)</f>
        <v>0.0233287132703874</v>
      </c>
      <c r="AK954" s="24" t="n">
        <f aca="false">AI954*AJ954/365</f>
        <v>26385.968132793</v>
      </c>
      <c r="AL954" s="24" t="n">
        <f aca="false">AD954</f>
        <v>49177.6473590202</v>
      </c>
      <c r="AM954" s="24" t="n">
        <f aca="false">AK954-AL954</f>
        <v>-22791.6792262271</v>
      </c>
      <c r="AN954" s="28" t="str">
        <f aca="false">IF(A954&gt;=Hip3LaunchDate,"YES","")</f>
        <v>YES</v>
      </c>
      <c r="AO954" s="28" t="str">
        <f aca="false">IF(A954&lt;Hip4LaunchDate,"pre-launch","live (zero-fee)")</f>
        <v>pre-launch</v>
      </c>
      <c r="AP954" s="30" t="n">
        <v>37</v>
      </c>
      <c r="AQ954" s="30" t="n">
        <v>22</v>
      </c>
      <c r="AR954" s="19" t="n">
        <v>7886.76106790578</v>
      </c>
    </row>
    <row r="955" customFormat="false" ht="15" hidden="false" customHeight="false" outlineLevel="0" collapsed="false">
      <c r="A955" s="18" t="n">
        <v>46016</v>
      </c>
      <c r="B955" s="19" t="n">
        <v>2441499510.25</v>
      </c>
      <c r="C955" s="19" t="n">
        <v>61339405</v>
      </c>
      <c r="D955" s="19" t="n">
        <v>66698371</v>
      </c>
      <c r="E955" s="21" t="n">
        <f aca="false">B955+C955</f>
        <v>2502838915.25</v>
      </c>
      <c r="F955" s="21" t="n">
        <f aca="false">E955+D955</f>
        <v>2569537286.25</v>
      </c>
      <c r="G955" s="22" t="n">
        <f aca="false">IFERROR(C955/E955,0)</f>
        <v>0.024507931623667</v>
      </c>
      <c r="H955" s="19" t="n">
        <v>918890</v>
      </c>
      <c r="I955" s="19" t="n">
        <v>48474</v>
      </c>
      <c r="J955" s="19" t="n">
        <v>8604</v>
      </c>
      <c r="K955" s="21" t="n">
        <f aca="false">H955+I955</f>
        <v>967364</v>
      </c>
      <c r="L955" s="19" t="n">
        <v>6158.75412939004</v>
      </c>
      <c r="M955" s="21" t="n">
        <f aca="false">H955-L955</f>
        <v>912731.24587061</v>
      </c>
      <c r="N955" s="23" t="n">
        <f aca="false">IFERROR(M955/B955*10000,0)</f>
        <v>3.73840437828779</v>
      </c>
      <c r="O955" s="19" t="n">
        <v>814884</v>
      </c>
      <c r="P955" s="19" t="n">
        <v>36888</v>
      </c>
      <c r="Q955" s="21" t="n">
        <f aca="false">O955+P955</f>
        <v>851772</v>
      </c>
      <c r="R955" s="22" t="n">
        <f aca="false">IF(A955&lt;HlpChangeDate,HlpSharePre,HlpSharePost)</f>
        <v>0.01</v>
      </c>
      <c r="S955" s="21" t="n">
        <f aca="false">Q955*R955/(1-R955)</f>
        <v>8603.75757575758</v>
      </c>
      <c r="T955" s="19" t="n">
        <v>8604</v>
      </c>
      <c r="U955" s="21" t="n">
        <f aca="false">S955-T955</f>
        <v>-0.242424242424022</v>
      </c>
      <c r="V955" s="21" t="n">
        <f aca="false">Y955-O955*R955/(1-R955)</f>
        <v>95774.8484848485</v>
      </c>
      <c r="W955" s="21" t="n">
        <f aca="false">Z955-P955*R955/(1-R955)</f>
        <v>11213.3939393939</v>
      </c>
      <c r="X955" s="21" t="n">
        <f aca="false">S955+V955+W955</f>
        <v>115592</v>
      </c>
      <c r="Y955" s="19" t="n">
        <v>104006</v>
      </c>
      <c r="Z955" s="19" t="n">
        <v>11586</v>
      </c>
      <c r="AA955" s="19" t="n">
        <v>851772</v>
      </c>
      <c r="AB955" s="29" t="n">
        <v>24.398</v>
      </c>
      <c r="AC955" s="29" t="n">
        <v>24.73975</v>
      </c>
      <c r="AD955" s="24" t="n">
        <f aca="false">IFERROR(AA955/AC955,0)</f>
        <v>34429.2888974222</v>
      </c>
      <c r="AE955" s="25" t="n">
        <f aca="false">K955-Q955-X955</f>
        <v>0</v>
      </c>
      <c r="AF955" s="25" t="n">
        <f aca="false">Q955-AA955</f>
        <v>0</v>
      </c>
      <c r="AG955" s="19" t="n">
        <v>675225.619897962</v>
      </c>
      <c r="AH955" s="26" t="n">
        <f aca="false">IFERROR(AG955/Q955,0)</f>
        <v>0.792730472354059</v>
      </c>
      <c r="AI955" s="27" t="n">
        <v>412988439.004608</v>
      </c>
      <c r="AJ955" s="26" t="n">
        <f aca="false">IF(AI955&gt;0,AprCoef/SQRT(AI955),0)</f>
        <v>0.0233243416620875</v>
      </c>
      <c r="AK955" s="24" t="n">
        <f aca="false">AI955*AJ955/365</f>
        <v>26390.9135721525</v>
      </c>
      <c r="AL955" s="24" t="n">
        <f aca="false">AD955</f>
        <v>34429.2888974222</v>
      </c>
      <c r="AM955" s="24" t="n">
        <f aca="false">AK955-AL955</f>
        <v>-8038.37532526967</v>
      </c>
      <c r="AN955" s="28" t="str">
        <f aca="false">IF(A955&gt;=Hip3LaunchDate,"YES","")</f>
        <v>YES</v>
      </c>
      <c r="AO955" s="28" t="str">
        <f aca="false">IF(A955&lt;Hip4LaunchDate,"pre-launch","live (zero-fee)")</f>
        <v>pre-launch</v>
      </c>
      <c r="AP955" s="30" t="n">
        <v>37</v>
      </c>
      <c r="AQ955" s="30" t="n">
        <v>22</v>
      </c>
      <c r="AR955" s="19" t="n">
        <v>3097.13635519249</v>
      </c>
    </row>
    <row r="956" customFormat="false" ht="15" hidden="false" customHeight="false" outlineLevel="0" collapsed="false">
      <c r="A956" s="18" t="n">
        <v>46017</v>
      </c>
      <c r="B956" s="19" t="n">
        <v>4679468130.41</v>
      </c>
      <c r="C956" s="19" t="n">
        <v>230692597.83</v>
      </c>
      <c r="D956" s="19" t="n">
        <v>120853808</v>
      </c>
      <c r="E956" s="21" t="n">
        <f aca="false">B956+C956</f>
        <v>4910160728.24</v>
      </c>
      <c r="F956" s="21" t="n">
        <f aca="false">E956+D956</f>
        <v>5031014536.24</v>
      </c>
      <c r="G956" s="22" t="n">
        <f aca="false">IFERROR(C956/E956,0)</f>
        <v>0.0469826978378139</v>
      </c>
      <c r="H956" s="19" t="n">
        <v>1807548</v>
      </c>
      <c r="I956" s="19" t="n">
        <v>89653</v>
      </c>
      <c r="J956" s="19" t="n">
        <v>17044</v>
      </c>
      <c r="K956" s="21" t="n">
        <f aca="false">H956+I956</f>
        <v>1897201</v>
      </c>
      <c r="L956" s="19" t="n">
        <v>17503.0851812111</v>
      </c>
      <c r="M956" s="21" t="n">
        <f aca="false">H956-L956</f>
        <v>1790044.91481879</v>
      </c>
      <c r="N956" s="23" t="n">
        <f aca="false">IFERROR(M956/B956*10000,0)</f>
        <v>3.8253170337586</v>
      </c>
      <c r="O956" s="19" t="n">
        <v>1620134</v>
      </c>
      <c r="P956" s="19" t="n">
        <v>67249</v>
      </c>
      <c r="Q956" s="21" t="n">
        <f aca="false">O956+P956</f>
        <v>1687383</v>
      </c>
      <c r="R956" s="22" t="n">
        <f aca="false">IF(A956&lt;HlpChangeDate,HlpSharePre,HlpSharePost)</f>
        <v>0.01</v>
      </c>
      <c r="S956" s="21" t="n">
        <f aca="false">Q956*R956/(1-R956)</f>
        <v>17044.2727272727</v>
      </c>
      <c r="T956" s="19" t="n">
        <v>17044</v>
      </c>
      <c r="U956" s="21" t="n">
        <f aca="false">S956-T956</f>
        <v>0.272727272727934</v>
      </c>
      <c r="V956" s="21" t="n">
        <f aca="false">Y956-O956*R956/(1-R956)</f>
        <v>171049.01010101</v>
      </c>
      <c r="W956" s="21" t="n">
        <f aca="false">Z956-P956*R956/(1-R956)</f>
        <v>21724.7171717172</v>
      </c>
      <c r="X956" s="21" t="n">
        <f aca="false">S956+V956+W956</f>
        <v>209818</v>
      </c>
      <c r="Y956" s="19" t="n">
        <v>187414</v>
      </c>
      <c r="Z956" s="19" t="n">
        <v>22404</v>
      </c>
      <c r="AA956" s="19" t="n">
        <v>1687383</v>
      </c>
      <c r="AB956" s="29" t="n">
        <v>25.781</v>
      </c>
      <c r="AC956" s="29" t="n">
        <v>25.0915</v>
      </c>
      <c r="AD956" s="24" t="n">
        <f aca="false">IFERROR(AA956/AC956,0)</f>
        <v>67249.1879720224</v>
      </c>
      <c r="AE956" s="25" t="n">
        <f aca="false">K956-Q956-X956</f>
        <v>0</v>
      </c>
      <c r="AF956" s="25" t="n">
        <f aca="false">Q956-AA956</f>
        <v>0</v>
      </c>
      <c r="AG956" s="19" t="n">
        <v>1315340.404567</v>
      </c>
      <c r="AH956" s="26" t="n">
        <f aca="false">IFERROR(AG956/Q956,0)</f>
        <v>0.779515026859346</v>
      </c>
      <c r="AI956" s="27" t="n">
        <v>413143205.751152</v>
      </c>
      <c r="AJ956" s="26" t="n">
        <f aca="false">IF(AI956&gt;0,AprCoef/SQRT(AI956),0)</f>
        <v>0.0233199725104768</v>
      </c>
      <c r="AK956" s="24" t="n">
        <f aca="false">AI956*AJ956/365</f>
        <v>26395.8580849511</v>
      </c>
      <c r="AL956" s="24" t="n">
        <f aca="false">AD956</f>
        <v>67249.1879720224</v>
      </c>
      <c r="AM956" s="24" t="n">
        <f aca="false">AK956-AL956</f>
        <v>-40853.3298870713</v>
      </c>
      <c r="AN956" s="28" t="str">
        <f aca="false">IF(A956&gt;=Hip3LaunchDate,"YES","")</f>
        <v>YES</v>
      </c>
      <c r="AO956" s="28" t="str">
        <f aca="false">IF(A956&lt;Hip4LaunchDate,"pre-launch","live (zero-fee)")</f>
        <v>pre-launch</v>
      </c>
      <c r="AP956" s="30" t="n">
        <v>38</v>
      </c>
      <c r="AQ956" s="30" t="n">
        <v>22</v>
      </c>
      <c r="AR956" s="19" t="n">
        <v>14052.7037930885</v>
      </c>
    </row>
    <row r="957" customFormat="false" ht="15" hidden="false" customHeight="false" outlineLevel="0" collapsed="false">
      <c r="A957" s="18" t="n">
        <v>46018</v>
      </c>
      <c r="B957" s="19" t="n">
        <v>1344478743.93</v>
      </c>
      <c r="C957" s="19" t="n">
        <v>64067621.14</v>
      </c>
      <c r="D957" s="19" t="n">
        <v>77449255</v>
      </c>
      <c r="E957" s="21" t="n">
        <f aca="false">B957+C957</f>
        <v>1408546365.07</v>
      </c>
      <c r="F957" s="21" t="n">
        <f aca="false">E957+D957</f>
        <v>1485995620.07</v>
      </c>
      <c r="G957" s="22" t="n">
        <f aca="false">IFERROR(C957/E957,0)</f>
        <v>0.045484921709919</v>
      </c>
      <c r="H957" s="19" t="n">
        <v>575062</v>
      </c>
      <c r="I957" s="19" t="n">
        <v>56845</v>
      </c>
      <c r="J957" s="19" t="n">
        <v>5442</v>
      </c>
      <c r="K957" s="21" t="n">
        <f aca="false">H957+I957</f>
        <v>631907</v>
      </c>
      <c r="L957" s="19" t="n">
        <v>7357.29847058546</v>
      </c>
      <c r="M957" s="21" t="n">
        <f aca="false">H957-L957</f>
        <v>567704.701529415</v>
      </c>
      <c r="N957" s="23" t="n">
        <f aca="false">IFERROR(M957/B957*10000,0)</f>
        <v>4.22248922932003</v>
      </c>
      <c r="O957" s="19" t="n">
        <v>494549</v>
      </c>
      <c r="P957" s="19" t="n">
        <v>44253</v>
      </c>
      <c r="Q957" s="21" t="n">
        <f aca="false">O957+P957</f>
        <v>538802</v>
      </c>
      <c r="R957" s="22" t="n">
        <f aca="false">IF(A957&lt;HlpChangeDate,HlpSharePre,HlpSharePost)</f>
        <v>0.01</v>
      </c>
      <c r="S957" s="21" t="n">
        <f aca="false">Q957*R957/(1-R957)</f>
        <v>5442.44444444445</v>
      </c>
      <c r="T957" s="19" t="n">
        <v>5442</v>
      </c>
      <c r="U957" s="21" t="n">
        <f aca="false">S957-T957</f>
        <v>0.444444444445253</v>
      </c>
      <c r="V957" s="21" t="n">
        <f aca="false">Y957-O957*R957/(1-R957)</f>
        <v>75517.5555555556</v>
      </c>
      <c r="W957" s="21" t="n">
        <f aca="false">Z957-P957*R957/(1-R957)</f>
        <v>12145</v>
      </c>
      <c r="X957" s="21" t="n">
        <f aca="false">S957+V957+W957</f>
        <v>93105</v>
      </c>
      <c r="Y957" s="19" t="n">
        <v>80513</v>
      </c>
      <c r="Z957" s="19" t="n">
        <v>12592</v>
      </c>
      <c r="AA957" s="19" t="n">
        <v>538802</v>
      </c>
      <c r="AB957" s="29" t="n">
        <v>25.951</v>
      </c>
      <c r="AC957" s="29" t="n">
        <v>25.886</v>
      </c>
      <c r="AD957" s="24" t="n">
        <f aca="false">IFERROR(AA957/AC957,0)</f>
        <v>20814.4170594144</v>
      </c>
      <c r="AE957" s="25" t="n">
        <f aca="false">K957-Q957-X957</f>
        <v>0</v>
      </c>
      <c r="AF957" s="25" t="n">
        <f aca="false">Q957-AA957</f>
        <v>0</v>
      </c>
      <c r="AG957" s="19" t="n">
        <v>426980.846661925</v>
      </c>
      <c r="AH957" s="26" t="n">
        <f aca="false">IFERROR(AG957/Q957,0)</f>
        <v>0.79246336624943</v>
      </c>
      <c r="AI957" s="27" t="n">
        <v>413297972.497696</v>
      </c>
      <c r="AJ957" s="26" t="n">
        <f aca="false">IF(AI957&gt;0,AprCoef/SQRT(AI957),0)</f>
        <v>0.0233156058132553</v>
      </c>
      <c r="AK957" s="24" t="n">
        <f aca="false">AI957*AJ957/365</f>
        <v>26400.8016717093</v>
      </c>
      <c r="AL957" s="24" t="n">
        <f aca="false">AD957</f>
        <v>20814.4170594144</v>
      </c>
      <c r="AM957" s="24" t="n">
        <f aca="false">AK957-AL957</f>
        <v>5586.38461229499</v>
      </c>
      <c r="AN957" s="28" t="str">
        <f aca="false">IF(A957&gt;=Hip3LaunchDate,"YES","")</f>
        <v>YES</v>
      </c>
      <c r="AO957" s="28" t="str">
        <f aca="false">IF(A957&lt;Hip4LaunchDate,"pre-launch","live (zero-fee)")</f>
        <v>pre-launch</v>
      </c>
      <c r="AP957" s="30" t="n">
        <v>38</v>
      </c>
      <c r="AQ957" s="30" t="n">
        <v>23</v>
      </c>
      <c r="AR957" s="19" t="n">
        <v>3756.26750226482</v>
      </c>
    </row>
    <row r="958" customFormat="false" ht="15" hidden="false" customHeight="false" outlineLevel="0" collapsed="false">
      <c r="A958" s="18" t="n">
        <v>46019</v>
      </c>
      <c r="B958" s="19" t="n">
        <v>1865394194.42</v>
      </c>
      <c r="C958" s="19" t="n">
        <v>74842540.77</v>
      </c>
      <c r="D958" s="19" t="n">
        <v>97578879</v>
      </c>
      <c r="E958" s="21" t="n">
        <f aca="false">B958+C958</f>
        <v>1940236735.19</v>
      </c>
      <c r="F958" s="21" t="n">
        <f aca="false">E958+D958</f>
        <v>2037815614.19</v>
      </c>
      <c r="G958" s="22" t="n">
        <f aca="false">IFERROR(C958/E958,0)</f>
        <v>0.0385739221470162</v>
      </c>
      <c r="H958" s="19" t="n">
        <v>731484</v>
      </c>
      <c r="I958" s="19" t="n">
        <v>72538</v>
      </c>
      <c r="J958" s="19" t="n">
        <v>7025</v>
      </c>
      <c r="K958" s="21" t="n">
        <f aca="false">H958+I958</f>
        <v>804022</v>
      </c>
      <c r="L958" s="19" t="n">
        <v>6621.37400444827</v>
      </c>
      <c r="M958" s="21" t="n">
        <f aca="false">H958-L958</f>
        <v>724862.625995552</v>
      </c>
      <c r="N958" s="23" t="n">
        <f aca="false">IFERROR(M958/B958*10000,0)</f>
        <v>3.88584154579151</v>
      </c>
      <c r="O958" s="19" t="n">
        <v>642912</v>
      </c>
      <c r="P958" s="19" t="n">
        <v>52585</v>
      </c>
      <c r="Q958" s="21" t="n">
        <f aca="false">O958+P958</f>
        <v>695497</v>
      </c>
      <c r="R958" s="22" t="n">
        <f aca="false">IF(A958&lt;HlpChangeDate,HlpSharePre,HlpSharePost)</f>
        <v>0.01</v>
      </c>
      <c r="S958" s="21" t="n">
        <f aca="false">Q958*R958/(1-R958)</f>
        <v>7025.22222222222</v>
      </c>
      <c r="T958" s="19" t="n">
        <v>7025</v>
      </c>
      <c r="U958" s="21" t="n">
        <f aca="false">S958-T958</f>
        <v>0.222222222222626</v>
      </c>
      <c r="V958" s="21" t="n">
        <f aca="false">Y958-O958*R958/(1-R958)</f>
        <v>82077.9393939394</v>
      </c>
      <c r="W958" s="21" t="n">
        <f aca="false">Z958-P958*R958/(1-R958)</f>
        <v>19421.8383838384</v>
      </c>
      <c r="X958" s="21" t="n">
        <f aca="false">S958+V958+W958</f>
        <v>108525</v>
      </c>
      <c r="Y958" s="19" t="n">
        <v>88572</v>
      </c>
      <c r="Z958" s="19" t="n">
        <v>19953</v>
      </c>
      <c r="AA958" s="19" t="n">
        <v>695497</v>
      </c>
      <c r="AB958" s="29" t="n">
        <v>25.339</v>
      </c>
      <c r="AC958" s="29" t="n">
        <v>25.60125</v>
      </c>
      <c r="AD958" s="24" t="n">
        <f aca="false">IFERROR(AA958/AC958,0)</f>
        <v>27166.525072018</v>
      </c>
      <c r="AE958" s="25" t="n">
        <f aca="false">K958-Q958-X958</f>
        <v>0</v>
      </c>
      <c r="AF958" s="25" t="n">
        <f aca="false">Q958-AA958</f>
        <v>0</v>
      </c>
      <c r="AG958" s="19" t="n">
        <v>575484.689520001</v>
      </c>
      <c r="AH958" s="26" t="n">
        <f aca="false">IFERROR(AG958/Q958,0)</f>
        <v>0.827443812870511</v>
      </c>
      <c r="AI958" s="27" t="n">
        <v>413452739.24424</v>
      </c>
      <c r="AJ958" s="26" t="n">
        <f aca="false">IF(AI958&gt;0,AprCoef/SQRT(AI958),0)</f>
        <v>0.0233112415681258</v>
      </c>
      <c r="AK958" s="24" t="n">
        <f aca="false">AI958*AJ958/365</f>
        <v>26405.7443329474</v>
      </c>
      <c r="AL958" s="24" t="n">
        <f aca="false">AD958</f>
        <v>27166.525072018</v>
      </c>
      <c r="AM958" s="24" t="n">
        <f aca="false">AK958-AL958</f>
        <v>-760.780739070549</v>
      </c>
      <c r="AN958" s="28" t="str">
        <f aca="false">IF(A958&gt;=Hip3LaunchDate,"YES","")</f>
        <v>YES</v>
      </c>
      <c r="AO958" s="28" t="str">
        <f aca="false">IF(A958&lt;Hip4LaunchDate,"pre-launch","live (zero-fee)")</f>
        <v>pre-launch</v>
      </c>
      <c r="AP958" s="30" t="n">
        <v>38</v>
      </c>
      <c r="AQ958" s="30" t="n">
        <v>23</v>
      </c>
      <c r="AR958" s="19" t="n">
        <v>4735.33921454257</v>
      </c>
    </row>
    <row r="959" customFormat="false" ht="15" hidden="false" customHeight="false" outlineLevel="0" collapsed="false">
      <c r="A959" s="18" t="n">
        <v>46020</v>
      </c>
      <c r="B959" s="19" t="n">
        <v>6657247052.17</v>
      </c>
      <c r="C959" s="19" t="n">
        <v>300426472.63</v>
      </c>
      <c r="D959" s="19" t="n">
        <v>130386769</v>
      </c>
      <c r="E959" s="21" t="n">
        <f aca="false">B959+C959</f>
        <v>6957673524.8</v>
      </c>
      <c r="F959" s="21" t="n">
        <f aca="false">E959+D959</f>
        <v>7088060293.8</v>
      </c>
      <c r="G959" s="22" t="n">
        <f aca="false">IFERROR(C959/E959,0)</f>
        <v>0.0431791563026286</v>
      </c>
      <c r="H959" s="19" t="n">
        <v>2521905</v>
      </c>
      <c r="I959" s="19" t="n">
        <v>90283</v>
      </c>
      <c r="J959" s="19" t="n">
        <v>23821</v>
      </c>
      <c r="K959" s="21" t="n">
        <f aca="false">H959+I959</f>
        <v>2612188</v>
      </c>
      <c r="L959" s="19" t="n">
        <v>23862.3476170501</v>
      </c>
      <c r="M959" s="21" t="n">
        <f aca="false">H959-L959</f>
        <v>2498042.65238295</v>
      </c>
      <c r="N959" s="23" t="n">
        <f aca="false">IFERROR(M959/B959*10000,0)</f>
        <v>3.75236585454446</v>
      </c>
      <c r="O959" s="19" t="n">
        <v>2289755</v>
      </c>
      <c r="P959" s="19" t="n">
        <v>68508</v>
      </c>
      <c r="Q959" s="21" t="n">
        <f aca="false">O959+P959</f>
        <v>2358263</v>
      </c>
      <c r="R959" s="22" t="n">
        <f aca="false">IF(A959&lt;HlpChangeDate,HlpSharePre,HlpSharePost)</f>
        <v>0.01</v>
      </c>
      <c r="S959" s="21" t="n">
        <f aca="false">Q959*R959/(1-R959)</f>
        <v>23820.8383838384</v>
      </c>
      <c r="T959" s="19" t="n">
        <v>23821</v>
      </c>
      <c r="U959" s="21" t="n">
        <f aca="false">S959-T959</f>
        <v>-0.161616161614802</v>
      </c>
      <c r="V959" s="21" t="n">
        <f aca="false">Y959-O959*R959/(1-R959)</f>
        <v>209021.161616162</v>
      </c>
      <c r="W959" s="21" t="n">
        <f aca="false">Z959-P959*R959/(1-R959)</f>
        <v>21082</v>
      </c>
      <c r="X959" s="21" t="n">
        <f aca="false">S959+V959+W959</f>
        <v>253924</v>
      </c>
      <c r="Y959" s="19" t="n">
        <v>232150</v>
      </c>
      <c r="Z959" s="19" t="n">
        <v>21774</v>
      </c>
      <c r="AA959" s="19" t="n">
        <v>2358263</v>
      </c>
      <c r="AB959" s="29" t="n">
        <v>25.787</v>
      </c>
      <c r="AC959" s="29" t="n">
        <v>25.69725</v>
      </c>
      <c r="AD959" s="24" t="n">
        <f aca="false">IFERROR(AA959/AC959,0)</f>
        <v>91771.0260825575</v>
      </c>
      <c r="AE959" s="25" t="n">
        <f aca="false">K959-Q959-X959</f>
        <v>1</v>
      </c>
      <c r="AF959" s="25" t="n">
        <f aca="false">Q959-AA959</f>
        <v>0</v>
      </c>
      <c r="AG959" s="19" t="n">
        <v>1899653.23078704</v>
      </c>
      <c r="AH959" s="26" t="n">
        <f aca="false">IFERROR(AG959/Q959,0)</f>
        <v>0.805530693899298</v>
      </c>
      <c r="AI959" s="27" t="n">
        <v>413607505.990783</v>
      </c>
      <c r="AJ959" s="26" t="n">
        <f aca="false">IF(AI959&gt;0,AprCoef/SQRT(AI959),0)</f>
        <v>0.0233068797727943</v>
      </c>
      <c r="AK959" s="24" t="n">
        <f aca="false">AI959*AJ959/365</f>
        <v>26410.6860691849</v>
      </c>
      <c r="AL959" s="24" t="n">
        <f aca="false">AD959</f>
        <v>91771.0260825575</v>
      </c>
      <c r="AM959" s="24" t="n">
        <f aca="false">AK959-AL959</f>
        <v>-65360.3400133725</v>
      </c>
      <c r="AN959" s="28" t="str">
        <f aca="false">IF(A959&gt;=Hip3LaunchDate,"YES","")</f>
        <v>YES</v>
      </c>
      <c r="AO959" s="28" t="str">
        <f aca="false">IF(A959&lt;Hip4LaunchDate,"pre-launch","live (zero-fee)")</f>
        <v>pre-launch</v>
      </c>
      <c r="AP959" s="30" t="n">
        <v>38</v>
      </c>
      <c r="AQ959" s="30" t="n">
        <v>23</v>
      </c>
      <c r="AR959" s="19" t="n">
        <v>20319.171095247</v>
      </c>
    </row>
    <row r="960" customFormat="false" ht="15" hidden="false" customHeight="false" outlineLevel="0" collapsed="false">
      <c r="A960" s="18" t="n">
        <v>46021</v>
      </c>
      <c r="B960" s="19" t="n">
        <v>3777819731.83</v>
      </c>
      <c r="C960" s="19" t="n">
        <v>316073006.36</v>
      </c>
      <c r="D960" s="19" t="n">
        <v>137654571</v>
      </c>
      <c r="E960" s="21" t="n">
        <f aca="false">B960+C960</f>
        <v>4093892738.19</v>
      </c>
      <c r="F960" s="21" t="n">
        <f aca="false">E960+D960</f>
        <v>4231547309.19</v>
      </c>
      <c r="G960" s="22" t="n">
        <f aca="false">IFERROR(C960/E960,0)</f>
        <v>0.0772059813417933</v>
      </c>
      <c r="H960" s="19" t="n">
        <v>1572122</v>
      </c>
      <c r="I960" s="19" t="n">
        <v>102727</v>
      </c>
      <c r="J960" s="19" t="n">
        <v>14742</v>
      </c>
      <c r="K960" s="21" t="n">
        <f aca="false">H960+I960</f>
        <v>1674849</v>
      </c>
      <c r="L960" s="19" t="n">
        <v>16568.6200014389</v>
      </c>
      <c r="M960" s="21" t="n">
        <f aca="false">H960-L960</f>
        <v>1555553.37999856</v>
      </c>
      <c r="N960" s="23" t="n">
        <f aca="false">IFERROR(M960/B960*10000,0)</f>
        <v>4.11759557210275</v>
      </c>
      <c r="O960" s="19" t="n">
        <v>1380469</v>
      </c>
      <c r="P960" s="19" t="n">
        <v>79005</v>
      </c>
      <c r="Q960" s="21" t="n">
        <f aca="false">O960+P960</f>
        <v>1459474</v>
      </c>
      <c r="R960" s="22" t="n">
        <f aca="false">IF(A960&lt;HlpChangeDate,HlpSharePre,HlpSharePost)</f>
        <v>0.01</v>
      </c>
      <c r="S960" s="21" t="n">
        <f aca="false">Q960*R960/(1-R960)</f>
        <v>14742.1616161616</v>
      </c>
      <c r="T960" s="19" t="n">
        <v>14742</v>
      </c>
      <c r="U960" s="21" t="n">
        <f aca="false">S960-T960</f>
        <v>0.161616161616621</v>
      </c>
      <c r="V960" s="21" t="n">
        <f aca="false">Y960-O960*R960/(1-R960)</f>
        <v>177708.868686869</v>
      </c>
      <c r="W960" s="21" t="n">
        <f aca="false">Z960-P960*R960/(1-R960)</f>
        <v>22923.9696969697</v>
      </c>
      <c r="X960" s="21" t="n">
        <f aca="false">S960+V960+W960</f>
        <v>215375</v>
      </c>
      <c r="Y960" s="19" t="n">
        <v>191653</v>
      </c>
      <c r="Z960" s="19" t="n">
        <v>23722</v>
      </c>
      <c r="AA960" s="19" t="n">
        <v>1459474</v>
      </c>
      <c r="AB960" s="29" t="n">
        <v>25.961</v>
      </c>
      <c r="AC960" s="29" t="n">
        <v>25.94925</v>
      </c>
      <c r="AD960" s="24" t="n">
        <f aca="false">IFERROR(AA960/AC960,0)</f>
        <v>56243.3981714308</v>
      </c>
      <c r="AE960" s="25" t="n">
        <f aca="false">K960-Q960-X960</f>
        <v>0</v>
      </c>
      <c r="AF960" s="25" t="n">
        <f aca="false">Q960-AA960</f>
        <v>0</v>
      </c>
      <c r="AG960" s="19" t="n">
        <v>1121865.87088203</v>
      </c>
      <c r="AH960" s="26" t="n">
        <f aca="false">IFERROR(AG960/Q960,0)</f>
        <v>0.768678216180647</v>
      </c>
      <c r="AI960" s="27" t="n">
        <v>413762272.737327</v>
      </c>
      <c r="AJ960" s="26" t="n">
        <f aca="false">IF(AI960&gt;0,AprCoef/SQRT(AI960),0)</f>
        <v>0.0233025204249697</v>
      </c>
      <c r="AK960" s="24" t="n">
        <f aca="false">AI960*AJ960/365</f>
        <v>26415.626880941</v>
      </c>
      <c r="AL960" s="24" t="n">
        <f aca="false">AD960</f>
        <v>56243.3981714308</v>
      </c>
      <c r="AM960" s="24" t="n">
        <f aca="false">AK960-AL960</f>
        <v>-29827.7712904898</v>
      </c>
      <c r="AN960" s="28" t="str">
        <f aca="false">IF(A960&gt;=Hip3LaunchDate,"YES","")</f>
        <v>YES</v>
      </c>
      <c r="AO960" s="28" t="str">
        <f aca="false">IF(A960&lt;Hip4LaunchDate,"pre-launch","live (zero-fee)")</f>
        <v>pre-launch</v>
      </c>
      <c r="AP960" s="30" t="n">
        <v>38</v>
      </c>
      <c r="AQ960" s="30" t="n">
        <v>23</v>
      </c>
      <c r="AR960" s="19" t="n">
        <v>13720.6024558665</v>
      </c>
    </row>
    <row r="961" customFormat="false" ht="15" hidden="false" customHeight="false" outlineLevel="0" collapsed="false">
      <c r="A961" s="18" t="n">
        <v>46022</v>
      </c>
      <c r="B961" s="19" t="n">
        <v>3105265399.65</v>
      </c>
      <c r="C961" s="19" t="n">
        <v>233443844.04</v>
      </c>
      <c r="D961" s="19" t="n">
        <v>147729875</v>
      </c>
      <c r="E961" s="21" t="n">
        <f aca="false">B961+C961</f>
        <v>3338709243.69</v>
      </c>
      <c r="F961" s="21" t="n">
        <f aca="false">E961+D961</f>
        <v>3486439118.69</v>
      </c>
      <c r="G961" s="22" t="n">
        <f aca="false">IFERROR(C961/E961,0)</f>
        <v>0.0699203874914228</v>
      </c>
      <c r="H961" s="19" t="n">
        <v>1347662</v>
      </c>
      <c r="I961" s="19" t="n">
        <v>114605</v>
      </c>
      <c r="J961" s="19" t="n">
        <v>12516</v>
      </c>
      <c r="K961" s="21" t="n">
        <f aca="false">H961+I961</f>
        <v>1462267</v>
      </c>
      <c r="L961" s="19" t="n">
        <v>12446.3312919261</v>
      </c>
      <c r="M961" s="21" t="n">
        <f aca="false">H961-L961</f>
        <v>1335215.66870807</v>
      </c>
      <c r="N961" s="23" t="n">
        <f aca="false">IFERROR(M961/B961*10000,0)</f>
        <v>4.29984396457246</v>
      </c>
      <c r="O961" s="19" t="n">
        <v>1151700</v>
      </c>
      <c r="P961" s="19" t="n">
        <v>87376</v>
      </c>
      <c r="Q961" s="21" t="n">
        <f aca="false">O961+P961</f>
        <v>1239076</v>
      </c>
      <c r="R961" s="22" t="n">
        <f aca="false">IF(A961&lt;HlpChangeDate,HlpSharePre,HlpSharePost)</f>
        <v>0.01</v>
      </c>
      <c r="S961" s="21" t="n">
        <f aca="false">Q961*R961/(1-R961)</f>
        <v>12515.9191919192</v>
      </c>
      <c r="T961" s="19" t="n">
        <v>12516</v>
      </c>
      <c r="U961" s="21" t="n">
        <f aca="false">S961-T961</f>
        <v>-0.080808080807401</v>
      </c>
      <c r="V961" s="21" t="n">
        <f aca="false">Y961-O961*R961/(1-R961)</f>
        <v>184328.666666667</v>
      </c>
      <c r="W961" s="21" t="n">
        <f aca="false">Z961-P961*R961/(1-R961)</f>
        <v>26346.4141414141</v>
      </c>
      <c r="X961" s="21" t="n">
        <f aca="false">S961+V961+W961</f>
        <v>223191</v>
      </c>
      <c r="Y961" s="19" t="n">
        <v>195962</v>
      </c>
      <c r="Z961" s="19" t="n">
        <v>27229</v>
      </c>
      <c r="AA961" s="19" t="n">
        <v>1239076</v>
      </c>
      <c r="AB961" s="29" t="n">
        <v>25.43</v>
      </c>
      <c r="AC961" s="29" t="n">
        <v>25.72275</v>
      </c>
      <c r="AD961" s="24" t="n">
        <f aca="false">IFERROR(AA961/AC961,0)</f>
        <v>48170.4327880961</v>
      </c>
      <c r="AE961" s="25" t="n">
        <f aca="false">K961-Q961-X961</f>
        <v>0</v>
      </c>
      <c r="AF961" s="25" t="n">
        <f aca="false">Q961-AA961</f>
        <v>0</v>
      </c>
      <c r="AG961" s="19" t="n">
        <v>946276.493806958</v>
      </c>
      <c r="AH961" s="26" t="n">
        <f aca="false">IFERROR(AG961/Q961,0)</f>
        <v>0.763695280843918</v>
      </c>
      <c r="AI961" s="27" t="n">
        <v>413917039.483871</v>
      </c>
      <c r="AJ961" s="26" t="n">
        <f aca="false">IF(AI961&gt;0,AprCoef/SQRT(AI961),0)</f>
        <v>0.023298163522364</v>
      </c>
      <c r="AK961" s="24" t="n">
        <f aca="false">AI961*AJ961/365</f>
        <v>26420.5667687343</v>
      </c>
      <c r="AL961" s="24" t="n">
        <f aca="false">AD961</f>
        <v>48170.4327880961</v>
      </c>
      <c r="AM961" s="24" t="n">
        <f aca="false">AK961-AL961</f>
        <v>-21749.8660193619</v>
      </c>
      <c r="AN961" s="28" t="str">
        <f aca="false">IF(A961&gt;=Hip3LaunchDate,"YES","")</f>
        <v>YES</v>
      </c>
      <c r="AO961" s="28" t="str">
        <f aca="false">IF(A961&lt;Hip4LaunchDate,"pre-launch","live (zero-fee)")</f>
        <v>pre-launch</v>
      </c>
      <c r="AP961" s="30" t="n">
        <v>38</v>
      </c>
      <c r="AQ961" s="30" t="n">
        <v>23</v>
      </c>
      <c r="AR961" s="19" t="n">
        <v>10397.7404156242</v>
      </c>
    </row>
    <row r="962" customFormat="false" ht="15" hidden="false" customHeight="false" outlineLevel="0" collapsed="false">
      <c r="A962" s="18" t="n">
        <v>46023</v>
      </c>
      <c r="B962" s="19" t="n">
        <v>2218803410.33</v>
      </c>
      <c r="C962" s="19" t="n">
        <v>60685263.13</v>
      </c>
      <c r="D962" s="19" t="n">
        <v>140412000</v>
      </c>
      <c r="E962" s="21" t="n">
        <f aca="false">B962+C962</f>
        <v>2279488673.46</v>
      </c>
      <c r="F962" s="21" t="n">
        <f aca="false">E962+D962</f>
        <v>2419900673.46</v>
      </c>
      <c r="G962" s="22" t="n">
        <f aca="false">IFERROR(C962/E962,0)</f>
        <v>0.026622313958633</v>
      </c>
      <c r="H962" s="19" t="n">
        <v>969146</v>
      </c>
      <c r="I962" s="19" t="n">
        <v>104358</v>
      </c>
      <c r="J962" s="19" t="n">
        <v>9264</v>
      </c>
      <c r="K962" s="21" t="n">
        <f aca="false">H962+I962</f>
        <v>1073504</v>
      </c>
      <c r="L962" s="19" t="n">
        <v>4669.6597548839</v>
      </c>
      <c r="M962" s="21" t="n">
        <f aca="false">H962-L962</f>
        <v>964476.340245116</v>
      </c>
      <c r="N962" s="23" t="n">
        <f aca="false">IFERROR(M962/B962*10000,0)</f>
        <v>4.34683097995451</v>
      </c>
      <c r="O962" s="19" t="n">
        <v>838807</v>
      </c>
      <c r="P962" s="19" t="n">
        <v>78377</v>
      </c>
      <c r="Q962" s="21" t="n">
        <f aca="false">O962+P962</f>
        <v>917184</v>
      </c>
      <c r="R962" s="22" t="n">
        <f aca="false">IF(A962&lt;HlpChangeDate,HlpSharePre,HlpSharePost)</f>
        <v>0.01</v>
      </c>
      <c r="S962" s="21" t="n">
        <f aca="false">Q962*R962/(1-R962)</f>
        <v>9264.48484848485</v>
      </c>
      <c r="T962" s="19" t="n">
        <v>9264</v>
      </c>
      <c r="U962" s="21" t="n">
        <f aca="false">S962-T962</f>
        <v>0.484848484848044</v>
      </c>
      <c r="V962" s="21" t="n">
        <f aca="false">Y962-O962*R962/(1-R962)</f>
        <v>121866.202020202</v>
      </c>
      <c r="W962" s="21" t="n">
        <f aca="false">Z962-P962*R962/(1-R962)</f>
        <v>25189.3131313131</v>
      </c>
      <c r="X962" s="21" t="n">
        <f aca="false">S962+V962+W962</f>
        <v>156320</v>
      </c>
      <c r="Y962" s="19" t="n">
        <v>130339</v>
      </c>
      <c r="Z962" s="19" t="n">
        <v>25981</v>
      </c>
      <c r="AA962" s="19" t="n">
        <v>917184</v>
      </c>
      <c r="AB962" s="29" t="n">
        <v>24.226</v>
      </c>
      <c r="AC962" s="29" t="n">
        <v>24.87125</v>
      </c>
      <c r="AD962" s="24" t="n">
        <f aca="false">IFERROR(AA962/AC962,0)</f>
        <v>36877.2779816053</v>
      </c>
      <c r="AE962" s="25" t="n">
        <f aca="false">K962-Q962-X962</f>
        <v>0</v>
      </c>
      <c r="AF962" s="25" t="n">
        <f aca="false">Q962-AA962</f>
        <v>0</v>
      </c>
      <c r="AG962" s="19" t="n">
        <v>695632.237181068</v>
      </c>
      <c r="AH962" s="26" t="n">
        <f aca="false">IFERROR(AG962/Q962,0)</f>
        <v>0.758443493542264</v>
      </c>
      <c r="AI962" s="27" t="n">
        <v>414071806.230415</v>
      </c>
      <c r="AJ962" s="26" t="n">
        <f aca="false">IF(AI962&gt;0,AprCoef/SQRT(AI962),0)</f>
        <v>0.023293809062692</v>
      </c>
      <c r="AK962" s="24" t="n">
        <f aca="false">AI962*AJ962/365</f>
        <v>26425.5057330829</v>
      </c>
      <c r="AL962" s="24" t="n">
        <f aca="false">AD962</f>
        <v>36877.2779816053</v>
      </c>
      <c r="AM962" s="24" t="n">
        <f aca="false">AK962-AL962</f>
        <v>-10451.7722485223</v>
      </c>
      <c r="AN962" s="28" t="str">
        <f aca="false">IF(A962&gt;=Hip3LaunchDate,"YES","")</f>
        <v>YES</v>
      </c>
      <c r="AO962" s="28" t="str">
        <f aca="false">IF(A962&lt;Hip4LaunchDate,"pre-launch","live (zero-fee)")</f>
        <v>pre-launch</v>
      </c>
      <c r="AP962" s="30" t="n">
        <v>38</v>
      </c>
      <c r="AQ962" s="30" t="n">
        <v>23</v>
      </c>
      <c r="AR962" s="19" t="n">
        <v>2745.36327500433</v>
      </c>
    </row>
    <row r="963" customFormat="false" ht="15" hidden="false" customHeight="false" outlineLevel="0" collapsed="false">
      <c r="A963" s="18" t="n">
        <v>46024</v>
      </c>
      <c r="B963" s="19" t="n">
        <v>6742786200.98</v>
      </c>
      <c r="C963" s="19" t="n">
        <v>324107717.91</v>
      </c>
      <c r="D963" s="19" t="n">
        <v>158982706</v>
      </c>
      <c r="E963" s="21" t="n">
        <f aca="false">B963+C963</f>
        <v>7066893918.89</v>
      </c>
      <c r="F963" s="21" t="n">
        <f aca="false">E963+D963</f>
        <v>7225876624.89</v>
      </c>
      <c r="G963" s="22" t="n">
        <f aca="false">IFERROR(C963/E963,0)</f>
        <v>0.0458628248322295</v>
      </c>
      <c r="H963" s="19" t="n">
        <v>2739880</v>
      </c>
      <c r="I963" s="19" t="n">
        <v>107757</v>
      </c>
      <c r="J963" s="19" t="n">
        <v>25626</v>
      </c>
      <c r="K963" s="21" t="n">
        <f aca="false">H963+I963</f>
        <v>2847637</v>
      </c>
      <c r="L963" s="19" t="n">
        <v>17522.0785625017</v>
      </c>
      <c r="M963" s="21" t="n">
        <f aca="false">H963-L963</f>
        <v>2722357.9214375</v>
      </c>
      <c r="N963" s="23" t="n">
        <f aca="false">IFERROR(M963/B963*10000,0)</f>
        <v>4.03743770051886</v>
      </c>
      <c r="O963" s="19" t="n">
        <v>2457699</v>
      </c>
      <c r="P963" s="19" t="n">
        <v>79309</v>
      </c>
      <c r="Q963" s="21" t="n">
        <f aca="false">O963+P963</f>
        <v>2537008</v>
      </c>
      <c r="R963" s="22" t="n">
        <f aca="false">IF(A963&lt;HlpChangeDate,HlpSharePre,HlpSharePost)</f>
        <v>0.01</v>
      </c>
      <c r="S963" s="21" t="n">
        <f aca="false">Q963*R963/(1-R963)</f>
        <v>25626.3434343434</v>
      </c>
      <c r="T963" s="19" t="n">
        <v>25626</v>
      </c>
      <c r="U963" s="21" t="n">
        <f aca="false">S963-T963</f>
        <v>0.343434343434637</v>
      </c>
      <c r="V963" s="21" t="n">
        <f aca="false">Y963-O963*R963/(1-R963)</f>
        <v>257355.757575758</v>
      </c>
      <c r="W963" s="21" t="n">
        <f aca="false">Z963-P963*R963/(1-R963)</f>
        <v>27646.898989899</v>
      </c>
      <c r="X963" s="21" t="n">
        <f aca="false">S963+V963+W963</f>
        <v>310629</v>
      </c>
      <c r="Y963" s="19" t="n">
        <v>282181</v>
      </c>
      <c r="Z963" s="19" t="n">
        <v>28448</v>
      </c>
      <c r="AA963" s="19" t="n">
        <v>2537008</v>
      </c>
      <c r="AB963" s="29" t="n">
        <v>24.587</v>
      </c>
      <c r="AC963" s="29" t="n">
        <v>24.4645</v>
      </c>
      <c r="AD963" s="24" t="n">
        <f aca="false">IFERROR(AA963/AC963,0)</f>
        <v>103701.608453065</v>
      </c>
      <c r="AE963" s="25" t="n">
        <f aca="false">K963-Q963-X963</f>
        <v>0</v>
      </c>
      <c r="AF963" s="25" t="n">
        <f aca="false">Q963-AA963</f>
        <v>0</v>
      </c>
      <c r="AG963" s="19" t="n">
        <v>1963652.998487</v>
      </c>
      <c r="AH963" s="26" t="n">
        <f aca="false">IFERROR(AG963/Q963,0)</f>
        <v>0.774003471209786</v>
      </c>
      <c r="AI963" s="27" t="n">
        <v>414226572.976959</v>
      </c>
      <c r="AJ963" s="26" t="n">
        <f aca="false">IF(AI963&gt;0,AprCoef/SQRT(AI963),0)</f>
        <v>0.0232894570436717</v>
      </c>
      <c r="AK963" s="24" t="n">
        <f aca="false">AI963*AJ963/365</f>
        <v>26430.4437745047</v>
      </c>
      <c r="AL963" s="24" t="n">
        <f aca="false">AD963</f>
        <v>103701.608453065</v>
      </c>
      <c r="AM963" s="24" t="n">
        <f aca="false">AK963-AL963</f>
        <v>-77271.16467856</v>
      </c>
      <c r="AN963" s="28" t="str">
        <f aca="false">IF(A963&gt;=Hip3LaunchDate,"YES","")</f>
        <v>YES</v>
      </c>
      <c r="AO963" s="28" t="str">
        <f aca="false">IF(A963&lt;Hip4LaunchDate,"pre-launch","live (zero-fee)")</f>
        <v>pre-launch</v>
      </c>
      <c r="AP963" s="30" t="n">
        <v>38</v>
      </c>
      <c r="AQ963" s="30" t="n">
        <v>23</v>
      </c>
      <c r="AR963" s="19" t="n">
        <v>13549.4625188088</v>
      </c>
    </row>
    <row r="964" customFormat="false" ht="15" hidden="false" customHeight="false" outlineLevel="0" collapsed="false">
      <c r="A964" s="18" t="n">
        <v>46025</v>
      </c>
      <c r="B964" s="19" t="n">
        <v>3238060651.07</v>
      </c>
      <c r="C964" s="19" t="n">
        <v>79936222.68</v>
      </c>
      <c r="D964" s="19" t="n">
        <v>97545435</v>
      </c>
      <c r="E964" s="21" t="n">
        <f aca="false">B964+C964</f>
        <v>3317996873.75</v>
      </c>
      <c r="F964" s="21" t="n">
        <f aca="false">E964+D964</f>
        <v>3415542308.75</v>
      </c>
      <c r="G964" s="22" t="n">
        <f aca="false">IFERROR(C964/E964,0)</f>
        <v>0.0240917112708597</v>
      </c>
      <c r="H964" s="19" t="n">
        <v>1303315</v>
      </c>
      <c r="I964" s="19" t="n">
        <v>62476</v>
      </c>
      <c r="J964" s="19" t="n">
        <v>12271</v>
      </c>
      <c r="K964" s="21" t="n">
        <f aca="false">H964+I964</f>
        <v>1365791</v>
      </c>
      <c r="L964" s="19" t="n">
        <v>6213.0513982742</v>
      </c>
      <c r="M964" s="21" t="n">
        <f aca="false">H964-L964</f>
        <v>1297101.94860173</v>
      </c>
      <c r="N964" s="23" t="n">
        <f aca="false">IFERROR(M964/B964*10000,0)</f>
        <v>4.00579880482815</v>
      </c>
      <c r="O964" s="19" t="n">
        <v>1168680</v>
      </c>
      <c r="P964" s="19" t="n">
        <v>46188</v>
      </c>
      <c r="Q964" s="21" t="n">
        <f aca="false">O964+P964</f>
        <v>1214868</v>
      </c>
      <c r="R964" s="22" t="n">
        <f aca="false">IF(A964&lt;HlpChangeDate,HlpSharePre,HlpSharePost)</f>
        <v>0.01</v>
      </c>
      <c r="S964" s="21" t="n">
        <f aca="false">Q964*R964/(1-R964)</f>
        <v>12271.3939393939</v>
      </c>
      <c r="T964" s="19" t="n">
        <v>12271</v>
      </c>
      <c r="U964" s="21" t="n">
        <f aca="false">S964-T964</f>
        <v>0.393939393939945</v>
      </c>
      <c r="V964" s="21" t="n">
        <f aca="false">Y964-O964*R964/(1-R964)</f>
        <v>122831.151515152</v>
      </c>
      <c r="W964" s="21" t="n">
        <f aca="false">Z964-P964*R964/(1-R964)</f>
        <v>15821.4545454545</v>
      </c>
      <c r="X964" s="21" t="n">
        <f aca="false">S964+V964+W964</f>
        <v>150924</v>
      </c>
      <c r="Y964" s="19" t="n">
        <v>134636</v>
      </c>
      <c r="Z964" s="19" t="n">
        <v>16288</v>
      </c>
      <c r="AA964" s="19" t="n">
        <v>1214868</v>
      </c>
      <c r="AB964" s="29" t="n">
        <v>25.384</v>
      </c>
      <c r="AC964" s="29" t="n">
        <v>24.92225</v>
      </c>
      <c r="AD964" s="24" t="n">
        <f aca="false">IFERROR(AA964/AC964,0)</f>
        <v>48746.3210584919</v>
      </c>
      <c r="AE964" s="25" t="n">
        <f aca="false">K964-Q964-X964</f>
        <v>-1.0000000000291</v>
      </c>
      <c r="AF964" s="25" t="n">
        <f aca="false">Q964-AA964</f>
        <v>0</v>
      </c>
      <c r="AG964" s="19" t="n">
        <v>1025379.84301591</v>
      </c>
      <c r="AH964" s="26" t="n">
        <f aca="false">IFERROR(AG964/Q964,0)</f>
        <v>0.844025723795432</v>
      </c>
      <c r="AI964" s="27" t="n">
        <v>414381339.723502</v>
      </c>
      <c r="AJ964" s="26" t="n">
        <f aca="false">IF(AI964&gt;0,AprCoef/SQRT(AI964),0)</f>
        <v>0.023285107463024</v>
      </c>
      <c r="AK964" s="24" t="n">
        <f aca="false">AI964*AJ964/365</f>
        <v>26435.3808935167</v>
      </c>
      <c r="AL964" s="24" t="n">
        <f aca="false">AD964</f>
        <v>48746.3210584919</v>
      </c>
      <c r="AM964" s="24" t="n">
        <f aca="false">AK964-AL964</f>
        <v>-22310.9401649752</v>
      </c>
      <c r="AN964" s="28" t="str">
        <f aca="false">IF(A964&gt;=Hip3LaunchDate,"YES","")</f>
        <v>YES</v>
      </c>
      <c r="AO964" s="28" t="str">
        <f aca="false">IF(A964&lt;Hip4LaunchDate,"pre-launch","live (zero-fee)")</f>
        <v>pre-launch</v>
      </c>
      <c r="AP964" s="30" t="n">
        <v>38</v>
      </c>
      <c r="AQ964" s="30" t="n">
        <v>23</v>
      </c>
      <c r="AR964" s="19" t="n">
        <v>3419.26168006183</v>
      </c>
    </row>
    <row r="965" customFormat="false" ht="15" hidden="false" customHeight="false" outlineLevel="0" collapsed="false">
      <c r="A965" s="18" t="n">
        <v>46026</v>
      </c>
      <c r="B965" s="19" t="n">
        <v>3512692118.34</v>
      </c>
      <c r="C965" s="19" t="n">
        <v>75858129.55</v>
      </c>
      <c r="D965" s="19" t="n">
        <v>77369559</v>
      </c>
      <c r="E965" s="21" t="n">
        <f aca="false">B965+C965</f>
        <v>3588550247.89</v>
      </c>
      <c r="F965" s="21" t="n">
        <f aca="false">E965+D965</f>
        <v>3665919806.89</v>
      </c>
      <c r="G965" s="22" t="n">
        <f aca="false">IFERROR(C965/E965,0)</f>
        <v>0.0211389347535549</v>
      </c>
      <c r="H965" s="19" t="n">
        <v>1381961</v>
      </c>
      <c r="I965" s="19" t="n">
        <v>39784</v>
      </c>
      <c r="J965" s="19" t="n">
        <v>12995</v>
      </c>
      <c r="K965" s="21" t="n">
        <f aca="false">H965+I965</f>
        <v>1421745</v>
      </c>
      <c r="L965" s="19" t="n">
        <v>7504.58818674751</v>
      </c>
      <c r="M965" s="21" t="n">
        <f aca="false">H965-L965</f>
        <v>1374456.41181325</v>
      </c>
      <c r="N965" s="23" t="n">
        <f aca="false">IFERROR(M965/B965*10000,0)</f>
        <v>3.91282915071641</v>
      </c>
      <c r="O965" s="19" t="n">
        <v>1257110</v>
      </c>
      <c r="P965" s="19" t="n">
        <v>29426</v>
      </c>
      <c r="Q965" s="21" t="n">
        <f aca="false">O965+P965</f>
        <v>1286536</v>
      </c>
      <c r="R965" s="22" t="n">
        <f aca="false">IF(A965&lt;HlpChangeDate,HlpSharePre,HlpSharePost)</f>
        <v>0.01</v>
      </c>
      <c r="S965" s="21" t="n">
        <f aca="false">Q965*R965/(1-R965)</f>
        <v>12995.3131313131</v>
      </c>
      <c r="T965" s="19" t="n">
        <v>12995</v>
      </c>
      <c r="U965" s="21" t="n">
        <f aca="false">S965-T965</f>
        <v>0.313131313132544</v>
      </c>
      <c r="V965" s="21" t="n">
        <f aca="false">Y965-O965*R965/(1-R965)</f>
        <v>112151.919191919</v>
      </c>
      <c r="W965" s="21" t="n">
        <f aca="false">Z965-P965*R965/(1-R965)</f>
        <v>10059.7676767677</v>
      </c>
      <c r="X965" s="21" t="n">
        <f aca="false">S965+V965+W965</f>
        <v>135207</v>
      </c>
      <c r="Y965" s="19" t="n">
        <v>124850</v>
      </c>
      <c r="Z965" s="19" t="n">
        <v>10357</v>
      </c>
      <c r="AA965" s="19" t="n">
        <v>1286536</v>
      </c>
      <c r="AB965" s="29" t="n">
        <v>26.872</v>
      </c>
      <c r="AC965" s="29" t="n">
        <v>26.00525</v>
      </c>
      <c r="AD965" s="24" t="n">
        <f aca="false">IFERROR(AA965/AC965,0)</f>
        <v>49472.1642745215</v>
      </c>
      <c r="AE965" s="25" t="n">
        <f aca="false">K965-Q965-X965</f>
        <v>2</v>
      </c>
      <c r="AF965" s="25" t="n">
        <f aca="false">Q965-AA965</f>
        <v>0</v>
      </c>
      <c r="AG965" s="19" t="n">
        <v>1042990.91248107</v>
      </c>
      <c r="AH965" s="26" t="n">
        <f aca="false">IFERROR(AG965/Q965,0)</f>
        <v>0.810697028673174</v>
      </c>
      <c r="AI965" s="27" t="n">
        <v>414536106.470046</v>
      </c>
      <c r="AJ965" s="26" t="n">
        <f aca="false">IF(AI965&gt;0,AprCoef/SQRT(AI965),0)</f>
        <v>0.0232807603184727</v>
      </c>
      <c r="AK965" s="24" t="n">
        <f aca="false">AI965*AJ965/365</f>
        <v>26440.3170906357</v>
      </c>
      <c r="AL965" s="24" t="n">
        <f aca="false">AD965</f>
        <v>49472.1642745215</v>
      </c>
      <c r="AM965" s="24" t="n">
        <f aca="false">AK965-AL965</f>
        <v>-23031.8471838858</v>
      </c>
      <c r="AN965" s="28" t="str">
        <f aca="false">IF(A965&gt;=Hip3LaunchDate,"YES","")</f>
        <v>YES</v>
      </c>
      <c r="AO965" s="28" t="str">
        <f aca="false">IF(A965&lt;Hip4LaunchDate,"pre-launch","live (zero-fee)")</f>
        <v>pre-launch</v>
      </c>
      <c r="AP965" s="30" t="n">
        <v>38</v>
      </c>
      <c r="AQ965" s="30" t="n">
        <v>23</v>
      </c>
      <c r="AR965" s="19" t="n">
        <v>4242.56068465495</v>
      </c>
    </row>
    <row r="966" customFormat="false" ht="15" hidden="false" customHeight="false" outlineLevel="0" collapsed="false">
      <c r="A966" s="18" t="n">
        <v>46027</v>
      </c>
      <c r="B966" s="19" t="n">
        <v>7236736072.74</v>
      </c>
      <c r="C966" s="19" t="n">
        <v>331966119.69</v>
      </c>
      <c r="D966" s="19" t="n">
        <v>153796466</v>
      </c>
      <c r="E966" s="21" t="n">
        <f aca="false">B966+C966</f>
        <v>7568702192.43</v>
      </c>
      <c r="F966" s="21" t="n">
        <f aca="false">E966+D966</f>
        <v>7722498658.43</v>
      </c>
      <c r="G966" s="22" t="n">
        <f aca="false">IFERROR(C966/E966,0)</f>
        <v>0.0438603754316061</v>
      </c>
      <c r="H966" s="19" t="n">
        <v>2830214</v>
      </c>
      <c r="I966" s="19" t="n">
        <v>79063</v>
      </c>
      <c r="J966" s="19" t="n">
        <v>26721</v>
      </c>
      <c r="K966" s="21" t="n">
        <f aca="false">H966+I966</f>
        <v>2909277</v>
      </c>
      <c r="L966" s="19" t="n">
        <v>22436.9733277385</v>
      </c>
      <c r="M966" s="21" t="n">
        <f aca="false">H966-L966</f>
        <v>2807777.02667226</v>
      </c>
      <c r="N966" s="23" t="n">
        <f aca="false">IFERROR(M966/B966*10000,0)</f>
        <v>3.87989419325219</v>
      </c>
      <c r="O966" s="19" t="n">
        <v>2588172</v>
      </c>
      <c r="P966" s="19" t="n">
        <v>57987</v>
      </c>
      <c r="Q966" s="21" t="n">
        <f aca="false">O966+P966</f>
        <v>2646159</v>
      </c>
      <c r="R966" s="22" t="n">
        <f aca="false">IF(A966&lt;HlpChangeDate,HlpSharePre,HlpSharePost)</f>
        <v>0.01</v>
      </c>
      <c r="S966" s="21" t="n">
        <f aca="false">Q966*R966/(1-R966)</f>
        <v>26728.8787878788</v>
      </c>
      <c r="T966" s="19" t="n">
        <v>26721</v>
      </c>
      <c r="U966" s="21" t="n">
        <f aca="false">S966-T966</f>
        <v>7.87878787878799</v>
      </c>
      <c r="V966" s="21" t="n">
        <f aca="false">Y966-O966*R966/(1-R966)</f>
        <v>215898.848484848</v>
      </c>
      <c r="W966" s="21" t="n">
        <f aca="false">Z966-P966*R966/(1-R966)</f>
        <v>20490.2727272727</v>
      </c>
      <c r="X966" s="21" t="n">
        <f aca="false">S966+V966+W966</f>
        <v>263118</v>
      </c>
      <c r="Y966" s="19" t="n">
        <v>242042</v>
      </c>
      <c r="Z966" s="19" t="n">
        <v>21076</v>
      </c>
      <c r="AA966" s="19" t="n">
        <v>2646159</v>
      </c>
      <c r="AB966" s="29" t="n">
        <v>26.525</v>
      </c>
      <c r="AC966" s="29" t="n">
        <v>26.66675</v>
      </c>
      <c r="AD966" s="24" t="n">
        <f aca="false">IFERROR(AA966/AC966,0)</f>
        <v>99230.6524042112</v>
      </c>
      <c r="AE966" s="25" t="n">
        <f aca="false">K966-Q966-X966</f>
        <v>0</v>
      </c>
      <c r="AF966" s="25" t="n">
        <f aca="false">Q966-AA966</f>
        <v>0</v>
      </c>
      <c r="AG966" s="19" t="n">
        <v>2133826.84800994</v>
      </c>
      <c r="AH966" s="26" t="n">
        <f aca="false">IFERROR(AG966/Q966,0)</f>
        <v>0.80638648244869</v>
      </c>
      <c r="AI966" s="27" t="n">
        <v>414690873.21659</v>
      </c>
      <c r="AJ966" s="26" t="n">
        <f aca="false">IF(AI966&gt;0,AprCoef/SQRT(AI966),0)</f>
        <v>0.0232764156077447</v>
      </c>
      <c r="AK966" s="24" t="n">
        <f aca="false">AI966*AJ966/365</f>
        <v>26445.2523663779</v>
      </c>
      <c r="AL966" s="24" t="n">
        <f aca="false">AD966</f>
        <v>99230.6524042112</v>
      </c>
      <c r="AM966" s="24" t="n">
        <f aca="false">AK966-AL966</f>
        <v>-72785.4000378333</v>
      </c>
      <c r="AN966" s="28" t="str">
        <f aca="false">IF(A966&gt;=Hip3LaunchDate,"YES","")</f>
        <v>YES</v>
      </c>
      <c r="AO966" s="28" t="str">
        <f aca="false">IF(A966&lt;Hip4LaunchDate,"pre-launch","live (zero-fee)")</f>
        <v>pre-launch</v>
      </c>
      <c r="AP966" s="30" t="n">
        <v>39</v>
      </c>
      <c r="AQ966" s="30" t="n">
        <v>23</v>
      </c>
      <c r="AR966" s="19" t="n">
        <v>16937.6975470562</v>
      </c>
    </row>
    <row r="967" customFormat="false" ht="15" hidden="false" customHeight="false" outlineLevel="0" collapsed="false">
      <c r="A967" s="18" t="n">
        <v>46028</v>
      </c>
      <c r="B967" s="19" t="n">
        <v>7937633992.08</v>
      </c>
      <c r="C967" s="19" t="n">
        <v>327670324.73</v>
      </c>
      <c r="D967" s="19" t="n">
        <v>179663491</v>
      </c>
      <c r="E967" s="21" t="n">
        <f aca="false">B967+C967</f>
        <v>8265304316.81</v>
      </c>
      <c r="F967" s="21" t="n">
        <f aca="false">E967+D967</f>
        <v>8444967807.81</v>
      </c>
      <c r="G967" s="22" t="n">
        <f aca="false">IFERROR(C967/E967,0)</f>
        <v>0.0396440726403241</v>
      </c>
      <c r="H967" s="19" t="n">
        <v>3102555</v>
      </c>
      <c r="I967" s="19" t="n">
        <v>95638</v>
      </c>
      <c r="J967" s="19" t="n">
        <v>29842</v>
      </c>
      <c r="K967" s="21" t="n">
        <f aca="false">H967+I967</f>
        <v>3198193</v>
      </c>
      <c r="L967" s="19" t="n">
        <v>25137.3877749461</v>
      </c>
      <c r="M967" s="21" t="n">
        <f aca="false">H967-L967</f>
        <v>3077417.61222505</v>
      </c>
      <c r="N967" s="23" t="n">
        <f aca="false">IFERROR(M967/B967*10000,0)</f>
        <v>3.87699611155621</v>
      </c>
      <c r="O967" s="19" t="n">
        <v>2880206</v>
      </c>
      <c r="P967" s="19" t="n">
        <v>73601</v>
      </c>
      <c r="Q967" s="21" t="n">
        <f aca="false">O967+P967</f>
        <v>2953807</v>
      </c>
      <c r="R967" s="22" t="n">
        <f aca="false">IF(A967&lt;HlpChangeDate,HlpSharePre,HlpSharePost)</f>
        <v>0.01</v>
      </c>
      <c r="S967" s="21" t="n">
        <f aca="false">Q967*R967/(1-R967)</f>
        <v>29836.4343434343</v>
      </c>
      <c r="T967" s="19" t="n">
        <v>29842</v>
      </c>
      <c r="U967" s="21" t="n">
        <f aca="false">S967-T967</f>
        <v>-5.56565656565726</v>
      </c>
      <c r="V967" s="21" t="n">
        <f aca="false">Y967-O967*R967/(1-R967)</f>
        <v>193256.01010101</v>
      </c>
      <c r="W967" s="21" t="n">
        <f aca="false">Z967-P967*R967/(1-R967)</f>
        <v>21293.5555555556</v>
      </c>
      <c r="X967" s="21" t="n">
        <f aca="false">S967+V967+W967</f>
        <v>244386</v>
      </c>
      <c r="Y967" s="19" t="n">
        <v>222349</v>
      </c>
      <c r="Z967" s="19" t="n">
        <v>22037</v>
      </c>
      <c r="AA967" s="19" t="n">
        <v>2953807</v>
      </c>
      <c r="AB967" s="29" t="n">
        <v>28.246</v>
      </c>
      <c r="AC967" s="29" t="n">
        <v>27.3245</v>
      </c>
      <c r="AD967" s="24" t="n">
        <f aca="false">IFERROR(AA967/AC967,0)</f>
        <v>108101.04484986</v>
      </c>
      <c r="AE967" s="25" t="n">
        <f aca="false">K967-Q967-X967</f>
        <v>0</v>
      </c>
      <c r="AF967" s="25" t="n">
        <f aca="false">Q967-AA967</f>
        <v>0</v>
      </c>
      <c r="AG967" s="19" t="n">
        <v>2506028.42361105</v>
      </c>
      <c r="AH967" s="26" t="n">
        <f aca="false">IFERROR(AG967/Q967,0)</f>
        <v>0.848406285045382</v>
      </c>
      <c r="AI967" s="27" t="n">
        <v>414845639.963134</v>
      </c>
      <c r="AJ967" s="26" t="n">
        <f aca="false">IF(AI967&gt;0,AprCoef/SQRT(AI967),0)</f>
        <v>0.0232720733285699</v>
      </c>
      <c r="AK967" s="24" t="n">
        <f aca="false">AI967*AJ967/365</f>
        <v>26450.1867212591</v>
      </c>
      <c r="AL967" s="24" t="n">
        <f aca="false">AD967</f>
        <v>108101.04484986</v>
      </c>
      <c r="AM967" s="24" t="n">
        <f aca="false">AK967-AL967</f>
        <v>-81650.858128601</v>
      </c>
      <c r="AN967" s="28" t="str">
        <f aca="false">IF(A967&gt;=Hip3LaunchDate,"YES","")</f>
        <v>YES</v>
      </c>
      <c r="AO967" s="28" t="str">
        <f aca="false">IF(A967&lt;Hip4LaunchDate,"pre-launch","live (zero-fee)")</f>
        <v>pre-launch</v>
      </c>
      <c r="AP967" s="30" t="n">
        <v>41</v>
      </c>
      <c r="AQ967" s="30" t="n">
        <v>24</v>
      </c>
      <c r="AR967" s="19" t="n">
        <v>19169.8243182259</v>
      </c>
    </row>
    <row r="968" customFormat="false" ht="15" hidden="false" customHeight="false" outlineLevel="0" collapsed="false">
      <c r="A968" s="18" t="n">
        <v>46029</v>
      </c>
      <c r="B968" s="19" t="n">
        <v>6136634547.88</v>
      </c>
      <c r="C968" s="19" t="n">
        <v>332729557.08</v>
      </c>
      <c r="D968" s="19" t="n">
        <v>122833352</v>
      </c>
      <c r="E968" s="21" t="n">
        <f aca="false">B968+C968</f>
        <v>6469364104.96</v>
      </c>
      <c r="F968" s="21" t="n">
        <f aca="false">E968+D968</f>
        <v>6592197456.96</v>
      </c>
      <c r="G968" s="22" t="n">
        <f aca="false">IFERROR(C968/E968,0)</f>
        <v>0.0514315706585288</v>
      </c>
      <c r="H968" s="19" t="n">
        <v>2405426</v>
      </c>
      <c r="I968" s="19" t="n">
        <v>61994</v>
      </c>
      <c r="J968" s="19" t="n">
        <v>22793</v>
      </c>
      <c r="K968" s="21" t="n">
        <f aca="false">H968+I968</f>
        <v>2467420</v>
      </c>
      <c r="L968" s="19" t="n">
        <v>23013.640157925</v>
      </c>
      <c r="M968" s="21" t="n">
        <f aca="false">H968-L968</f>
        <v>2382412.35984208</v>
      </c>
      <c r="N968" s="23" t="n">
        <f aca="false">IFERROR(M968/B968*10000,0)</f>
        <v>3.88227837465915</v>
      </c>
      <c r="O968" s="19" t="n">
        <v>2208036</v>
      </c>
      <c r="P968" s="19" t="n">
        <v>48158</v>
      </c>
      <c r="Q968" s="21" t="n">
        <f aca="false">O968+P968</f>
        <v>2256194</v>
      </c>
      <c r="R968" s="22" t="n">
        <f aca="false">IF(A968&lt;HlpChangeDate,HlpSharePre,HlpSharePost)</f>
        <v>0.01</v>
      </c>
      <c r="S968" s="21" t="n">
        <f aca="false">Q968*R968/(1-R968)</f>
        <v>22789.8383838384</v>
      </c>
      <c r="T968" s="19" t="n">
        <v>22793</v>
      </c>
      <c r="U968" s="21" t="n">
        <f aca="false">S968-T968</f>
        <v>-3.16161616161844</v>
      </c>
      <c r="V968" s="21" t="n">
        <f aca="false">Y968-O968*R968/(1-R968)</f>
        <v>175086.606060606</v>
      </c>
      <c r="W968" s="21" t="n">
        <f aca="false">Z968-P968*R968/(1-R968)</f>
        <v>13349.5555555556</v>
      </c>
      <c r="X968" s="21" t="n">
        <f aca="false">S968+V968+W968</f>
        <v>211226</v>
      </c>
      <c r="Y968" s="19" t="n">
        <v>197390</v>
      </c>
      <c r="Z968" s="19" t="n">
        <v>13836</v>
      </c>
      <c r="AA968" s="19" t="n">
        <v>2256194</v>
      </c>
      <c r="AB968" s="29" t="n">
        <v>26.851</v>
      </c>
      <c r="AC968" s="29" t="n">
        <v>27.4825</v>
      </c>
      <c r="AD968" s="24" t="n">
        <f aca="false">IFERROR(AA968/AC968,0)</f>
        <v>82095.6608751023</v>
      </c>
      <c r="AE968" s="25" t="n">
        <f aca="false">K968-Q968-X968</f>
        <v>0</v>
      </c>
      <c r="AF968" s="25" t="n">
        <f aca="false">Q968-AA968</f>
        <v>0</v>
      </c>
      <c r="AG968" s="19" t="n">
        <v>1835828.87877095</v>
      </c>
      <c r="AH968" s="26" t="n">
        <f aca="false">IFERROR(AG968/Q968,0)</f>
        <v>0.813683964575275</v>
      </c>
      <c r="AI968" s="27" t="n">
        <v>415000406.709677</v>
      </c>
      <c r="AJ968" s="26" t="n">
        <f aca="false">IF(AI968&gt;0,AprCoef/SQRT(AI968),0)</f>
        <v>0.023267733478681</v>
      </c>
      <c r="AK968" s="24" t="n">
        <f aca="false">AI968*AJ968/365</f>
        <v>26455.1201557945</v>
      </c>
      <c r="AL968" s="24" t="n">
        <f aca="false">AD968</f>
        <v>82095.6608751023</v>
      </c>
      <c r="AM968" s="24" t="n">
        <f aca="false">AK968-AL968</f>
        <v>-55640.5407193079</v>
      </c>
      <c r="AN968" s="28" t="str">
        <f aca="false">IF(A968&gt;=Hip3LaunchDate,"YES","")</f>
        <v>YES</v>
      </c>
      <c r="AO968" s="28" t="str">
        <f aca="false">IF(A968&lt;Hip4LaunchDate,"pre-launch","live (zero-fee)")</f>
        <v>pre-launch</v>
      </c>
      <c r="AP968" s="30" t="n">
        <v>43</v>
      </c>
      <c r="AQ968" s="30" t="n">
        <v>24</v>
      </c>
      <c r="AR968" s="19" t="n">
        <v>18055.4287304378</v>
      </c>
    </row>
    <row r="969" customFormat="false" ht="15" hidden="false" customHeight="false" outlineLevel="0" collapsed="false">
      <c r="A969" s="18" t="n">
        <v>46030</v>
      </c>
      <c r="B969" s="19" t="n">
        <v>7190845724.55</v>
      </c>
      <c r="C969" s="19" t="n">
        <v>419621834.6</v>
      </c>
      <c r="D969" s="19" t="n">
        <v>120194070</v>
      </c>
      <c r="E969" s="21" t="n">
        <f aca="false">B969+C969</f>
        <v>7610467559.15</v>
      </c>
      <c r="F969" s="21" t="n">
        <f aca="false">E969+D969</f>
        <v>7730661629.15</v>
      </c>
      <c r="G969" s="22" t="n">
        <f aca="false">IFERROR(C969/E969,0)</f>
        <v>0.055137457894488</v>
      </c>
      <c r="H969" s="19" t="n">
        <v>2768182</v>
      </c>
      <c r="I969" s="19" t="n">
        <v>62662</v>
      </c>
      <c r="J969" s="19" t="n">
        <v>26479</v>
      </c>
      <c r="K969" s="21" t="n">
        <f aca="false">H969+I969</f>
        <v>2830844</v>
      </c>
      <c r="L969" s="19" t="n">
        <v>25615.5509197836</v>
      </c>
      <c r="M969" s="21" t="n">
        <f aca="false">H969-L969</f>
        <v>2742566.44908022</v>
      </c>
      <c r="N969" s="23" t="n">
        <f aca="false">IFERROR(M969/B969*10000,0)</f>
        <v>3.8139692522076</v>
      </c>
      <c r="O969" s="19" t="n">
        <v>2575107</v>
      </c>
      <c r="P969" s="19" t="n">
        <v>46361</v>
      </c>
      <c r="Q969" s="21" t="n">
        <f aca="false">O969+P969</f>
        <v>2621468</v>
      </c>
      <c r="R969" s="22" t="n">
        <f aca="false">IF(A969&lt;HlpChangeDate,HlpSharePre,HlpSharePost)</f>
        <v>0.01</v>
      </c>
      <c r="S969" s="21" t="n">
        <f aca="false">Q969*R969/(1-R969)</f>
        <v>26479.4747474748</v>
      </c>
      <c r="T969" s="19" t="n">
        <v>26479</v>
      </c>
      <c r="U969" s="21" t="n">
        <f aca="false">S969-T969</f>
        <v>0.474747474749165</v>
      </c>
      <c r="V969" s="21" t="n">
        <f aca="false">Y969-O969*R969/(1-R969)</f>
        <v>167062.818181818</v>
      </c>
      <c r="W969" s="21" t="n">
        <f aca="false">Z969-P969*R969/(1-R969)</f>
        <v>15832.7070707071</v>
      </c>
      <c r="X969" s="21" t="n">
        <f aca="false">S969+V969+W969</f>
        <v>209375</v>
      </c>
      <c r="Y969" s="19" t="n">
        <v>193074</v>
      </c>
      <c r="Z969" s="19" t="n">
        <v>16301</v>
      </c>
      <c r="AA969" s="19" t="n">
        <v>2621468</v>
      </c>
      <c r="AB969" s="29" t="n">
        <v>25.667</v>
      </c>
      <c r="AC969" s="29" t="n">
        <v>26.29175</v>
      </c>
      <c r="AD969" s="24" t="n">
        <f aca="false">IFERROR(AA969/AC969,0)</f>
        <v>99706.8662222941</v>
      </c>
      <c r="AE969" s="25" t="n">
        <f aca="false">K969-Q969-X969</f>
        <v>1</v>
      </c>
      <c r="AF969" s="25" t="n">
        <f aca="false">Q969-AA969</f>
        <v>0</v>
      </c>
      <c r="AG969" s="19" t="n">
        <v>2153498.63241601</v>
      </c>
      <c r="AH969" s="26" t="n">
        <f aca="false">IFERROR(AG969/Q969,0)</f>
        <v>0.821485760045902</v>
      </c>
      <c r="AI969" s="27" t="n">
        <v>415155173.456221</v>
      </c>
      <c r="AJ969" s="26" t="n">
        <f aca="false">IF(AI969&gt;0,AprCoef/SQRT(AI969),0)</f>
        <v>0.0232633960558137</v>
      </c>
      <c r="AK969" s="24" t="n">
        <f aca="false">AI969*AJ969/365</f>
        <v>26460.0526704989</v>
      </c>
      <c r="AL969" s="24" t="n">
        <f aca="false">AD969</f>
        <v>99706.8662222941</v>
      </c>
      <c r="AM969" s="24" t="n">
        <f aca="false">AK969-AL969</f>
        <v>-73246.8135517952</v>
      </c>
      <c r="AN969" s="28" t="str">
        <f aca="false">IF(A969&gt;=Hip3LaunchDate,"YES","")</f>
        <v>YES</v>
      </c>
      <c r="AO969" s="28" t="str">
        <f aca="false">IF(A969&lt;Hip4LaunchDate,"pre-launch","live (zero-fee)")</f>
        <v>pre-launch</v>
      </c>
      <c r="AP969" s="30" t="n">
        <v>44</v>
      </c>
      <c r="AQ969" s="30" t="n">
        <v>24</v>
      </c>
      <c r="AR969" s="19" t="n">
        <v>19282.7323541838</v>
      </c>
    </row>
    <row r="970" customFormat="false" ht="15" hidden="false" customHeight="false" outlineLevel="0" collapsed="false">
      <c r="A970" s="18" t="n">
        <v>46031</v>
      </c>
      <c r="B970" s="19" t="n">
        <v>6932577333.93</v>
      </c>
      <c r="C970" s="19" t="n">
        <v>311747368.46</v>
      </c>
      <c r="D970" s="19" t="n">
        <v>109133587</v>
      </c>
      <c r="E970" s="21" t="n">
        <f aca="false">B970+C970</f>
        <v>7244324702.39</v>
      </c>
      <c r="F970" s="21" t="n">
        <f aca="false">E970+D970</f>
        <v>7353458289.39</v>
      </c>
      <c r="G970" s="22" t="n">
        <f aca="false">IFERROR(C970/E970,0)</f>
        <v>0.0430333235004155</v>
      </c>
      <c r="H970" s="19" t="n">
        <v>2313384</v>
      </c>
      <c r="I970" s="19" t="n">
        <v>52906</v>
      </c>
      <c r="J970" s="19" t="n">
        <v>22258</v>
      </c>
      <c r="K970" s="21" t="n">
        <f aca="false">H970+I970</f>
        <v>2366290</v>
      </c>
      <c r="L970" s="19" t="n">
        <v>18959.4261396649</v>
      </c>
      <c r="M970" s="21" t="n">
        <f aca="false">H970-L970</f>
        <v>2294424.57386034</v>
      </c>
      <c r="N970" s="23" t="n">
        <f aca="false">IFERROR(M970/B970*10000,0)</f>
        <v>3.30962708865976</v>
      </c>
      <c r="O970" s="19" t="n">
        <v>2163913</v>
      </c>
      <c r="P970" s="19" t="n">
        <v>39558</v>
      </c>
      <c r="Q970" s="21" t="n">
        <f aca="false">O970+P970</f>
        <v>2203471</v>
      </c>
      <c r="R970" s="22" t="n">
        <f aca="false">IF(A970&lt;HlpChangeDate,HlpSharePre,HlpSharePost)</f>
        <v>0.01</v>
      </c>
      <c r="S970" s="21" t="n">
        <f aca="false">Q970*R970/(1-R970)</f>
        <v>22257.2828282828</v>
      </c>
      <c r="T970" s="19" t="n">
        <v>22258</v>
      </c>
      <c r="U970" s="21" t="n">
        <f aca="false">S970-T970</f>
        <v>-0.717171717173187</v>
      </c>
      <c r="V970" s="21" t="n">
        <f aca="false">Y970-O970*R970/(1-R970)</f>
        <v>127613.292929293</v>
      </c>
      <c r="W970" s="21" t="n">
        <f aca="false">Z970-P970*R970/(1-R970)</f>
        <v>12948.4242424242</v>
      </c>
      <c r="X970" s="21" t="n">
        <f aca="false">S970+V970+W970</f>
        <v>162819</v>
      </c>
      <c r="Y970" s="19" t="n">
        <v>149471</v>
      </c>
      <c r="Z970" s="19" t="n">
        <v>13348</v>
      </c>
      <c r="AA970" s="19" t="n">
        <v>2203471</v>
      </c>
      <c r="AB970" s="29" t="n">
        <v>25.065</v>
      </c>
      <c r="AC970" s="29" t="n">
        <v>25.47325</v>
      </c>
      <c r="AD970" s="24" t="n">
        <f aca="false">IFERROR(AA970/AC970,0)</f>
        <v>86501.369083254</v>
      </c>
      <c r="AE970" s="25" t="n">
        <f aca="false">K970-Q970-X970</f>
        <v>0</v>
      </c>
      <c r="AF970" s="25" t="n">
        <f aca="false">Q970-AA970</f>
        <v>0</v>
      </c>
      <c r="AG970" s="19" t="n">
        <v>1568443.92752004</v>
      </c>
      <c r="AH970" s="26" t="n">
        <f aca="false">IFERROR(AG970/Q970,0)</f>
        <v>0.711806022189553</v>
      </c>
      <c r="AI970" s="27" t="n">
        <v>415309940.202765</v>
      </c>
      <c r="AJ970" s="26" t="n">
        <f aca="false">IF(AI970&gt;0,AprCoef/SQRT(AI970),0)</f>
        <v>0.0232590610577067</v>
      </c>
      <c r="AK970" s="24" t="n">
        <f aca="false">AI970*AJ970/365</f>
        <v>26464.9842658867</v>
      </c>
      <c r="AL970" s="24" t="n">
        <f aca="false">AD970</f>
        <v>86501.369083254</v>
      </c>
      <c r="AM970" s="24" t="n">
        <f aca="false">AK970-AL970</f>
        <v>-60036.3848173673</v>
      </c>
      <c r="AN970" s="28" t="str">
        <f aca="false">IF(A970&gt;=Hip3LaunchDate,"YES","")</f>
        <v>YES</v>
      </c>
      <c r="AO970" s="28" t="str">
        <f aca="false">IF(A970&lt;Hip4LaunchDate,"pre-launch","live (zero-fee)")</f>
        <v>pre-launch</v>
      </c>
      <c r="AP970" s="30" t="n">
        <v>46</v>
      </c>
      <c r="AQ970" s="30" t="n">
        <v>24</v>
      </c>
      <c r="AR970" s="19" t="n">
        <v>13886.8872090448</v>
      </c>
    </row>
    <row r="971" customFormat="false" ht="15" hidden="false" customHeight="false" outlineLevel="0" collapsed="false">
      <c r="A971" s="18" t="n">
        <v>46032</v>
      </c>
      <c r="B971" s="19" t="n">
        <v>1439990710.69</v>
      </c>
      <c r="C971" s="19" t="n">
        <v>78168233.38</v>
      </c>
      <c r="D971" s="19" t="n">
        <v>56606100</v>
      </c>
      <c r="E971" s="21" t="n">
        <f aca="false">B971+C971</f>
        <v>1518158944.07</v>
      </c>
      <c r="F971" s="21" t="n">
        <f aca="false">E971+D971</f>
        <v>1574765044.07</v>
      </c>
      <c r="G971" s="22" t="n">
        <f aca="false">IFERROR(C971/E971,0)</f>
        <v>0.051488833685912</v>
      </c>
      <c r="H971" s="19" t="n">
        <v>580683</v>
      </c>
      <c r="I971" s="19" t="n">
        <v>29394</v>
      </c>
      <c r="J971" s="19" t="n">
        <v>5618</v>
      </c>
      <c r="K971" s="21" t="n">
        <f aca="false">H971+I971</f>
        <v>610077</v>
      </c>
      <c r="L971" s="19" t="n">
        <v>6836.419562441</v>
      </c>
      <c r="M971" s="21" t="n">
        <f aca="false">H971-L971</f>
        <v>573846.580437559</v>
      </c>
      <c r="N971" s="23" t="n">
        <f aca="false">IFERROR(M971/B971*10000,0)</f>
        <v>3.98507140481892</v>
      </c>
      <c r="O971" s="19" t="n">
        <v>530668</v>
      </c>
      <c r="P971" s="19" t="n">
        <v>25567</v>
      </c>
      <c r="Q971" s="21" t="n">
        <f aca="false">O971+P971</f>
        <v>556235</v>
      </c>
      <c r="R971" s="22" t="n">
        <f aca="false">IF(A971&lt;HlpChangeDate,HlpSharePre,HlpSharePost)</f>
        <v>0.01</v>
      </c>
      <c r="S971" s="21" t="n">
        <f aca="false">Q971*R971/(1-R971)</f>
        <v>5618.53535353535</v>
      </c>
      <c r="T971" s="19" t="n">
        <v>5618</v>
      </c>
      <c r="U971" s="21" t="n">
        <f aca="false">S971-T971</f>
        <v>0.535353535354261</v>
      </c>
      <c r="V971" s="21" t="n">
        <f aca="false">Y971-O971*R971/(1-R971)</f>
        <v>44654.7171717172</v>
      </c>
      <c r="W971" s="21" t="n">
        <f aca="false">Z971-P971*R971/(1-R971)</f>
        <v>3569.74747474748</v>
      </c>
      <c r="X971" s="21" t="n">
        <f aca="false">S971+V971+W971</f>
        <v>53843</v>
      </c>
      <c r="Y971" s="19" t="n">
        <v>50015</v>
      </c>
      <c r="Z971" s="19" t="n">
        <v>3828</v>
      </c>
      <c r="AA971" s="19" t="n">
        <v>556235</v>
      </c>
      <c r="AB971" s="29" t="n">
        <v>24.018</v>
      </c>
      <c r="AC971" s="29" t="n">
        <v>24.483</v>
      </c>
      <c r="AD971" s="24" t="n">
        <f aca="false">IFERROR(AA971/AC971,0)</f>
        <v>22719.2337540334</v>
      </c>
      <c r="AE971" s="25" t="n">
        <f aca="false">K971-Q971-X971</f>
        <v>-1.00000000000728</v>
      </c>
      <c r="AF971" s="25" t="n">
        <f aca="false">Q971-AA971</f>
        <v>0</v>
      </c>
      <c r="AG971" s="19" t="n">
        <v>742922.048109055</v>
      </c>
      <c r="AH971" s="26" t="n">
        <f aca="false">IFERROR(AG971/Q971,0)</f>
        <v>1.33562621573446</v>
      </c>
      <c r="AI971" s="27" t="n">
        <v>415464706.949309</v>
      </c>
      <c r="AJ971" s="26" t="n">
        <f aca="false">IF(AI971&gt;0,AprCoef/SQRT(AI971),0)</f>
        <v>0.0232547284821018</v>
      </c>
      <c r="AK971" s="24" t="n">
        <f aca="false">AI971*AJ971/365</f>
        <v>26469.9149424717</v>
      </c>
      <c r="AL971" s="24" t="n">
        <f aca="false">AD971</f>
        <v>22719.2337540334</v>
      </c>
      <c r="AM971" s="24" t="n">
        <f aca="false">AK971-AL971</f>
        <v>3750.68118843824</v>
      </c>
      <c r="AN971" s="28" t="str">
        <f aca="false">IF(A971&gt;=Hip3LaunchDate,"YES","")</f>
        <v>YES</v>
      </c>
      <c r="AO971" s="28" t="str">
        <f aca="false">IF(A971&lt;Hip4LaunchDate,"pre-launch","live (zero-fee)")</f>
        <v>pre-launch</v>
      </c>
      <c r="AP971" s="30" t="n">
        <v>46</v>
      </c>
      <c r="AQ971" s="30" t="n">
        <v>24</v>
      </c>
      <c r="AR971" s="19" t="n">
        <v>4247.32663245633</v>
      </c>
    </row>
    <row r="972" customFormat="false" ht="15" hidden="false" customHeight="false" outlineLevel="0" collapsed="false">
      <c r="A972" s="18" t="n">
        <v>46033</v>
      </c>
      <c r="B972" s="19" t="n">
        <v>2900575618.3</v>
      </c>
      <c r="C972" s="19" t="n">
        <v>172892115.16</v>
      </c>
      <c r="D972" s="19" t="n">
        <v>57524305</v>
      </c>
      <c r="E972" s="21" t="n">
        <f aca="false">B972+C972</f>
        <v>3073467733.46</v>
      </c>
      <c r="F972" s="21" t="n">
        <f aca="false">E972+D972</f>
        <v>3130992038.46</v>
      </c>
      <c r="G972" s="22" t="n">
        <f aca="false">IFERROR(C972/E972,0)</f>
        <v>0.0562531089159554</v>
      </c>
      <c r="H972" s="19" t="n">
        <v>1196204</v>
      </c>
      <c r="I972" s="19" t="n">
        <v>28522</v>
      </c>
      <c r="J972" s="19" t="n">
        <v>10754</v>
      </c>
      <c r="K972" s="21" t="n">
        <f aca="false">H972+I972</f>
        <v>1224726</v>
      </c>
      <c r="L972" s="19" t="n">
        <v>12292.4015759586</v>
      </c>
      <c r="M972" s="21" t="n">
        <f aca="false">H972-L972</f>
        <v>1183911.59842404</v>
      </c>
      <c r="N972" s="23" t="n">
        <f aca="false">IFERROR(M972/B972*10000,0)</f>
        <v>4.08164362602593</v>
      </c>
      <c r="O972" s="19" t="n">
        <v>1046416</v>
      </c>
      <c r="P972" s="19" t="n">
        <v>18163</v>
      </c>
      <c r="Q972" s="21" t="n">
        <f aca="false">O972+P972</f>
        <v>1064579</v>
      </c>
      <c r="R972" s="22" t="n">
        <f aca="false">IF(A972&lt;HlpChangeDate,HlpSharePre,HlpSharePost)</f>
        <v>0.01</v>
      </c>
      <c r="S972" s="21" t="n">
        <f aca="false">Q972*R972/(1-R972)</f>
        <v>10753.3232323232</v>
      </c>
      <c r="T972" s="19" t="n">
        <v>10754</v>
      </c>
      <c r="U972" s="21" t="n">
        <f aca="false">S972-T972</f>
        <v>-0.676767676766758</v>
      </c>
      <c r="V972" s="21" t="n">
        <f aca="false">Y972-O972*R972/(1-R972)</f>
        <v>139218.141414141</v>
      </c>
      <c r="W972" s="21" t="n">
        <f aca="false">Z972-P972*R972/(1-R972)</f>
        <v>10175.5353535354</v>
      </c>
      <c r="X972" s="21" t="n">
        <f aca="false">S972+V972+W972</f>
        <v>160147</v>
      </c>
      <c r="Y972" s="19" t="n">
        <v>149788</v>
      </c>
      <c r="Z972" s="19" t="n">
        <v>10359</v>
      </c>
      <c r="AA972" s="19" t="n">
        <v>1064579</v>
      </c>
      <c r="AB972" s="29" t="n">
        <v>24.396</v>
      </c>
      <c r="AC972" s="29" t="n">
        <v>24.2575</v>
      </c>
      <c r="AD972" s="24" t="n">
        <f aca="false">IFERROR(AA972/AC972,0)</f>
        <v>43886.5917757395</v>
      </c>
      <c r="AE972" s="25" t="n">
        <f aca="false">K972-Q972-X972</f>
        <v>0</v>
      </c>
      <c r="AF972" s="25" t="n">
        <f aca="false">Q972-AA972</f>
        <v>0</v>
      </c>
      <c r="AG972" s="19" t="n">
        <v>837345.865229964</v>
      </c>
      <c r="AH972" s="26" t="n">
        <f aca="false">IFERROR(AG972/Q972,0)</f>
        <v>0.786551176784404</v>
      </c>
      <c r="AI972" s="27" t="n">
        <v>415619473.695853</v>
      </c>
      <c r="AJ972" s="26" t="n">
        <f aca="false">IF(AI972&gt;0,AprCoef/SQRT(AI972),0)</f>
        <v>0.0232503983267434</v>
      </c>
      <c r="AK972" s="24" t="n">
        <f aca="false">AI972*AJ972/365</f>
        <v>26474.8447007671</v>
      </c>
      <c r="AL972" s="24" t="n">
        <f aca="false">AD972</f>
        <v>43886.5917757395</v>
      </c>
      <c r="AM972" s="24" t="n">
        <f aca="false">AK972-AL972</f>
        <v>-17411.7470749723</v>
      </c>
      <c r="AN972" s="28" t="str">
        <f aca="false">IF(A972&gt;=Hip3LaunchDate,"YES","")</f>
        <v>YES</v>
      </c>
      <c r="AO972" s="28" t="str">
        <f aca="false">IF(A972&lt;Hip4LaunchDate,"pre-launch","live (zero-fee)")</f>
        <v>pre-launch</v>
      </c>
      <c r="AP972" s="30" t="n">
        <v>46</v>
      </c>
      <c r="AQ972" s="30" t="n">
        <v>24</v>
      </c>
      <c r="AR972" s="19" t="n">
        <v>9923.4132497906</v>
      </c>
    </row>
    <row r="973" customFormat="false" ht="15" hidden="false" customHeight="false" outlineLevel="0" collapsed="false">
      <c r="A973" s="18" t="n">
        <v>46034</v>
      </c>
      <c r="B973" s="19" t="n">
        <v>6684693885.21</v>
      </c>
      <c r="C973" s="19" t="n">
        <v>445655150.27</v>
      </c>
      <c r="D973" s="19" t="n">
        <v>123128335</v>
      </c>
      <c r="E973" s="21" t="n">
        <f aca="false">B973+C973</f>
        <v>7130349035.48</v>
      </c>
      <c r="F973" s="21" t="n">
        <f aca="false">E973+D973</f>
        <v>7253477370.48</v>
      </c>
      <c r="G973" s="22" t="n">
        <f aca="false">IFERROR(C973/E973,0)</f>
        <v>0.0625011690244697</v>
      </c>
      <c r="H973" s="19" t="n">
        <v>2534533</v>
      </c>
      <c r="I973" s="19" t="n">
        <v>56846</v>
      </c>
      <c r="J973" s="19" t="n">
        <v>24019</v>
      </c>
      <c r="K973" s="21" t="n">
        <f aca="false">H973+I973</f>
        <v>2591379</v>
      </c>
      <c r="L973" s="19" t="n">
        <v>35826.5098988319</v>
      </c>
      <c r="M973" s="21" t="n">
        <f aca="false">H973-L973</f>
        <v>2498706.49010117</v>
      </c>
      <c r="N973" s="23" t="n">
        <f aca="false">IFERROR(M973/B973*10000,0)</f>
        <v>3.73795200350101</v>
      </c>
      <c r="O973" s="19" t="n">
        <v>2332377</v>
      </c>
      <c r="P973" s="19" t="n">
        <v>45377</v>
      </c>
      <c r="Q973" s="21" t="n">
        <f aca="false">O973+P973</f>
        <v>2377754</v>
      </c>
      <c r="R973" s="22" t="n">
        <f aca="false">IF(A973&lt;HlpChangeDate,HlpSharePre,HlpSharePost)</f>
        <v>0.01</v>
      </c>
      <c r="S973" s="21" t="n">
        <f aca="false">Q973*R973/(1-R973)</f>
        <v>24017.7171717172</v>
      </c>
      <c r="T973" s="19" t="n">
        <v>24019</v>
      </c>
      <c r="U973" s="21" t="n">
        <f aca="false">S973-T973</f>
        <v>-1.28282828282681</v>
      </c>
      <c r="V973" s="21" t="n">
        <f aca="false">Y973-O973*R973/(1-R973)</f>
        <v>178595.636363636</v>
      </c>
      <c r="W973" s="21" t="n">
        <f aca="false">Z973-P973*R973/(1-R973)</f>
        <v>11010.6464646465</v>
      </c>
      <c r="X973" s="21" t="n">
        <f aca="false">S973+V973+W973</f>
        <v>213624</v>
      </c>
      <c r="Y973" s="19" t="n">
        <v>202155</v>
      </c>
      <c r="Z973" s="19" t="n">
        <v>11469</v>
      </c>
      <c r="AA973" s="19" t="n">
        <v>2377754</v>
      </c>
      <c r="AB973" s="29" t="n">
        <v>23.742</v>
      </c>
      <c r="AC973" s="29" t="n">
        <v>24.149</v>
      </c>
      <c r="AD973" s="24" t="n">
        <f aca="false">IFERROR(AA973/AC973,0)</f>
        <v>98461.7996604414</v>
      </c>
      <c r="AE973" s="25" t="n">
        <f aca="false">K973-Q973-X973</f>
        <v>1</v>
      </c>
      <c r="AF973" s="25" t="n">
        <f aca="false">Q973-AA973</f>
        <v>0</v>
      </c>
      <c r="AG973" s="19" t="n">
        <v>1958486.37003899</v>
      </c>
      <c r="AH973" s="26" t="n">
        <f aca="false">IFERROR(AG973/Q973,0)</f>
        <v>0.823670728779759</v>
      </c>
      <c r="AI973" s="27" t="n">
        <v>415774240.442396</v>
      </c>
      <c r="AJ973" s="26" t="n">
        <f aca="false">IF(AI973&gt;0,AprCoef/SQRT(AI973),0)</f>
        <v>0.0232460705893791</v>
      </c>
      <c r="AK973" s="24" t="n">
        <f aca="false">AI973*AJ973/365</f>
        <v>26479.773541286</v>
      </c>
      <c r="AL973" s="24" t="n">
        <f aca="false">AD973</f>
        <v>98461.7996604414</v>
      </c>
      <c r="AM973" s="24" t="n">
        <f aca="false">AK973-AL973</f>
        <v>-71982.0261191554</v>
      </c>
      <c r="AN973" s="28" t="str">
        <f aca="false">IF(A973&gt;=Hip3LaunchDate,"YES","")</f>
        <v>YES</v>
      </c>
      <c r="AO973" s="28" t="str">
        <f aca="false">IF(A973&lt;Hip4LaunchDate,"pre-launch","live (zero-fee)")</f>
        <v>pre-launch</v>
      </c>
      <c r="AP973" s="30" t="n">
        <v>49</v>
      </c>
      <c r="AQ973" s="30" t="n">
        <v>26</v>
      </c>
      <c r="AR973" s="19" t="n">
        <v>29867.6479846665</v>
      </c>
    </row>
    <row r="974" customFormat="false" ht="15" hidden="false" customHeight="false" outlineLevel="0" collapsed="false">
      <c r="A974" s="18" t="n">
        <v>46035</v>
      </c>
      <c r="B974" s="19" t="n">
        <v>8466035742.96</v>
      </c>
      <c r="C974" s="19" t="n">
        <v>580538259.26</v>
      </c>
      <c r="D974" s="19" t="n">
        <v>133261195</v>
      </c>
      <c r="E974" s="21" t="n">
        <f aca="false">B974+C974</f>
        <v>9046574002.22</v>
      </c>
      <c r="F974" s="21" t="n">
        <f aca="false">E974+D974</f>
        <v>9179835197.22</v>
      </c>
      <c r="G974" s="22" t="n">
        <f aca="false">IFERROR(C974/E974,0)</f>
        <v>0.0641721671781536</v>
      </c>
      <c r="H974" s="19" t="n">
        <v>3044751</v>
      </c>
      <c r="I974" s="19" t="n">
        <v>65354</v>
      </c>
      <c r="J974" s="19" t="n">
        <v>28981</v>
      </c>
      <c r="K974" s="21" t="n">
        <f aca="false">H974+I974</f>
        <v>3110105</v>
      </c>
      <c r="L974" s="19" t="n">
        <v>36645.1720261864</v>
      </c>
      <c r="M974" s="21" t="n">
        <f aca="false">H974-L974</f>
        <v>3008105.82797381</v>
      </c>
      <c r="N974" s="23" t="n">
        <f aca="false">IFERROR(M974/B974*10000,0)</f>
        <v>3.55314567443827</v>
      </c>
      <c r="O974" s="19" t="n">
        <v>2824092</v>
      </c>
      <c r="P974" s="19" t="n">
        <v>45204</v>
      </c>
      <c r="Q974" s="21" t="n">
        <f aca="false">O974+P974</f>
        <v>2869296</v>
      </c>
      <c r="R974" s="22" t="n">
        <f aca="false">IF(A974&lt;HlpChangeDate,HlpSharePre,HlpSharePost)</f>
        <v>0.01</v>
      </c>
      <c r="S974" s="21" t="n">
        <f aca="false">Q974*R974/(1-R974)</f>
        <v>28982.7878787879</v>
      </c>
      <c r="T974" s="19" t="n">
        <v>28981</v>
      </c>
      <c r="U974" s="21" t="n">
        <f aca="false">S974-T974</f>
        <v>1.78787878787989</v>
      </c>
      <c r="V974" s="21" t="n">
        <f aca="false">Y974-O974*R974/(1-R974)</f>
        <v>192132.818181818</v>
      </c>
      <c r="W974" s="21" t="n">
        <f aca="false">Z974-P974*R974/(1-R974)</f>
        <v>19693.3939393939</v>
      </c>
      <c r="X974" s="21" t="n">
        <f aca="false">S974+V974+W974</f>
        <v>240809</v>
      </c>
      <c r="Y974" s="19" t="n">
        <v>220659</v>
      </c>
      <c r="Z974" s="19" t="n">
        <v>20150</v>
      </c>
      <c r="AA974" s="19" t="n">
        <v>2869296</v>
      </c>
      <c r="AB974" s="29" t="n">
        <v>25.763</v>
      </c>
      <c r="AC974" s="29" t="n">
        <v>24.77675</v>
      </c>
      <c r="AD974" s="24" t="n">
        <f aca="false">IFERROR(AA974/AC974,0)</f>
        <v>115805.98746809</v>
      </c>
      <c r="AE974" s="25" t="n">
        <f aca="false">K974-Q974-X974</f>
        <v>0</v>
      </c>
      <c r="AF974" s="25" t="n">
        <f aca="false">Q974-AA974</f>
        <v>0</v>
      </c>
      <c r="AG974" s="19" t="n">
        <v>2318416.82035601</v>
      </c>
      <c r="AH974" s="26" t="n">
        <f aca="false">IFERROR(AG974/Q974,0)</f>
        <v>0.80800894029616</v>
      </c>
      <c r="AI974" s="27" t="n">
        <v>415929007.18894</v>
      </c>
      <c r="AJ974" s="26" t="n">
        <f aca="false">IF(AI974&gt;0,AprCoef/SQRT(AI974),0)</f>
        <v>0.0232417452677593</v>
      </c>
      <c r="AK974" s="24" t="n">
        <f aca="false">AI974*AJ974/365</f>
        <v>26484.7014645407</v>
      </c>
      <c r="AL974" s="24" t="n">
        <f aca="false">AD974</f>
        <v>115805.98746809</v>
      </c>
      <c r="AM974" s="24" t="n">
        <f aca="false">AK974-AL974</f>
        <v>-89321.2860035493</v>
      </c>
      <c r="AN974" s="28" t="str">
        <f aca="false">IF(A974&gt;=Hip3LaunchDate,"YES","")</f>
        <v>YES</v>
      </c>
      <c r="AO974" s="28" t="str">
        <f aca="false">IF(A974&lt;Hip4LaunchDate,"pre-launch","live (zero-fee)")</f>
        <v>pre-launch</v>
      </c>
      <c r="AP974" s="30" t="n">
        <v>50</v>
      </c>
      <c r="AQ974" s="30" t="n">
        <v>27</v>
      </c>
      <c r="AR974" s="19" t="n">
        <v>30444.9728389694</v>
      </c>
    </row>
    <row r="975" customFormat="false" ht="15" hidden="false" customHeight="false" outlineLevel="0" collapsed="false">
      <c r="A975" s="18" t="n">
        <v>46036</v>
      </c>
      <c r="B975" s="19" t="n">
        <v>8219958038.58</v>
      </c>
      <c r="C975" s="19" t="n">
        <v>706622982.74</v>
      </c>
      <c r="D975" s="19" t="n">
        <v>152194040</v>
      </c>
      <c r="E975" s="21" t="n">
        <f aca="false">B975+C975</f>
        <v>8926581021.32</v>
      </c>
      <c r="F975" s="21" t="n">
        <f aca="false">E975+D975</f>
        <v>9078775061.32</v>
      </c>
      <c r="G975" s="22" t="n">
        <f aca="false">IFERROR(C975/E975,0)</f>
        <v>0.0791594207292043</v>
      </c>
      <c r="H975" s="19" t="n">
        <v>3136902</v>
      </c>
      <c r="I975" s="19" t="n">
        <v>76627</v>
      </c>
      <c r="J975" s="19" t="n">
        <v>29792</v>
      </c>
      <c r="K975" s="21" t="n">
        <f aca="false">H975+I975</f>
        <v>3213529</v>
      </c>
      <c r="L975" s="19" t="n">
        <v>45980.7307329837</v>
      </c>
      <c r="M975" s="21" t="n">
        <f aca="false">H975-L975</f>
        <v>3090921.26926702</v>
      </c>
      <c r="N975" s="23" t="n">
        <f aca="false">IFERROR(M975/B975*10000,0)</f>
        <v>3.76026404850234</v>
      </c>
      <c r="O975" s="19" t="n">
        <v>2891885</v>
      </c>
      <c r="P975" s="19" t="n">
        <v>57386</v>
      </c>
      <c r="Q975" s="21" t="n">
        <f aca="false">O975+P975</f>
        <v>2949271</v>
      </c>
      <c r="R975" s="22" t="n">
        <f aca="false">IF(A975&lt;HlpChangeDate,HlpSharePre,HlpSharePost)</f>
        <v>0.01</v>
      </c>
      <c r="S975" s="21" t="n">
        <f aca="false">Q975*R975/(1-R975)</f>
        <v>29790.6161616162</v>
      </c>
      <c r="T975" s="19" t="n">
        <v>29792</v>
      </c>
      <c r="U975" s="21" t="n">
        <f aca="false">S975-T975</f>
        <v>-1.38383838383743</v>
      </c>
      <c r="V975" s="21" t="n">
        <f aca="false">Y975-O975*R975/(1-R975)</f>
        <v>215807.04040404</v>
      </c>
      <c r="W975" s="21" t="n">
        <f aca="false">Z975-P975*R975/(1-R975)</f>
        <v>18661.3434343434</v>
      </c>
      <c r="X975" s="21" t="n">
        <f aca="false">S975+V975+W975</f>
        <v>264259</v>
      </c>
      <c r="Y975" s="19" t="n">
        <v>245018</v>
      </c>
      <c r="Z975" s="19" t="n">
        <v>19241</v>
      </c>
      <c r="AA975" s="19" t="n">
        <v>2949271</v>
      </c>
      <c r="AB975" s="29" t="n">
        <v>25.984</v>
      </c>
      <c r="AC975" s="29" t="n">
        <v>26.0625</v>
      </c>
      <c r="AD975" s="24" t="n">
        <f aca="false">IFERROR(AA975/AC975,0)</f>
        <v>113161.477218225</v>
      </c>
      <c r="AE975" s="25" t="n">
        <f aca="false">K975-Q975-X975</f>
        <v>-1</v>
      </c>
      <c r="AF975" s="25" t="n">
        <f aca="false">Q975-AA975</f>
        <v>0</v>
      </c>
      <c r="AG975" s="19" t="n">
        <v>2459094.01889098</v>
      </c>
      <c r="AH975" s="26" t="n">
        <f aca="false">IFERROR(AG975/Q975,0)</f>
        <v>0.833797239687698</v>
      </c>
      <c r="AI975" s="27" t="n">
        <v>416083773.935484</v>
      </c>
      <c r="AJ975" s="26" t="n">
        <f aca="false">IF(AI975&gt;0,AprCoef/SQRT(AI975),0)</f>
        <v>0.0232374223596375</v>
      </c>
      <c r="AK975" s="24" t="n">
        <f aca="false">AI975*AJ975/365</f>
        <v>26489.6284710431</v>
      </c>
      <c r="AL975" s="24" t="n">
        <f aca="false">AD975</f>
        <v>113161.477218225</v>
      </c>
      <c r="AM975" s="24" t="n">
        <f aca="false">AK975-AL975</f>
        <v>-86671.8487471823</v>
      </c>
      <c r="AN975" s="28" t="str">
        <f aca="false">IF(A975&gt;=Hip3LaunchDate,"YES","")</f>
        <v>YES</v>
      </c>
      <c r="AO975" s="28" t="str">
        <f aca="false">IF(A975&lt;Hip4LaunchDate,"pre-launch","live (zero-fee)")</f>
        <v>pre-launch</v>
      </c>
      <c r="AP975" s="30" t="n">
        <v>54</v>
      </c>
      <c r="AQ975" s="30" t="n">
        <v>30</v>
      </c>
      <c r="AR975" s="19" t="n">
        <v>39558.3197451432</v>
      </c>
    </row>
    <row r="976" customFormat="false" ht="15" hidden="false" customHeight="false" outlineLevel="0" collapsed="false">
      <c r="A976" s="18" t="n">
        <v>46037</v>
      </c>
      <c r="B976" s="19" t="n">
        <v>6587910191.37</v>
      </c>
      <c r="C976" s="19" t="n">
        <v>726261251.04</v>
      </c>
      <c r="D976" s="19" t="n">
        <v>136715830</v>
      </c>
      <c r="E976" s="21" t="n">
        <f aca="false">B976+C976</f>
        <v>7314171442.41</v>
      </c>
      <c r="F976" s="21" t="n">
        <f aca="false">E976+D976</f>
        <v>7450887272.41</v>
      </c>
      <c r="G976" s="22" t="n">
        <f aca="false">IFERROR(C976/E976,0)</f>
        <v>0.0992950817134113</v>
      </c>
      <c r="H976" s="19" t="n">
        <v>2542398</v>
      </c>
      <c r="I976" s="19" t="n">
        <v>67540</v>
      </c>
      <c r="J976" s="19" t="n">
        <v>23807</v>
      </c>
      <c r="K976" s="21" t="n">
        <f aca="false">H976+I976</f>
        <v>2609938</v>
      </c>
      <c r="L976" s="19" t="n">
        <v>45877.564356664</v>
      </c>
      <c r="M976" s="21" t="n">
        <f aca="false">H976-L976</f>
        <v>2496520.43564334</v>
      </c>
      <c r="N976" s="23" t="n">
        <f aca="false">IFERROR(M976/B976*10000,0)</f>
        <v>3.78954837440516</v>
      </c>
      <c r="O976" s="19" t="n">
        <v>2308568</v>
      </c>
      <c r="P976" s="19" t="n">
        <v>48357</v>
      </c>
      <c r="Q976" s="21" t="n">
        <f aca="false">O976+P976</f>
        <v>2356925</v>
      </c>
      <c r="R976" s="22" t="n">
        <f aca="false">IF(A976&lt;HlpChangeDate,HlpSharePre,HlpSharePost)</f>
        <v>0.01</v>
      </c>
      <c r="S976" s="21" t="n">
        <f aca="false">Q976*R976/(1-R976)</f>
        <v>23807.3232323232</v>
      </c>
      <c r="T976" s="19" t="n">
        <v>23807</v>
      </c>
      <c r="U976" s="21" t="n">
        <f aca="false">S976-T976</f>
        <v>0.323232323233242</v>
      </c>
      <c r="V976" s="21" t="n">
        <f aca="false">Y976-O976*R976/(1-R976)</f>
        <v>210511.131313131</v>
      </c>
      <c r="W976" s="21" t="n">
        <f aca="false">Z976-P976*R976/(1-R976)</f>
        <v>18694.5454545455</v>
      </c>
      <c r="X976" s="21" t="n">
        <f aca="false">S976+V976+W976</f>
        <v>253013</v>
      </c>
      <c r="Y976" s="19" t="n">
        <v>233830</v>
      </c>
      <c r="Z976" s="19" t="n">
        <v>19183</v>
      </c>
      <c r="AA976" s="19" t="n">
        <v>2356925</v>
      </c>
      <c r="AB976" s="29" t="n">
        <v>24.733</v>
      </c>
      <c r="AC976" s="29" t="n">
        <v>25.29325</v>
      </c>
      <c r="AD976" s="24" t="n">
        <f aca="false">IFERROR(AA976/AC976,0)</f>
        <v>93183.9522402222</v>
      </c>
      <c r="AE976" s="25" t="n">
        <f aca="false">K976-Q976-X976</f>
        <v>0</v>
      </c>
      <c r="AF976" s="25" t="n">
        <f aca="false">Q976-AA976</f>
        <v>0</v>
      </c>
      <c r="AG976" s="19" t="n">
        <v>1959803.44051695</v>
      </c>
      <c r="AH976" s="26" t="n">
        <f aca="false">IFERROR(AG976/Q976,0)</f>
        <v>0.831508614197291</v>
      </c>
      <c r="AI976" s="27" t="n">
        <v>416238540.682028</v>
      </c>
      <c r="AJ976" s="26" t="n">
        <f aca="false">IF(AI976&gt;0,AprCoef/SQRT(AI976),0)</f>
        <v>0.0232331018627699</v>
      </c>
      <c r="AK976" s="24" t="n">
        <f aca="false">AI976*AJ976/365</f>
        <v>26494.5545613047</v>
      </c>
      <c r="AL976" s="24" t="n">
        <f aca="false">AD976</f>
        <v>93183.9522402222</v>
      </c>
      <c r="AM976" s="24" t="n">
        <f aca="false">AK976-AL976</f>
        <v>-66689.3976789175</v>
      </c>
      <c r="AN976" s="28" t="str">
        <f aca="false">IF(A976&gt;=Hip3LaunchDate,"YES","")</f>
        <v>YES</v>
      </c>
      <c r="AO976" s="28" t="str">
        <f aca="false">IF(A976&lt;Hip4LaunchDate,"pre-launch","live (zero-fee)")</f>
        <v>pre-launch</v>
      </c>
      <c r="AP976" s="30" t="n">
        <v>57</v>
      </c>
      <c r="AQ976" s="30" t="n">
        <v>32</v>
      </c>
      <c r="AR976" s="19" t="n">
        <v>39770.8868586342</v>
      </c>
    </row>
    <row r="977" customFormat="false" ht="15" hidden="false" customHeight="false" outlineLevel="0" collapsed="false">
      <c r="A977" s="18" t="n">
        <v>46038</v>
      </c>
      <c r="B977" s="19" t="n">
        <v>3680382990.97</v>
      </c>
      <c r="C977" s="19" t="n">
        <v>546552809.1</v>
      </c>
      <c r="D977" s="19" t="n">
        <v>75921802</v>
      </c>
      <c r="E977" s="21" t="n">
        <f aca="false">B977+C977</f>
        <v>4226935800.07</v>
      </c>
      <c r="F977" s="21" t="n">
        <f aca="false">E977+D977</f>
        <v>4302857602.07</v>
      </c>
      <c r="G977" s="22" t="n">
        <f aca="false">IFERROR(C977/E977,0)</f>
        <v>0.129302368181449</v>
      </c>
      <c r="H977" s="19" t="n">
        <v>1724657</v>
      </c>
      <c r="I977" s="19" t="n">
        <v>37561</v>
      </c>
      <c r="J977" s="19" t="n">
        <v>15248</v>
      </c>
      <c r="K977" s="21" t="n">
        <f aca="false">H977+I977</f>
        <v>1762218</v>
      </c>
      <c r="L977" s="19" t="n">
        <v>38008.8659801603</v>
      </c>
      <c r="M977" s="21" t="n">
        <f aca="false">H977-L977</f>
        <v>1686648.13401984</v>
      </c>
      <c r="N977" s="23" t="n">
        <f aca="false">IFERROR(M977/B977*10000,0)</f>
        <v>4.58280602360709</v>
      </c>
      <c r="O977" s="19" t="n">
        <v>1481824</v>
      </c>
      <c r="P977" s="19" t="n">
        <v>27726</v>
      </c>
      <c r="Q977" s="21" t="n">
        <f aca="false">O977+P977</f>
        <v>1509550</v>
      </c>
      <c r="R977" s="22" t="n">
        <f aca="false">IF(A977&lt;HlpChangeDate,HlpSharePre,HlpSharePost)</f>
        <v>0.01</v>
      </c>
      <c r="S977" s="21" t="n">
        <f aca="false">Q977*R977/(1-R977)</f>
        <v>15247.9797979798</v>
      </c>
      <c r="T977" s="19" t="n">
        <v>15248</v>
      </c>
      <c r="U977" s="21" t="n">
        <f aca="false">S977-T977</f>
        <v>-0.0202020202013955</v>
      </c>
      <c r="V977" s="21" t="n">
        <f aca="false">Y977-O977*R977/(1-R977)</f>
        <v>227865.080808081</v>
      </c>
      <c r="W977" s="21" t="n">
        <f aca="false">Z977-P977*R977/(1-R977)</f>
        <v>9554.93939393939</v>
      </c>
      <c r="X977" s="21" t="n">
        <f aca="false">S977+V977+W977</f>
        <v>252668</v>
      </c>
      <c r="Y977" s="19" t="n">
        <v>242833</v>
      </c>
      <c r="Z977" s="19" t="n">
        <v>9835</v>
      </c>
      <c r="AA977" s="19" t="n">
        <v>1509550</v>
      </c>
      <c r="AB977" s="29" t="n">
        <v>25</v>
      </c>
      <c r="AC977" s="29" t="n">
        <v>24.867</v>
      </c>
      <c r="AD977" s="24" t="n">
        <f aca="false">IFERROR(AA977/AC977,0)</f>
        <v>60704.9503357864</v>
      </c>
      <c r="AE977" s="25" t="n">
        <f aca="false">K977-Q977-X977</f>
        <v>0</v>
      </c>
      <c r="AF977" s="25" t="n">
        <f aca="false">Q977-AA977</f>
        <v>0</v>
      </c>
      <c r="AG977" s="19" t="n">
        <v>1005512.99032199</v>
      </c>
      <c r="AH977" s="26" t="n">
        <f aca="false">IFERROR(AG977/Q977,0)</f>
        <v>0.666101149562448</v>
      </c>
      <c r="AI977" s="27" t="n">
        <v>416393307.428571</v>
      </c>
      <c r="AJ977" s="26" t="n">
        <f aca="false">IF(AI977&gt;0,AprCoef/SQRT(AI977),0)</f>
        <v>0.0232287837749158</v>
      </c>
      <c r="AK977" s="24" t="n">
        <f aca="false">AI977*AJ977/365</f>
        <v>26499.4797358365</v>
      </c>
      <c r="AL977" s="24" t="n">
        <f aca="false">AD977</f>
        <v>60704.9503357864</v>
      </c>
      <c r="AM977" s="24" t="n">
        <f aca="false">AK977-AL977</f>
        <v>-34205.4705999499</v>
      </c>
      <c r="AN977" s="28" t="str">
        <f aca="false">IF(A977&gt;=Hip3LaunchDate,"YES","")</f>
        <v>YES</v>
      </c>
      <c r="AO977" s="28" t="str">
        <f aca="false">IF(A977&lt;Hip4LaunchDate,"pre-launch","live (zero-fee)")</f>
        <v>pre-launch</v>
      </c>
      <c r="AP977" s="30" t="n">
        <v>58</v>
      </c>
      <c r="AQ977" s="30" t="n">
        <v>33</v>
      </c>
      <c r="AR977" s="19" t="n">
        <v>34290.9514922339</v>
      </c>
    </row>
    <row r="978" customFormat="false" ht="15" hidden="false" customHeight="false" outlineLevel="0" collapsed="false">
      <c r="A978" s="18" t="n">
        <v>46039</v>
      </c>
      <c r="B978" s="19" t="n">
        <v>1630527036.51</v>
      </c>
      <c r="C978" s="19" t="n">
        <v>172135960.37</v>
      </c>
      <c r="D978" s="19" t="n">
        <v>51251339</v>
      </c>
      <c r="E978" s="21" t="n">
        <f aca="false">B978+C978</f>
        <v>1802662996.88</v>
      </c>
      <c r="F978" s="21" t="n">
        <f aca="false">E978+D978</f>
        <v>1853914335.88</v>
      </c>
      <c r="G978" s="22" t="n">
        <f aca="false">IFERROR(C978/E978,0)</f>
        <v>0.0954898173801361</v>
      </c>
      <c r="H978" s="19" t="n">
        <v>840077</v>
      </c>
      <c r="I978" s="19" t="n">
        <v>26219</v>
      </c>
      <c r="J978" s="19" t="n">
        <v>7142</v>
      </c>
      <c r="K978" s="21" t="n">
        <f aca="false">H978+I978</f>
        <v>866296</v>
      </c>
      <c r="L978" s="19" t="n">
        <v>10125.3929282604</v>
      </c>
      <c r="M978" s="21" t="n">
        <f aca="false">H978-L978</f>
        <v>829951.60707174</v>
      </c>
      <c r="N978" s="23" t="n">
        <f aca="false">IFERROR(M978/B978*10000,0)</f>
        <v>5.09008184769618</v>
      </c>
      <c r="O978" s="19" t="n">
        <v>686114</v>
      </c>
      <c r="P978" s="19" t="n">
        <v>20548</v>
      </c>
      <c r="Q978" s="21" t="n">
        <f aca="false">O978+P978</f>
        <v>706662</v>
      </c>
      <c r="R978" s="22" t="n">
        <f aca="false">IF(A978&lt;HlpChangeDate,HlpSharePre,HlpSharePost)</f>
        <v>0.01</v>
      </c>
      <c r="S978" s="21" t="n">
        <f aca="false">Q978*R978/(1-R978)</f>
        <v>7138</v>
      </c>
      <c r="T978" s="19" t="n">
        <v>7142</v>
      </c>
      <c r="U978" s="21" t="n">
        <f aca="false">S978-T978</f>
        <v>-4</v>
      </c>
      <c r="V978" s="21" t="n">
        <f aca="false">Y978-O978*R978/(1-R978)</f>
        <v>147031.555555556</v>
      </c>
      <c r="W978" s="21" t="n">
        <f aca="false">Z978-P978*R978/(1-R978)</f>
        <v>5463.44444444444</v>
      </c>
      <c r="X978" s="21" t="n">
        <f aca="false">S978+V978+W978</f>
        <v>159633</v>
      </c>
      <c r="Y978" s="19" t="n">
        <v>153962</v>
      </c>
      <c r="Z978" s="19" t="n">
        <v>5671</v>
      </c>
      <c r="AA978" s="19" t="n">
        <v>706662</v>
      </c>
      <c r="AB978" s="29" t="n">
        <v>25.409</v>
      </c>
      <c r="AC978" s="29" t="n">
        <v>25.25675</v>
      </c>
      <c r="AD978" s="24" t="n">
        <f aca="false">IFERROR(AA978/AC978,0)</f>
        <v>27979.1342908331</v>
      </c>
      <c r="AE978" s="25" t="n">
        <f aca="false">K978-Q978-X978</f>
        <v>1</v>
      </c>
      <c r="AF978" s="25" t="n">
        <f aca="false">Q978-AA978</f>
        <v>0</v>
      </c>
      <c r="AG978" s="20"/>
      <c r="AH978" s="26" t="n">
        <f aca="false">IFERROR(AG978/Q978,0)</f>
        <v>0</v>
      </c>
      <c r="AI978" s="27" t="n">
        <v>416548074.175115</v>
      </c>
      <c r="AJ978" s="26" t="n">
        <f aca="false">IF(AI978&gt;0,AprCoef/SQRT(AI978),0)</f>
        <v>0.0232244680938373</v>
      </c>
      <c r="AK978" s="24" t="n">
        <f aca="false">AI978*AJ978/365</f>
        <v>26504.4039951488</v>
      </c>
      <c r="AL978" s="24" t="n">
        <f aca="false">AD978</f>
        <v>27979.1342908331</v>
      </c>
      <c r="AM978" s="24" t="n">
        <f aca="false">AK978-AL978</f>
        <v>-1474.73029568432</v>
      </c>
      <c r="AN978" s="28" t="str">
        <f aca="false">IF(A978&gt;=Hip3LaunchDate,"YES","")</f>
        <v>YES</v>
      </c>
      <c r="AO978" s="28" t="str">
        <f aca="false">IF(A978&lt;Hip4LaunchDate,"pre-launch","live (zero-fee)")</f>
        <v>pre-launch</v>
      </c>
      <c r="AP978" s="30" t="n">
        <v>58</v>
      </c>
      <c r="AQ978" s="30" t="n">
        <v>33</v>
      </c>
      <c r="AR978" s="19" t="n">
        <v>6538.55437064074</v>
      </c>
    </row>
    <row r="979" customFormat="false" ht="15" hidden="false" customHeight="false" outlineLevel="0" collapsed="false">
      <c r="A979" s="18" t="n">
        <v>46040</v>
      </c>
      <c r="B979" s="19" t="n">
        <v>2699241901.19</v>
      </c>
      <c r="C979" s="19" t="n">
        <v>184847427.14</v>
      </c>
      <c r="D979" s="19" t="n">
        <v>57878167</v>
      </c>
      <c r="E979" s="21" t="n">
        <f aca="false">B979+C979</f>
        <v>2884089328.33</v>
      </c>
      <c r="F979" s="21" t="n">
        <f aca="false">E979+D979</f>
        <v>2941967495.33</v>
      </c>
      <c r="G979" s="22" t="n">
        <f aca="false">IFERROR(C979/E979,0)</f>
        <v>0.0640921296453165</v>
      </c>
      <c r="H979" s="19" t="n">
        <v>1059881</v>
      </c>
      <c r="I979" s="19" t="n">
        <v>29239</v>
      </c>
      <c r="J979" s="19" t="n">
        <v>10008</v>
      </c>
      <c r="K979" s="21" t="n">
        <f aca="false">H979+I979</f>
        <v>1089120</v>
      </c>
      <c r="L979" s="19" t="n">
        <v>15275.8318504912</v>
      </c>
      <c r="M979" s="21" t="n">
        <f aca="false">H979-L979</f>
        <v>1044605.16814951</v>
      </c>
      <c r="N979" s="23" t="n">
        <f aca="false">IFERROR(M979/B979*10000,0)</f>
        <v>3.86999463697188</v>
      </c>
      <c r="O979" s="19" t="n">
        <v>968504</v>
      </c>
      <c r="P979" s="19" t="n">
        <v>21914</v>
      </c>
      <c r="Q979" s="21" t="n">
        <f aca="false">O979+P979</f>
        <v>990418</v>
      </c>
      <c r="R979" s="22" t="n">
        <f aca="false">IF(A979&lt;HlpChangeDate,HlpSharePre,HlpSharePost)</f>
        <v>0.01</v>
      </c>
      <c r="S979" s="21" t="n">
        <f aca="false">Q979*R979/(1-R979)</f>
        <v>10004.2222222222</v>
      </c>
      <c r="T979" s="19" t="n">
        <v>10008</v>
      </c>
      <c r="U979" s="21" t="n">
        <f aca="false">S979-T979</f>
        <v>-3.77777777777737</v>
      </c>
      <c r="V979" s="21" t="n">
        <f aca="false">Y979-O979*R979/(1-R979)</f>
        <v>81593.1313131313</v>
      </c>
      <c r="W979" s="21" t="n">
        <f aca="false">Z979-P979*R979/(1-R979)</f>
        <v>7103.64646464647</v>
      </c>
      <c r="X979" s="21" t="n">
        <f aca="false">S979+V979+W979</f>
        <v>98701</v>
      </c>
      <c r="Y979" s="19" t="n">
        <v>91376</v>
      </c>
      <c r="Z979" s="19" t="n">
        <v>7325</v>
      </c>
      <c r="AA979" s="19" t="n">
        <v>990418</v>
      </c>
      <c r="AB979" s="29" t="n">
        <v>24.471</v>
      </c>
      <c r="AC979" s="29" t="n">
        <v>25.10375</v>
      </c>
      <c r="AD979" s="24" t="n">
        <f aca="false">IFERROR(AA979/AC979,0)</f>
        <v>39452.9900911218</v>
      </c>
      <c r="AE979" s="25" t="n">
        <f aca="false">K979-Q979-X979</f>
        <v>1.00000000001455</v>
      </c>
      <c r="AF979" s="25" t="n">
        <f aca="false">Q979-AA979</f>
        <v>0</v>
      </c>
      <c r="AG979" s="19" t="n">
        <v>1318943.34858</v>
      </c>
      <c r="AH979" s="26" t="n">
        <f aca="false">IFERROR(AG979/Q979,0)</f>
        <v>1.33170373375686</v>
      </c>
      <c r="AI979" s="27" t="n">
        <v>416702840.921659</v>
      </c>
      <c r="AJ979" s="26" t="n">
        <f aca="false">IF(AI979&gt;0,AprCoef/SQRT(AI979),0)</f>
        <v>0.0232201548172994</v>
      </c>
      <c r="AK979" s="24" t="n">
        <f aca="false">AI979*AJ979/365</f>
        <v>26509.3273397519</v>
      </c>
      <c r="AL979" s="24" t="n">
        <f aca="false">AD979</f>
        <v>39452.9900911218</v>
      </c>
      <c r="AM979" s="24" t="n">
        <f aca="false">AK979-AL979</f>
        <v>-12943.66275137</v>
      </c>
      <c r="AN979" s="28" t="str">
        <f aca="false">IF(A979&gt;=Hip3LaunchDate,"YES","")</f>
        <v>YES</v>
      </c>
      <c r="AO979" s="28" t="str">
        <f aca="false">IF(A979&lt;Hip4LaunchDate,"pre-launch","live (zero-fee)")</f>
        <v>pre-launch</v>
      </c>
      <c r="AP979" s="30" t="n">
        <v>58</v>
      </c>
      <c r="AQ979" s="30" t="n">
        <v>33</v>
      </c>
      <c r="AR979" s="19" t="n">
        <v>11056.7848431361</v>
      </c>
    </row>
    <row r="980" customFormat="false" ht="15" hidden="false" customHeight="false" outlineLevel="0" collapsed="false">
      <c r="A980" s="18" t="n">
        <v>46041</v>
      </c>
      <c r="B980" s="19" t="n">
        <v>6013442913.36</v>
      </c>
      <c r="C980" s="19" t="n">
        <v>427432035.37</v>
      </c>
      <c r="D980" s="19" t="n">
        <v>117444553</v>
      </c>
      <c r="E980" s="21" t="n">
        <f aca="false">B980+C980</f>
        <v>6440874948.73</v>
      </c>
      <c r="F980" s="21" t="n">
        <f aca="false">E980+D980</f>
        <v>6558319501.73</v>
      </c>
      <c r="G980" s="22" t="n">
        <f aca="false">IFERROR(C980/E980,0)</f>
        <v>0.0663624179591129</v>
      </c>
      <c r="H980" s="19" t="n">
        <v>2224537</v>
      </c>
      <c r="I980" s="19" t="n">
        <v>56525</v>
      </c>
      <c r="J980" s="19" t="n">
        <v>21301</v>
      </c>
      <c r="K980" s="21" t="n">
        <f aca="false">H980+I980</f>
        <v>2281062</v>
      </c>
      <c r="L980" s="19" t="n">
        <v>32003.3765425537</v>
      </c>
      <c r="M980" s="21" t="n">
        <f aca="false">H980-L980</f>
        <v>2192533.62345745</v>
      </c>
      <c r="N980" s="23" t="n">
        <f aca="false">IFERROR(M980/B980*10000,0)</f>
        <v>3.6460537749287</v>
      </c>
      <c r="O980" s="19" t="n">
        <v>2068038</v>
      </c>
      <c r="P980" s="19" t="n">
        <v>40687</v>
      </c>
      <c r="Q980" s="21" t="n">
        <f aca="false">O980+P980</f>
        <v>2108725</v>
      </c>
      <c r="R980" s="22" t="n">
        <f aca="false">IF(A980&lt;HlpChangeDate,HlpSharePre,HlpSharePost)</f>
        <v>0.01</v>
      </c>
      <c r="S980" s="21" t="n">
        <f aca="false">Q980*R980/(1-R980)</f>
        <v>21300.2525252525</v>
      </c>
      <c r="T980" s="19" t="n">
        <v>21301</v>
      </c>
      <c r="U980" s="21" t="n">
        <f aca="false">S980-T980</f>
        <v>-0.747474747473461</v>
      </c>
      <c r="V980" s="21" t="n">
        <f aca="false">Y980-O980*R980/(1-R980)</f>
        <v>135608.727272727</v>
      </c>
      <c r="W980" s="21" t="n">
        <f aca="false">Z980-P980*R980/(1-R980)</f>
        <v>15427.0202020202</v>
      </c>
      <c r="X980" s="21" t="n">
        <f aca="false">S980+V980+W980</f>
        <v>172336</v>
      </c>
      <c r="Y980" s="19" t="n">
        <v>156498</v>
      </c>
      <c r="Z980" s="19" t="n">
        <v>15838</v>
      </c>
      <c r="AA980" s="19" t="n">
        <v>2108725</v>
      </c>
      <c r="AB980" s="29" t="n">
        <v>23.712</v>
      </c>
      <c r="AC980" s="29" t="n">
        <v>23.95475</v>
      </c>
      <c r="AD980" s="24" t="n">
        <f aca="false">IFERROR(AA980/AC980,0)</f>
        <v>88029.5139794821</v>
      </c>
      <c r="AE980" s="25" t="n">
        <f aca="false">K980-Q980-X980</f>
        <v>1</v>
      </c>
      <c r="AF980" s="25" t="n">
        <f aca="false">Q980-AA980</f>
        <v>0</v>
      </c>
      <c r="AG980" s="19" t="n">
        <v>1966859.61485803</v>
      </c>
      <c r="AH980" s="26" t="n">
        <f aca="false">IFERROR(AG980/Q980,0)</f>
        <v>0.932724568095902</v>
      </c>
      <c r="AI980" s="27" t="n">
        <v>416857607.668203</v>
      </c>
      <c r="AJ980" s="26" t="n">
        <f aca="false">IF(AI980&gt;0,AprCoef/SQRT(AI980),0)</f>
        <v>0.0232158439430703</v>
      </c>
      <c r="AK980" s="24" t="n">
        <f aca="false">AI980*AJ980/365</f>
        <v>26514.2497701551</v>
      </c>
      <c r="AL980" s="24" t="n">
        <f aca="false">AD980</f>
        <v>88029.5139794821</v>
      </c>
      <c r="AM980" s="24" t="n">
        <f aca="false">AK980-AL980</f>
        <v>-61515.2642093271</v>
      </c>
      <c r="AN980" s="28" t="str">
        <f aca="false">IF(A980&gt;=Hip3LaunchDate,"YES","")</f>
        <v>YES</v>
      </c>
      <c r="AO980" s="28" t="str">
        <f aca="false">IF(A980&lt;Hip4LaunchDate,"pre-launch","live (zero-fee)")</f>
        <v>pre-launch</v>
      </c>
      <c r="AP980" s="30" t="n">
        <v>59</v>
      </c>
      <c r="AQ980" s="30" t="n">
        <v>33</v>
      </c>
      <c r="AR980" s="19" t="n">
        <v>24306.3926924942</v>
      </c>
    </row>
    <row r="981" customFormat="false" ht="15" hidden="false" customHeight="false" outlineLevel="0" collapsed="false">
      <c r="A981" s="18" t="n">
        <v>46042</v>
      </c>
      <c r="B981" s="19" t="n">
        <v>8421930690.86</v>
      </c>
      <c r="C981" s="19" t="n">
        <v>761702992.45</v>
      </c>
      <c r="D981" s="19" t="n">
        <v>197108564</v>
      </c>
      <c r="E981" s="21" t="n">
        <f aca="false">B981+C981</f>
        <v>9183633683.31</v>
      </c>
      <c r="F981" s="21" t="n">
        <f aca="false">E981+D981</f>
        <v>9380742247.31</v>
      </c>
      <c r="G981" s="22" t="n">
        <f aca="false">IFERROR(C981/E981,0)</f>
        <v>0.0829413518348724</v>
      </c>
      <c r="H981" s="19" t="n">
        <v>3116817</v>
      </c>
      <c r="I981" s="19" t="n">
        <v>91965</v>
      </c>
      <c r="J981" s="19" t="n">
        <v>30095</v>
      </c>
      <c r="K981" s="21" t="n">
        <f aca="false">H981+I981</f>
        <v>3208782</v>
      </c>
      <c r="L981" s="19" t="n">
        <v>47965.1267282637</v>
      </c>
      <c r="M981" s="21" t="n">
        <f aca="false">H981-L981</f>
        <v>3068851.87327174</v>
      </c>
      <c r="N981" s="23" t="n">
        <f aca="false">IFERROR(M981/B981*10000,0)</f>
        <v>3.64388165364771</v>
      </c>
      <c r="O981" s="19" t="n">
        <v>2909227</v>
      </c>
      <c r="P981" s="19" t="n">
        <v>70546</v>
      </c>
      <c r="Q981" s="21" t="n">
        <f aca="false">O981+P981</f>
        <v>2979773</v>
      </c>
      <c r="R981" s="22" t="n">
        <f aca="false">IF(A981&lt;HlpChangeDate,HlpSharePre,HlpSharePost)</f>
        <v>0.01</v>
      </c>
      <c r="S981" s="21" t="n">
        <f aca="false">Q981*R981/(1-R981)</f>
        <v>30098.7171717172</v>
      </c>
      <c r="T981" s="19" t="n">
        <v>30095</v>
      </c>
      <c r="U981" s="21" t="n">
        <f aca="false">S981-T981</f>
        <v>3.71717171717319</v>
      </c>
      <c r="V981" s="21" t="n">
        <f aca="false">Y981-O981*R981/(1-R981)</f>
        <v>178203.868686869</v>
      </c>
      <c r="W981" s="21" t="n">
        <f aca="false">Z981-P981*R981/(1-R981)</f>
        <v>20706.4141414141</v>
      </c>
      <c r="X981" s="21" t="n">
        <f aca="false">S981+V981+W981</f>
        <v>229009</v>
      </c>
      <c r="Y981" s="19" t="n">
        <v>207590</v>
      </c>
      <c r="Z981" s="19" t="n">
        <v>21419</v>
      </c>
      <c r="AA981" s="19" t="n">
        <v>2979773</v>
      </c>
      <c r="AB981" s="29" t="n">
        <v>20.973</v>
      </c>
      <c r="AC981" s="29" t="n">
        <v>22.339</v>
      </c>
      <c r="AD981" s="24" t="n">
        <f aca="false">IFERROR(AA981/AC981,0)</f>
        <v>133388.826715609</v>
      </c>
      <c r="AE981" s="25" t="n">
        <f aca="false">K981-Q981-X981</f>
        <v>0</v>
      </c>
      <c r="AF981" s="25" t="n">
        <f aca="false">Q981-AA981</f>
        <v>0</v>
      </c>
      <c r="AG981" s="19" t="n">
        <v>2518456.15410101</v>
      </c>
      <c r="AH981" s="26" t="n">
        <f aca="false">IFERROR(AG981/Q981,0)</f>
        <v>0.845183896256867</v>
      </c>
      <c r="AI981" s="27" t="n">
        <v>417012374.414747</v>
      </c>
      <c r="AJ981" s="26" t="n">
        <f aca="false">IF(AI981&gt;0,AprCoef/SQRT(AI981),0)</f>
        <v>0.0232115354689206</v>
      </c>
      <c r="AK981" s="24" t="n">
        <f aca="false">AI981*AJ981/365</f>
        <v>26519.1712868676</v>
      </c>
      <c r="AL981" s="24" t="n">
        <f aca="false">AD981</f>
        <v>133388.826715609</v>
      </c>
      <c r="AM981" s="24" t="n">
        <f aca="false">AK981-AL981</f>
        <v>-106869.655428742</v>
      </c>
      <c r="AN981" s="28" t="str">
        <f aca="false">IF(A981&gt;=Hip3LaunchDate,"YES","")</f>
        <v>YES</v>
      </c>
      <c r="AO981" s="28" t="str">
        <f aca="false">IF(A981&lt;Hip4LaunchDate,"pre-launch","live (zero-fee)")</f>
        <v>pre-launch</v>
      </c>
      <c r="AP981" s="30" t="n">
        <v>68</v>
      </c>
      <c r="AQ981" s="30" t="n">
        <v>34</v>
      </c>
      <c r="AR981" s="19" t="n">
        <v>38610.1194226168</v>
      </c>
    </row>
    <row r="982" customFormat="false" ht="15" hidden="false" customHeight="false" outlineLevel="0" collapsed="false">
      <c r="A982" s="18" t="n">
        <v>46043</v>
      </c>
      <c r="B982" s="19" t="n">
        <v>8995511956.9</v>
      </c>
      <c r="C982" s="19" t="n">
        <v>985570732.37</v>
      </c>
      <c r="D982" s="19" t="n">
        <v>151704575</v>
      </c>
      <c r="E982" s="21" t="n">
        <f aca="false">B982+C982</f>
        <v>9981082689.27</v>
      </c>
      <c r="F982" s="21" t="n">
        <f aca="false">E982+D982</f>
        <v>10132787264.27</v>
      </c>
      <c r="G982" s="22" t="n">
        <f aca="false">IFERROR(C982/E982,0)</f>
        <v>0.0987438700843068</v>
      </c>
      <c r="H982" s="19" t="n">
        <v>3306784</v>
      </c>
      <c r="I982" s="19" t="n">
        <v>70936</v>
      </c>
      <c r="J982" s="19" t="n">
        <v>31557</v>
      </c>
      <c r="K982" s="21" t="n">
        <f aca="false">H982+I982</f>
        <v>3377720</v>
      </c>
      <c r="L982" s="19" t="n">
        <v>72305.2235818436</v>
      </c>
      <c r="M982" s="21" t="n">
        <f aca="false">H982-L982</f>
        <v>3234478.77641816</v>
      </c>
      <c r="N982" s="23" t="n">
        <f aca="false">IFERROR(M982/B982*10000,0)</f>
        <v>3.59565835931901</v>
      </c>
      <c r="O982" s="19" t="n">
        <v>3070305</v>
      </c>
      <c r="P982" s="19" t="n">
        <v>53892</v>
      </c>
      <c r="Q982" s="21" t="n">
        <f aca="false">O982+P982</f>
        <v>3124197</v>
      </c>
      <c r="R982" s="22" t="n">
        <f aca="false">IF(A982&lt;HlpChangeDate,HlpSharePre,HlpSharePost)</f>
        <v>0.01</v>
      </c>
      <c r="S982" s="21" t="n">
        <f aca="false">Q982*R982/(1-R982)</f>
        <v>31557.5454545455</v>
      </c>
      <c r="T982" s="19" t="n">
        <v>31557</v>
      </c>
      <c r="U982" s="21" t="n">
        <f aca="false">S982-T982</f>
        <v>0.545454545455868</v>
      </c>
      <c r="V982" s="21" t="n">
        <f aca="false">Y982-O982*R982/(1-R982)</f>
        <v>205465.818181818</v>
      </c>
      <c r="W982" s="21" t="n">
        <f aca="false">Z982-P982*R982/(1-R982)</f>
        <v>16499.6363636364</v>
      </c>
      <c r="X982" s="21" t="n">
        <f aca="false">S982+V982+W982</f>
        <v>253523</v>
      </c>
      <c r="Y982" s="19" t="n">
        <v>236479</v>
      </c>
      <c r="Z982" s="19" t="n">
        <v>17044</v>
      </c>
      <c r="AA982" s="19" t="n">
        <v>3124197</v>
      </c>
      <c r="AB982" s="29" t="n">
        <v>21.524</v>
      </c>
      <c r="AC982" s="29" t="n">
        <v>21.2665</v>
      </c>
      <c r="AD982" s="24" t="n">
        <f aca="false">IFERROR(AA982/AC982,0)</f>
        <v>146906.966355536</v>
      </c>
      <c r="AE982" s="25" t="n">
        <f aca="false">K982-Q982-X982</f>
        <v>0</v>
      </c>
      <c r="AF982" s="25" t="n">
        <f aca="false">Q982-AA982</f>
        <v>0</v>
      </c>
      <c r="AG982" s="19" t="n">
        <v>2526229.53299403</v>
      </c>
      <c r="AH982" s="26" t="n">
        <f aca="false">IFERROR(AG982/Q982,0)</f>
        <v>0.808601228729825</v>
      </c>
      <c r="AI982" s="27" t="n">
        <v>417167141.16129</v>
      </c>
      <c r="AJ982" s="26" t="n">
        <f aca="false">IF(AI982&gt;0,AprCoef/SQRT(AI982),0)</f>
        <v>0.0232072293926241</v>
      </c>
      <c r="AK982" s="24" t="n">
        <f aca="false">AI982*AJ982/365</f>
        <v>26524.091890398</v>
      </c>
      <c r="AL982" s="24" t="n">
        <f aca="false">AD982</f>
        <v>146906.966355536</v>
      </c>
      <c r="AM982" s="24" t="n">
        <f aca="false">AK982-AL982</f>
        <v>-120382.874465138</v>
      </c>
      <c r="AN982" s="28" t="str">
        <f aca="false">IF(A982&gt;=Hip3LaunchDate,"YES","")</f>
        <v>YES</v>
      </c>
      <c r="AO982" s="28" t="str">
        <f aca="false">IF(A982&lt;Hip4LaunchDate,"pre-launch","live (zero-fee)")</f>
        <v>pre-launch</v>
      </c>
      <c r="AP982" s="30" t="n">
        <v>71</v>
      </c>
      <c r="AQ982" s="30" t="n">
        <v>36</v>
      </c>
      <c r="AR982" s="19" t="n">
        <v>63448.0053394547</v>
      </c>
    </row>
    <row r="983" customFormat="false" ht="15" hidden="false" customHeight="false" outlineLevel="0" collapsed="false">
      <c r="A983" s="18" t="n">
        <v>46044</v>
      </c>
      <c r="B983" s="19" t="n">
        <v>5239104696.73</v>
      </c>
      <c r="C983" s="19" t="n">
        <v>921048637.94</v>
      </c>
      <c r="D983" s="19" t="n">
        <v>96399001</v>
      </c>
      <c r="E983" s="21" t="n">
        <f aca="false">B983+C983</f>
        <v>6160153334.67</v>
      </c>
      <c r="F983" s="21" t="n">
        <f aca="false">E983+D983</f>
        <v>6256552335.67</v>
      </c>
      <c r="G983" s="22" t="n">
        <f aca="false">IFERROR(C983/E983,0)</f>
        <v>0.149517161002509</v>
      </c>
      <c r="H983" s="19" t="n">
        <v>2373145</v>
      </c>
      <c r="I983" s="19" t="n">
        <v>90001</v>
      </c>
      <c r="J983" s="19" t="n">
        <v>21056</v>
      </c>
      <c r="K983" s="21" t="n">
        <f aca="false">H983+I983</f>
        <v>2463146</v>
      </c>
      <c r="L983" s="19" t="n">
        <v>53648.5085538352</v>
      </c>
      <c r="M983" s="21" t="n">
        <f aca="false">H983-L983</f>
        <v>2319496.49144617</v>
      </c>
      <c r="N983" s="23" t="n">
        <f aca="false">IFERROR(M983/B983*10000,0)</f>
        <v>4.42727646365587</v>
      </c>
      <c r="O983" s="19" t="n">
        <v>2006358</v>
      </c>
      <c r="P983" s="19" t="n">
        <v>78243</v>
      </c>
      <c r="Q983" s="21" t="n">
        <f aca="false">O983+P983</f>
        <v>2084601</v>
      </c>
      <c r="R983" s="22" t="n">
        <f aca="false">IF(A983&lt;HlpChangeDate,HlpSharePre,HlpSharePost)</f>
        <v>0.01</v>
      </c>
      <c r="S983" s="21" t="n">
        <f aca="false">Q983*R983/(1-R983)</f>
        <v>21056.5757575758</v>
      </c>
      <c r="T983" s="19" t="n">
        <v>21056</v>
      </c>
      <c r="U983" s="21" t="n">
        <f aca="false">S983-T983</f>
        <v>0.575757575759781</v>
      </c>
      <c r="V983" s="21" t="n">
        <f aca="false">Y983-O983*R983/(1-R983)</f>
        <v>346519.757575758</v>
      </c>
      <c r="W983" s="21" t="n">
        <f aca="false">Z983-P983*R983/(1-R983)</f>
        <v>10967.6666666667</v>
      </c>
      <c r="X983" s="21" t="n">
        <f aca="false">S983+V983+W983</f>
        <v>378544</v>
      </c>
      <c r="Y983" s="19" t="n">
        <v>366786</v>
      </c>
      <c r="Z983" s="19" t="n">
        <v>11758</v>
      </c>
      <c r="AA983" s="19" t="n">
        <v>2084601</v>
      </c>
      <c r="AB983" s="29" t="n">
        <v>21.439</v>
      </c>
      <c r="AC983" s="29" t="n">
        <v>21.57325</v>
      </c>
      <c r="AD983" s="24" t="n">
        <f aca="false">IFERROR(AA983/AC983,0)</f>
        <v>96628.9733813867</v>
      </c>
      <c r="AE983" s="25" t="n">
        <f aca="false">K983-Q983-X983</f>
        <v>1</v>
      </c>
      <c r="AF983" s="25" t="n">
        <f aca="false">Q983-AA983</f>
        <v>0</v>
      </c>
      <c r="AG983" s="19" t="n">
        <v>1536469.05487597</v>
      </c>
      <c r="AH983" s="26" t="n">
        <f aca="false">IFERROR(AG983/Q983,0)</f>
        <v>0.737056662102709</v>
      </c>
      <c r="AI983" s="27" t="n">
        <v>417321907.907834</v>
      </c>
      <c r="AJ983" s="26" t="n">
        <f aca="false">IF(AI983&gt;0,AprCoef/SQRT(AI983),0)</f>
        <v>0.0232029257119575</v>
      </c>
      <c r="AK983" s="24" t="n">
        <f aca="false">AI983*AJ983/365</f>
        <v>26529.0115812544</v>
      </c>
      <c r="AL983" s="24" t="n">
        <f aca="false">AD983</f>
        <v>96628.9733813867</v>
      </c>
      <c r="AM983" s="24" t="n">
        <f aca="false">AK983-AL983</f>
        <v>-70099.9618001323</v>
      </c>
      <c r="AN983" s="28" t="str">
        <f aca="false">IF(A983&gt;=Hip3LaunchDate,"YES","")</f>
        <v>YES</v>
      </c>
      <c r="AO983" s="28" t="str">
        <f aca="false">IF(A983&lt;Hip4LaunchDate,"pre-launch","live (zero-fee)")</f>
        <v>pre-launch</v>
      </c>
      <c r="AP983" s="30" t="n">
        <v>73</v>
      </c>
      <c r="AQ983" s="30" t="n">
        <v>38</v>
      </c>
      <c r="AR983" s="19" t="n">
        <v>48286.5237396626</v>
      </c>
    </row>
    <row r="984" customFormat="false" ht="15" hidden="false" customHeight="false" outlineLevel="0" collapsed="false">
      <c r="A984" s="18" t="n">
        <v>46045</v>
      </c>
      <c r="B984" s="19" t="n">
        <v>6156586362.88</v>
      </c>
      <c r="C984" s="19" t="n">
        <v>879774169.56</v>
      </c>
      <c r="D984" s="19" t="n">
        <v>119850134</v>
      </c>
      <c r="E984" s="21" t="n">
        <f aca="false">B984+C984</f>
        <v>7036360532.44</v>
      </c>
      <c r="F984" s="21" t="n">
        <f aca="false">E984+D984</f>
        <v>7156210666.44</v>
      </c>
      <c r="G984" s="22" t="n">
        <f aca="false">IFERROR(C984/E984,0)</f>
        <v>0.125032559872955</v>
      </c>
      <c r="H984" s="19" t="n">
        <v>2437459</v>
      </c>
      <c r="I984" s="19" t="n">
        <v>190413</v>
      </c>
      <c r="J984" s="19" t="n">
        <v>22743</v>
      </c>
      <c r="K984" s="21" t="n">
        <f aca="false">H984+I984</f>
        <v>2627872</v>
      </c>
      <c r="L984" s="19" t="n">
        <v>57008.0610663254</v>
      </c>
      <c r="M984" s="21" t="n">
        <f aca="false">H984-L984</f>
        <v>2380450.93893367</v>
      </c>
      <c r="N984" s="23" t="n">
        <f aca="false">IFERROR(M984/B984*10000,0)</f>
        <v>3.86651108037104</v>
      </c>
      <c r="O984" s="19" t="n">
        <v>2073039</v>
      </c>
      <c r="P984" s="19" t="n">
        <v>178658</v>
      </c>
      <c r="Q984" s="21" t="n">
        <f aca="false">O984+P984</f>
        <v>2251697</v>
      </c>
      <c r="R984" s="22" t="n">
        <f aca="false">IF(A984&lt;HlpChangeDate,HlpSharePre,HlpSharePost)</f>
        <v>0.01</v>
      </c>
      <c r="S984" s="21" t="n">
        <f aca="false">Q984*R984/(1-R984)</f>
        <v>22744.4141414141</v>
      </c>
      <c r="T984" s="19" t="n">
        <v>22743</v>
      </c>
      <c r="U984" s="21" t="n">
        <f aca="false">S984-T984</f>
        <v>1.41414141414134</v>
      </c>
      <c r="V984" s="21" t="n">
        <f aca="false">Y984-O984*R984/(1-R984)</f>
        <v>343480.212121212</v>
      </c>
      <c r="W984" s="21" t="n">
        <f aca="false">Z984-P984*R984/(1-R984)</f>
        <v>9949.37373737374</v>
      </c>
      <c r="X984" s="21" t="n">
        <f aca="false">S984+V984+W984</f>
        <v>376174</v>
      </c>
      <c r="Y984" s="19" t="n">
        <v>364420</v>
      </c>
      <c r="Z984" s="19" t="n">
        <v>11754</v>
      </c>
      <c r="AA984" s="19" t="n">
        <v>2251697</v>
      </c>
      <c r="AB984" s="29" t="n">
        <v>22.633</v>
      </c>
      <c r="AC984" s="29" t="n">
        <v>21.98075</v>
      </c>
      <c r="AD984" s="24" t="n">
        <f aca="false">IFERROR(AA984/AC984,0)</f>
        <v>102439.498197286</v>
      </c>
      <c r="AE984" s="25" t="n">
        <f aca="false">K984-Q984-X984</f>
        <v>1</v>
      </c>
      <c r="AF984" s="25" t="n">
        <f aca="false">Q984-AA984</f>
        <v>0</v>
      </c>
      <c r="AG984" s="19" t="n">
        <v>1655286.44350696</v>
      </c>
      <c r="AH984" s="26" t="n">
        <f aca="false">IFERROR(AG984/Q984,0)</f>
        <v>0.735128413595149</v>
      </c>
      <c r="AI984" s="27" t="n">
        <v>417476674.654378</v>
      </c>
      <c r="AJ984" s="26" t="n">
        <f aca="false">IF(AI984&gt;0,AprCoef/SQRT(AI984),0)</f>
        <v>0.0231986244247004</v>
      </c>
      <c r="AK984" s="24" t="n">
        <f aca="false">AI984*AJ984/365</f>
        <v>26533.9303599445</v>
      </c>
      <c r="AL984" s="24" t="n">
        <f aca="false">AD984</f>
        <v>102439.498197286</v>
      </c>
      <c r="AM984" s="24" t="n">
        <f aca="false">AK984-AL984</f>
        <v>-75905.5678373418</v>
      </c>
      <c r="AN984" s="28" t="str">
        <f aca="false">IF(A984&gt;=Hip3LaunchDate,"YES","")</f>
        <v>YES</v>
      </c>
      <c r="AO984" s="28" t="str">
        <f aca="false">IF(A984&lt;Hip4LaunchDate,"pre-launch","live (zero-fee)")</f>
        <v>pre-launch</v>
      </c>
      <c r="AP984" s="30" t="n">
        <v>74</v>
      </c>
      <c r="AQ984" s="30" t="n">
        <v>39</v>
      </c>
      <c r="AR984" s="19" t="n">
        <v>49737.8443341699</v>
      </c>
    </row>
    <row r="985" customFormat="false" ht="15" hidden="false" customHeight="false" outlineLevel="0" collapsed="false">
      <c r="A985" s="18" t="n">
        <v>46046</v>
      </c>
      <c r="B985" s="19" t="n">
        <v>1329722684.09</v>
      </c>
      <c r="C985" s="19" t="n">
        <v>196541142.21</v>
      </c>
      <c r="D985" s="19" t="n">
        <v>89581735</v>
      </c>
      <c r="E985" s="21" t="n">
        <f aca="false">B985+C985</f>
        <v>1526263826.3</v>
      </c>
      <c r="F985" s="21" t="n">
        <f aca="false">E985+D985</f>
        <v>1615845561.3</v>
      </c>
      <c r="G985" s="22" t="n">
        <f aca="false">IFERROR(C985/E985,0)</f>
        <v>0.128772718597714</v>
      </c>
      <c r="H985" s="19" t="n">
        <v>543414</v>
      </c>
      <c r="I985" s="19" t="n">
        <v>44628</v>
      </c>
      <c r="J985" s="19" t="n">
        <v>5245</v>
      </c>
      <c r="K985" s="21" t="n">
        <f aca="false">H985+I985</f>
        <v>588042</v>
      </c>
      <c r="L985" s="19" t="n">
        <v>16596.3828978588</v>
      </c>
      <c r="M985" s="21" t="n">
        <f aca="false">H985-L985</f>
        <v>526817.617102141</v>
      </c>
      <c r="N985" s="23" t="n">
        <f aca="false">IFERROR(M985/B985*10000,0)</f>
        <v>3.96186079552874</v>
      </c>
      <c r="O985" s="19" t="n">
        <v>486125</v>
      </c>
      <c r="P985" s="19" t="n">
        <v>33081</v>
      </c>
      <c r="Q985" s="21" t="n">
        <f aca="false">O985+P985</f>
        <v>519206</v>
      </c>
      <c r="R985" s="22" t="n">
        <f aca="false">IF(A985&lt;HlpChangeDate,HlpSharePre,HlpSharePost)</f>
        <v>0.01</v>
      </c>
      <c r="S985" s="21" t="n">
        <f aca="false">Q985*R985/(1-R985)</f>
        <v>5244.50505050505</v>
      </c>
      <c r="T985" s="19" t="n">
        <v>5245</v>
      </c>
      <c r="U985" s="21" t="n">
        <f aca="false">S985-T985</f>
        <v>-0.494949494948742</v>
      </c>
      <c r="V985" s="21" t="n">
        <f aca="false">Y985-O985*R985/(1-R985)</f>
        <v>52378.6464646465</v>
      </c>
      <c r="W985" s="21" t="n">
        <f aca="false">Z985-P985*R985/(1-R985)</f>
        <v>11212.8484848485</v>
      </c>
      <c r="X985" s="21" t="n">
        <f aca="false">S985+V985+W985</f>
        <v>68836</v>
      </c>
      <c r="Y985" s="19" t="n">
        <v>57289</v>
      </c>
      <c r="Z985" s="19" t="n">
        <v>11547</v>
      </c>
      <c r="AA985" s="19" t="n">
        <v>519206</v>
      </c>
      <c r="AB985" s="29" t="n">
        <v>23.197</v>
      </c>
      <c r="AC985" s="29" t="n">
        <v>23.018</v>
      </c>
      <c r="AD985" s="24" t="n">
        <f aca="false">IFERROR(AA985/AC985,0)</f>
        <v>22556.5209835781</v>
      </c>
      <c r="AE985" s="25" t="n">
        <f aca="false">K985-Q985-X985</f>
        <v>0</v>
      </c>
      <c r="AF985" s="25" t="n">
        <f aca="false">Q985-AA985</f>
        <v>0</v>
      </c>
      <c r="AG985" s="19" t="n">
        <v>442682.768621087</v>
      </c>
      <c r="AH985" s="26" t="n">
        <f aca="false">IFERROR(AG985/Q985,0)</f>
        <v>0.852614893936293</v>
      </c>
      <c r="AI985" s="27" t="n">
        <v>417631441.400922</v>
      </c>
      <c r="AJ985" s="26" t="n">
        <f aca="false">IF(AI985&gt;0,AprCoef/SQRT(AI985),0)</f>
        <v>0.023194325528635</v>
      </c>
      <c r="AK985" s="24" t="n">
        <f aca="false">AI985*AJ985/365</f>
        <v>26538.8482269754</v>
      </c>
      <c r="AL985" s="24" t="n">
        <f aca="false">AD985</f>
        <v>22556.5209835781</v>
      </c>
      <c r="AM985" s="24" t="n">
        <f aca="false">AK985-AL985</f>
        <v>3982.32724339738</v>
      </c>
      <c r="AN985" s="28" t="str">
        <f aca="false">IF(A985&gt;=Hip3LaunchDate,"YES","")</f>
        <v>YES</v>
      </c>
      <c r="AO985" s="28" t="str">
        <f aca="false">IF(A985&lt;Hip4LaunchDate,"pre-launch","live (zero-fee)")</f>
        <v>pre-launch</v>
      </c>
      <c r="AP985" s="30" t="n">
        <v>74</v>
      </c>
      <c r="AQ985" s="30" t="n">
        <v>39</v>
      </c>
      <c r="AR985" s="19" t="n">
        <v>11557.8815412928</v>
      </c>
    </row>
    <row r="986" customFormat="false" ht="15" hidden="false" customHeight="false" outlineLevel="0" collapsed="false">
      <c r="A986" s="18" t="n">
        <v>46047</v>
      </c>
      <c r="B986" s="19" t="n">
        <v>5536552062.86</v>
      </c>
      <c r="C986" s="19" t="n">
        <v>446920723.86</v>
      </c>
      <c r="D986" s="19" t="n">
        <v>106819108</v>
      </c>
      <c r="E986" s="21" t="n">
        <f aca="false">B986+C986</f>
        <v>5983472786.72</v>
      </c>
      <c r="F986" s="21" t="n">
        <f aca="false">E986+D986</f>
        <v>6090291894.72</v>
      </c>
      <c r="G986" s="22" t="n">
        <f aca="false">IFERROR(C986/E986,0)</f>
        <v>0.0746925305404442</v>
      </c>
      <c r="H986" s="19" t="n">
        <v>2065833</v>
      </c>
      <c r="I986" s="19" t="n">
        <v>47236</v>
      </c>
      <c r="J986" s="19" t="n">
        <v>19133</v>
      </c>
      <c r="K986" s="21" t="n">
        <f aca="false">H986+I986</f>
        <v>2113069</v>
      </c>
      <c r="L986" s="19" t="n">
        <v>36151.4215305634</v>
      </c>
      <c r="M986" s="21" t="n">
        <f aca="false">H986-L986</f>
        <v>2029681.57846944</v>
      </c>
      <c r="N986" s="23" t="n">
        <f aca="false">IFERROR(M986/B986*10000,0)</f>
        <v>3.66596675227681</v>
      </c>
      <c r="O986" s="19" t="n">
        <v>1857752</v>
      </c>
      <c r="P986" s="19" t="n">
        <v>36242</v>
      </c>
      <c r="Q986" s="21" t="n">
        <f aca="false">O986+P986</f>
        <v>1893994</v>
      </c>
      <c r="R986" s="22" t="n">
        <f aca="false">IF(A986&lt;HlpChangeDate,HlpSharePre,HlpSharePost)</f>
        <v>0.01</v>
      </c>
      <c r="S986" s="21" t="n">
        <f aca="false">Q986*R986/(1-R986)</f>
        <v>19131.2525252525</v>
      </c>
      <c r="T986" s="19" t="n">
        <v>19133</v>
      </c>
      <c r="U986" s="21" t="n">
        <f aca="false">S986-T986</f>
        <v>-1.7474747474771</v>
      </c>
      <c r="V986" s="21" t="n">
        <f aca="false">Y986-O986*R986/(1-R986)</f>
        <v>189315.828282828</v>
      </c>
      <c r="W986" s="21" t="n">
        <f aca="false">Z986-P986*R986/(1-R986)</f>
        <v>10627.9191919192</v>
      </c>
      <c r="X986" s="21" t="n">
        <f aca="false">S986+V986+W986</f>
        <v>219075</v>
      </c>
      <c r="Y986" s="19" t="n">
        <v>208081</v>
      </c>
      <c r="Z986" s="19" t="n">
        <v>10994</v>
      </c>
      <c r="AA986" s="19" t="n">
        <v>1893994</v>
      </c>
      <c r="AB986" s="29" t="n">
        <v>22.192</v>
      </c>
      <c r="AC986" s="29" t="n">
        <v>22.608</v>
      </c>
      <c r="AD986" s="24" t="n">
        <f aca="false">IFERROR(AA986/AC986,0)</f>
        <v>83775.3892427459</v>
      </c>
      <c r="AE986" s="25" t="n">
        <f aca="false">K986-Q986-X986</f>
        <v>0</v>
      </c>
      <c r="AF986" s="25" t="n">
        <f aca="false">Q986-AA986</f>
        <v>0</v>
      </c>
      <c r="AG986" s="19" t="n">
        <v>1477880.47634602</v>
      </c>
      <c r="AH986" s="26" t="n">
        <f aca="false">IFERROR(AG986/Q986,0)</f>
        <v>0.780298393947402</v>
      </c>
      <c r="AI986" s="27" t="n">
        <v>417786208.147466</v>
      </c>
      <c r="AJ986" s="26" t="n">
        <f aca="false">IF(AI986&gt;0,AprCoef/SQRT(AI986),0)</f>
        <v>0.0231900290215468</v>
      </c>
      <c r="AK986" s="24" t="n">
        <f aca="false">AI986*AJ986/365</f>
        <v>26543.765182854</v>
      </c>
      <c r="AL986" s="24" t="n">
        <f aca="false">AD986</f>
        <v>83775.3892427459</v>
      </c>
      <c r="AM986" s="24" t="n">
        <f aca="false">AK986-AL986</f>
        <v>-57231.624059892</v>
      </c>
      <c r="AN986" s="28" t="str">
        <f aca="false">IF(A986&gt;=Hip3LaunchDate,"YES","")</f>
        <v>YES</v>
      </c>
      <c r="AO986" s="28" t="str">
        <f aca="false">IF(A986&lt;Hip4LaunchDate,"pre-launch","live (zero-fee)")</f>
        <v>pre-launch</v>
      </c>
      <c r="AP986" s="30" t="n">
        <v>74</v>
      </c>
      <c r="AQ986" s="30" t="n">
        <v>39</v>
      </c>
      <c r="AR986" s="19" t="n">
        <v>27173.8538845847</v>
      </c>
    </row>
    <row r="987" customFormat="false" ht="15" hidden="false" customHeight="false" outlineLevel="0" collapsed="false">
      <c r="A987" s="18" t="n">
        <v>46048</v>
      </c>
      <c r="B987" s="19" t="n">
        <v>5544134683.91</v>
      </c>
      <c r="C987" s="19" t="n">
        <v>1695665627.09</v>
      </c>
      <c r="D987" s="19" t="n">
        <v>120206697</v>
      </c>
      <c r="E987" s="21" t="n">
        <f aca="false">B987+C987</f>
        <v>7239800311</v>
      </c>
      <c r="F987" s="21" t="n">
        <f aca="false">E987+D987</f>
        <v>7360007008</v>
      </c>
      <c r="G987" s="22" t="n">
        <f aca="false">IFERROR(C987/E987,0)</f>
        <v>0.234214419493538</v>
      </c>
      <c r="H987" s="19" t="n">
        <v>2377294</v>
      </c>
      <c r="I987" s="19" t="n">
        <v>57894</v>
      </c>
      <c r="J987" s="19" t="n">
        <v>21826</v>
      </c>
      <c r="K987" s="21" t="n">
        <f aca="false">H987+I987</f>
        <v>2435188</v>
      </c>
      <c r="L987" s="19" t="n">
        <v>107611.948756969</v>
      </c>
      <c r="M987" s="21" t="n">
        <f aca="false">H987-L987</f>
        <v>2269682.05124303</v>
      </c>
      <c r="N987" s="23" t="n">
        <f aca="false">IFERROR(M987/B987*10000,0)</f>
        <v>4.09384363953139</v>
      </c>
      <c r="O987" s="19" t="n">
        <v>2113795</v>
      </c>
      <c r="P987" s="19" t="n">
        <v>47489</v>
      </c>
      <c r="Q987" s="21" t="n">
        <f aca="false">O987+P987</f>
        <v>2161284</v>
      </c>
      <c r="R987" s="22" t="n">
        <f aca="false">IF(A987&lt;HlpChangeDate,HlpSharePre,HlpSharePost)</f>
        <v>0.01</v>
      </c>
      <c r="S987" s="21" t="n">
        <f aca="false">Q987*R987/(1-R987)</f>
        <v>21831.1515151515</v>
      </c>
      <c r="T987" s="19" t="n">
        <v>21826</v>
      </c>
      <c r="U987" s="21" t="n">
        <f aca="false">S987-T987</f>
        <v>5.15151515151592</v>
      </c>
      <c r="V987" s="21" t="n">
        <f aca="false">Y987-O987*R987/(1-R987)</f>
        <v>242147.535353535</v>
      </c>
      <c r="W987" s="21" t="n">
        <f aca="false">Z987-P987*R987/(1-R987)</f>
        <v>9925.31313131313</v>
      </c>
      <c r="X987" s="21" t="n">
        <f aca="false">S987+V987+W987</f>
        <v>273904</v>
      </c>
      <c r="Y987" s="19" t="n">
        <v>263499</v>
      </c>
      <c r="Z987" s="19" t="n">
        <v>10405</v>
      </c>
      <c r="AA987" s="19" t="n">
        <v>2161284</v>
      </c>
      <c r="AB987" s="29" t="n">
        <v>24.929</v>
      </c>
      <c r="AC987" s="29" t="n">
        <v>23.57275</v>
      </c>
      <c r="AD987" s="24" t="n">
        <f aca="false">IFERROR(AA987/AC987,0)</f>
        <v>91685.6964079287</v>
      </c>
      <c r="AE987" s="25" t="n">
        <f aca="false">K987-Q987-X987</f>
        <v>0</v>
      </c>
      <c r="AF987" s="25" t="n">
        <f aca="false">Q987-AA987</f>
        <v>0</v>
      </c>
      <c r="AG987" s="19" t="n">
        <v>1740666.91604495</v>
      </c>
      <c r="AH987" s="26" t="n">
        <f aca="false">IFERROR(AG987/Q987,0)</f>
        <v>0.805385556014365</v>
      </c>
      <c r="AI987" s="27" t="n">
        <v>417940974.894009</v>
      </c>
      <c r="AJ987" s="26" t="n">
        <f aca="false">IF(AI987&gt;0,AprCoef/SQRT(AI987),0)</f>
        <v>0.0231857349012238</v>
      </c>
      <c r="AK987" s="24" t="n">
        <f aca="false">AI987*AJ987/365</f>
        <v>26548.6812280864</v>
      </c>
      <c r="AL987" s="24" t="n">
        <f aca="false">AD987</f>
        <v>91685.6964079287</v>
      </c>
      <c r="AM987" s="24" t="n">
        <f aca="false">AK987-AL987</f>
        <v>-65137.0151798423</v>
      </c>
      <c r="AN987" s="28" t="str">
        <f aca="false">IF(A987&gt;=Hip3LaunchDate,"YES","")</f>
        <v>YES</v>
      </c>
      <c r="AO987" s="28" t="str">
        <f aca="false">IF(A987&lt;Hip4LaunchDate,"pre-launch","live (zero-fee)")</f>
        <v>pre-launch</v>
      </c>
      <c r="AP987" s="30" t="n">
        <v>75</v>
      </c>
      <c r="AQ987" s="30" t="n">
        <v>40</v>
      </c>
      <c r="AR987" s="19" t="n">
        <v>99749.674868052</v>
      </c>
    </row>
    <row r="988" customFormat="false" ht="15" hidden="false" customHeight="false" outlineLevel="0" collapsed="false">
      <c r="A988" s="18" t="n">
        <v>46049</v>
      </c>
      <c r="B988" s="19" t="n">
        <v>5192276666.27</v>
      </c>
      <c r="C988" s="19" t="n">
        <v>1786393675.56</v>
      </c>
      <c r="D988" s="19" t="n">
        <v>207050020</v>
      </c>
      <c r="E988" s="21" t="n">
        <f aca="false">B988+C988</f>
        <v>6978670341.83</v>
      </c>
      <c r="F988" s="21" t="n">
        <f aca="false">E988+D988</f>
        <v>7185720361.83</v>
      </c>
      <c r="G988" s="22" t="n">
        <f aca="false">IFERROR(C988/E988,0)</f>
        <v>0.255979088860581</v>
      </c>
      <c r="H988" s="19" t="n">
        <v>2075882</v>
      </c>
      <c r="I988" s="19" t="n">
        <v>110490</v>
      </c>
      <c r="J988" s="19" t="n">
        <v>19932</v>
      </c>
      <c r="K988" s="21" t="n">
        <f aca="false">H988+I988</f>
        <v>2186372</v>
      </c>
      <c r="L988" s="19" t="n">
        <v>110026.01395402</v>
      </c>
      <c r="M988" s="21" t="n">
        <f aca="false">H988-L988</f>
        <v>1965855.98604598</v>
      </c>
      <c r="N988" s="23" t="n">
        <f aca="false">IFERROR(M988/B988*10000,0)</f>
        <v>3.78611563366133</v>
      </c>
      <c r="O988" s="19" t="n">
        <v>1877313</v>
      </c>
      <c r="P988" s="19" t="n">
        <v>98349</v>
      </c>
      <c r="Q988" s="21" t="n">
        <f aca="false">O988+P988</f>
        <v>1975662</v>
      </c>
      <c r="R988" s="22" t="n">
        <f aca="false">IF(A988&lt;HlpChangeDate,HlpSharePre,HlpSharePost)</f>
        <v>0.01</v>
      </c>
      <c r="S988" s="21" t="n">
        <f aca="false">Q988*R988/(1-R988)</f>
        <v>19956.1818181818</v>
      </c>
      <c r="T988" s="19" t="n">
        <v>19932</v>
      </c>
      <c r="U988" s="21" t="n">
        <f aca="false">S988-T988</f>
        <v>24.1818181818162</v>
      </c>
      <c r="V988" s="21" t="n">
        <f aca="false">Y988-O988*R988/(1-R988)</f>
        <v>179606.242424242</v>
      </c>
      <c r="W988" s="21" t="n">
        <f aca="false">Z988-P988*R988/(1-R988)</f>
        <v>11147.5757575758</v>
      </c>
      <c r="X988" s="21" t="n">
        <f aca="false">S988+V988+W988</f>
        <v>210710</v>
      </c>
      <c r="Y988" s="19" t="n">
        <v>198569</v>
      </c>
      <c r="Z988" s="19" t="n">
        <v>12141</v>
      </c>
      <c r="AA988" s="19" t="n">
        <v>1975662</v>
      </c>
      <c r="AB988" s="29" t="n">
        <v>30.8</v>
      </c>
      <c r="AC988" s="29" t="n">
        <v>27.89925</v>
      </c>
      <c r="AD988" s="24" t="n">
        <f aca="false">IFERROR(AA988/AC988,0)</f>
        <v>70814.1616710127</v>
      </c>
      <c r="AE988" s="25" t="n">
        <f aca="false">K988-Q988-X988</f>
        <v>0</v>
      </c>
      <c r="AF988" s="25" t="n">
        <f aca="false">Q988-AA988</f>
        <v>0</v>
      </c>
      <c r="AG988" s="19" t="n">
        <v>1680272.13032496</v>
      </c>
      <c r="AH988" s="26" t="n">
        <f aca="false">IFERROR(AG988/Q988,0)</f>
        <v>0.850485624729817</v>
      </c>
      <c r="AI988" s="27" t="n">
        <v>418095741.640553</v>
      </c>
      <c r="AJ988" s="26" t="n">
        <f aca="false">IF(AI988&gt;0,AprCoef/SQRT(AI988),0)</f>
        <v>0.0231814431654571</v>
      </c>
      <c r="AK988" s="24" t="n">
        <f aca="false">AI988*AJ988/365</f>
        <v>26553.5963631784</v>
      </c>
      <c r="AL988" s="24" t="n">
        <f aca="false">AD988</f>
        <v>70814.1616710127</v>
      </c>
      <c r="AM988" s="24" t="n">
        <f aca="false">AK988-AL988</f>
        <v>-44260.5653078343</v>
      </c>
      <c r="AN988" s="28" t="str">
        <f aca="false">IF(A988&gt;=Hip3LaunchDate,"YES","")</f>
        <v>YES</v>
      </c>
      <c r="AO988" s="28" t="str">
        <f aca="false">IF(A988&lt;Hip4LaunchDate,"pre-launch","live (zero-fee)")</f>
        <v>pre-launch</v>
      </c>
      <c r="AP988" s="30" t="n">
        <v>80</v>
      </c>
      <c r="AQ988" s="30" t="n">
        <v>44</v>
      </c>
      <c r="AR988" s="19" t="n">
        <v>100779.273970305</v>
      </c>
    </row>
    <row r="989" customFormat="false" ht="15" hidden="false" customHeight="false" outlineLevel="0" collapsed="false">
      <c r="A989" s="18" t="n">
        <v>46050</v>
      </c>
      <c r="B989" s="19" t="n">
        <v>7223191379.37</v>
      </c>
      <c r="C989" s="19" t="n">
        <v>2225317776.75</v>
      </c>
      <c r="D989" s="19" t="n">
        <v>308503112</v>
      </c>
      <c r="E989" s="21" t="n">
        <f aca="false">B989+C989</f>
        <v>9448509156.12</v>
      </c>
      <c r="F989" s="21" t="n">
        <f aca="false">E989+D989</f>
        <v>9757012268.12</v>
      </c>
      <c r="G989" s="22" t="n">
        <f aca="false">IFERROR(C989/E989,0)</f>
        <v>0.23552051863215</v>
      </c>
      <c r="H989" s="19" t="n">
        <v>2792633</v>
      </c>
      <c r="I989" s="19" t="n">
        <v>158693</v>
      </c>
      <c r="J989" s="19" t="n">
        <v>27377</v>
      </c>
      <c r="K989" s="21" t="n">
        <f aca="false">H989+I989</f>
        <v>2951326</v>
      </c>
      <c r="L989" s="19" t="n">
        <v>151716.744988839</v>
      </c>
      <c r="M989" s="21" t="n">
        <f aca="false">H989-L989</f>
        <v>2640916.25501116</v>
      </c>
      <c r="N989" s="23" t="n">
        <f aca="false">IFERROR(M989/B989*10000,0)</f>
        <v>3.65616265208454</v>
      </c>
      <c r="O989" s="19" t="n">
        <v>2568483</v>
      </c>
      <c r="P989" s="19" t="n">
        <v>141364</v>
      </c>
      <c r="Q989" s="21" t="n">
        <f aca="false">O989+P989</f>
        <v>2709847</v>
      </c>
      <c r="R989" s="22" t="n">
        <f aca="false">IF(A989&lt;HlpChangeDate,HlpSharePre,HlpSharePost)</f>
        <v>0.01</v>
      </c>
      <c r="S989" s="21" t="n">
        <f aca="false">Q989*R989/(1-R989)</f>
        <v>27372.1919191919</v>
      </c>
      <c r="T989" s="19" t="n">
        <v>27377</v>
      </c>
      <c r="U989" s="21" t="n">
        <f aca="false">S989-T989</f>
        <v>-4.80808080807765</v>
      </c>
      <c r="V989" s="21" t="n">
        <f aca="false">Y989-O989*R989/(1-R989)</f>
        <v>198205.727272727</v>
      </c>
      <c r="W989" s="21" t="n">
        <f aca="false">Z989-P989*R989/(1-R989)</f>
        <v>15901.0808080808</v>
      </c>
      <c r="X989" s="21" t="n">
        <f aca="false">S989+V989+W989</f>
        <v>241479</v>
      </c>
      <c r="Y989" s="19" t="n">
        <v>224150</v>
      </c>
      <c r="Z989" s="19" t="n">
        <v>17329</v>
      </c>
      <c r="AA989" s="19" t="n">
        <v>2709847</v>
      </c>
      <c r="AB989" s="29" t="n">
        <v>34.435</v>
      </c>
      <c r="AC989" s="29" t="n">
        <v>32.696</v>
      </c>
      <c r="AD989" s="24" t="n">
        <f aca="false">IFERROR(AA989/AC989,0)</f>
        <v>82880.0770736482</v>
      </c>
      <c r="AE989" s="25" t="n">
        <f aca="false">K989-Q989-X989</f>
        <v>0</v>
      </c>
      <c r="AF989" s="25" t="n">
        <f aca="false">Q989-AA989</f>
        <v>0</v>
      </c>
      <c r="AG989" s="19" t="n">
        <v>2213694.41710305</v>
      </c>
      <c r="AH989" s="26" t="n">
        <f aca="false">IFERROR(AG989/Q989,0)</f>
        <v>0.81690752913469</v>
      </c>
      <c r="AI989" s="27" t="n">
        <v>418250508.387097</v>
      </c>
      <c r="AJ989" s="26" t="n">
        <f aca="false">IF(AI989&gt;0,AprCoef/SQRT(AI989),0)</f>
        <v>0.0231771538120405</v>
      </c>
      <c r="AK989" s="24" t="n">
        <f aca="false">AI989*AJ989/365</f>
        <v>26558.5105886353</v>
      </c>
      <c r="AL989" s="24" t="n">
        <f aca="false">AD989</f>
        <v>82880.0770736482</v>
      </c>
      <c r="AM989" s="24" t="n">
        <f aca="false">AK989-AL989</f>
        <v>-56321.5664850129</v>
      </c>
      <c r="AN989" s="28" t="str">
        <f aca="false">IF(A989&gt;=Hip3LaunchDate,"YES","")</f>
        <v>YES</v>
      </c>
      <c r="AO989" s="28" t="str">
        <f aca="false">IF(A989&lt;Hip4LaunchDate,"pre-launch","live (zero-fee)")</f>
        <v>pre-launch</v>
      </c>
      <c r="AP989" s="30" t="n">
        <v>85</v>
      </c>
      <c r="AQ989" s="30" t="n">
        <v>47</v>
      </c>
      <c r="AR989" s="19" t="n">
        <v>141439.897197623</v>
      </c>
    </row>
    <row r="990" customFormat="false" ht="15" hidden="false" customHeight="false" outlineLevel="0" collapsed="false">
      <c r="A990" s="18" t="n">
        <v>46051</v>
      </c>
      <c r="B990" s="19" t="n">
        <v>11593690775.93</v>
      </c>
      <c r="C990" s="19" t="n">
        <v>3335351796.15</v>
      </c>
      <c r="D990" s="19" t="n">
        <v>330268020</v>
      </c>
      <c r="E990" s="21" t="n">
        <f aca="false">B990+C990</f>
        <v>14929042572.08</v>
      </c>
      <c r="F990" s="21" t="n">
        <f aca="false">E990+D990</f>
        <v>15259310592.08</v>
      </c>
      <c r="G990" s="22" t="n">
        <f aca="false">IFERROR(C990/E990,0)</f>
        <v>0.223413643577366</v>
      </c>
      <c r="H990" s="19" t="n">
        <v>4528504</v>
      </c>
      <c r="I990" s="19" t="n">
        <v>164983</v>
      </c>
      <c r="J990" s="19" t="n">
        <v>43439</v>
      </c>
      <c r="K990" s="21" t="n">
        <f aca="false">H990+I990</f>
        <v>4693487</v>
      </c>
      <c r="L990" s="19" t="n">
        <v>256846.159779515</v>
      </c>
      <c r="M990" s="21" t="n">
        <f aca="false">H990-L990</f>
        <v>4271657.84022049</v>
      </c>
      <c r="N990" s="23" t="n">
        <f aca="false">IFERROR(M990/B990*10000,0)</f>
        <v>3.68446763224788</v>
      </c>
      <c r="O990" s="19" t="n">
        <v>4159521</v>
      </c>
      <c r="P990" s="19" t="n">
        <v>140577</v>
      </c>
      <c r="Q990" s="21" t="n">
        <f aca="false">O990+P990</f>
        <v>4300098</v>
      </c>
      <c r="R990" s="22" t="n">
        <f aca="false">IF(A990&lt;HlpChangeDate,HlpSharePre,HlpSharePost)</f>
        <v>0.01</v>
      </c>
      <c r="S990" s="21" t="n">
        <f aca="false">Q990*R990/(1-R990)</f>
        <v>43435.3333333333</v>
      </c>
      <c r="T990" s="19" t="n">
        <v>43439</v>
      </c>
      <c r="U990" s="21" t="n">
        <f aca="false">S990-T990</f>
        <v>-3.66666666666424</v>
      </c>
      <c r="V990" s="21" t="n">
        <f aca="false">Y990-O990*R990/(1-R990)</f>
        <v>326967.636363636</v>
      </c>
      <c r="W990" s="21" t="n">
        <f aca="false">Z990-P990*R990/(1-R990)</f>
        <v>22986.0303030303</v>
      </c>
      <c r="X990" s="21" t="n">
        <f aca="false">S990+V990+W990</f>
        <v>393389</v>
      </c>
      <c r="Y990" s="19" t="n">
        <v>368983</v>
      </c>
      <c r="Z990" s="19" t="n">
        <v>24406</v>
      </c>
      <c r="AA990" s="19" t="n">
        <v>4300098</v>
      </c>
      <c r="AB990" s="29" t="n">
        <v>30.786</v>
      </c>
      <c r="AC990" s="29" t="n">
        <v>32.52875</v>
      </c>
      <c r="AD990" s="24" t="n">
        <f aca="false">IFERROR(AA990/AC990,0)</f>
        <v>132193.767052223</v>
      </c>
      <c r="AE990" s="25" t="n">
        <f aca="false">K990-Q990-X990</f>
        <v>0</v>
      </c>
      <c r="AF990" s="25" t="n">
        <f aca="false">Q990-AA990</f>
        <v>0</v>
      </c>
      <c r="AG990" s="19" t="n">
        <v>3535598.72332501</v>
      </c>
      <c r="AH990" s="26" t="n">
        <f aca="false">IFERROR(AG990/Q990,0)</f>
        <v>0.822213522418562</v>
      </c>
      <c r="AI990" s="27" t="n">
        <v>418405275.133641</v>
      </c>
      <c r="AJ990" s="26" t="n">
        <f aca="false">IF(AI990&gt;0,AprCoef/SQRT(AI990),0)</f>
        <v>0.0231728668387708</v>
      </c>
      <c r="AK990" s="24" t="n">
        <f aca="false">AI990*AJ990/365</f>
        <v>26563.423904962</v>
      </c>
      <c r="AL990" s="24" t="n">
        <f aca="false">AD990</f>
        <v>132193.767052223</v>
      </c>
      <c r="AM990" s="24" t="n">
        <f aca="false">AK990-AL990</f>
        <v>-105630.343147261</v>
      </c>
      <c r="AN990" s="28" t="str">
        <f aca="false">IF(A990&gt;=Hip3LaunchDate,"YES","")</f>
        <v>YES</v>
      </c>
      <c r="AO990" s="28" t="str">
        <f aca="false">IF(A990&lt;Hip4LaunchDate,"pre-launch","live (zero-fee)")</f>
        <v>pre-launch</v>
      </c>
      <c r="AP990" s="30" t="n">
        <v>90</v>
      </c>
      <c r="AQ990" s="30" t="n">
        <v>57</v>
      </c>
      <c r="AR990" s="19" t="n">
        <v>243543.544188263</v>
      </c>
    </row>
    <row r="991" customFormat="false" ht="15" hidden="false" customHeight="false" outlineLevel="0" collapsed="false">
      <c r="A991" s="18" t="n">
        <v>46052</v>
      </c>
      <c r="B991" s="19" t="n">
        <v>10744921449.01</v>
      </c>
      <c r="C991" s="19" t="n">
        <v>4986241499.89</v>
      </c>
      <c r="D991" s="19" t="n">
        <v>370980740</v>
      </c>
      <c r="E991" s="21" t="n">
        <f aca="false">B991+C991</f>
        <v>15731162948.9</v>
      </c>
      <c r="F991" s="21" t="n">
        <f aca="false">E991+D991</f>
        <v>16102143688.9</v>
      </c>
      <c r="G991" s="22" t="n">
        <f aca="false">IFERROR(C991/E991,0)</f>
        <v>0.316965854087645</v>
      </c>
      <c r="H991" s="19" t="n">
        <v>4561815</v>
      </c>
      <c r="I991" s="19" t="n">
        <v>177806</v>
      </c>
      <c r="J991" s="19" t="n">
        <v>43948</v>
      </c>
      <c r="K991" s="21" t="n">
        <f aca="false">H991+I991</f>
        <v>4739621</v>
      </c>
      <c r="L991" s="19" t="n">
        <v>342958.663035449</v>
      </c>
      <c r="M991" s="21" t="n">
        <f aca="false">H991-L991</f>
        <v>4218856.33696455</v>
      </c>
      <c r="N991" s="23" t="n">
        <f aca="false">IFERROR(M991/B991*10000,0)</f>
        <v>3.92637243276754</v>
      </c>
      <c r="O991" s="19" t="n">
        <v>4197996</v>
      </c>
      <c r="P991" s="19" t="n">
        <v>152715</v>
      </c>
      <c r="Q991" s="21" t="n">
        <f aca="false">O991+P991</f>
        <v>4350711</v>
      </c>
      <c r="R991" s="22" t="n">
        <f aca="false">IF(A991&lt;HlpChangeDate,HlpSharePre,HlpSharePost)</f>
        <v>0.01</v>
      </c>
      <c r="S991" s="21" t="n">
        <f aca="false">Q991*R991/(1-R991)</f>
        <v>43946.5757575758</v>
      </c>
      <c r="T991" s="19" t="n">
        <v>43948</v>
      </c>
      <c r="U991" s="21" t="n">
        <f aca="false">S991-T991</f>
        <v>-1.42424242424022</v>
      </c>
      <c r="V991" s="21" t="n">
        <f aca="false">Y991-O991*R991/(1-R991)</f>
        <v>321415</v>
      </c>
      <c r="W991" s="21" t="n">
        <f aca="false">Z991-P991*R991/(1-R991)</f>
        <v>23548.4242424242</v>
      </c>
      <c r="X991" s="21" t="n">
        <f aca="false">S991+V991+W991</f>
        <v>388910</v>
      </c>
      <c r="Y991" s="19" t="n">
        <v>363819</v>
      </c>
      <c r="Z991" s="19" t="n">
        <v>25091</v>
      </c>
      <c r="AA991" s="19" t="n">
        <v>4350711</v>
      </c>
      <c r="AB991" s="29" t="n">
        <v>30.58</v>
      </c>
      <c r="AC991" s="29" t="n">
        <v>30.5935</v>
      </c>
      <c r="AD991" s="24" t="n">
        <f aca="false">IFERROR(AA991/AC991,0)</f>
        <v>142210.306110775</v>
      </c>
      <c r="AE991" s="25" t="n">
        <f aca="false">K991-Q991-X991</f>
        <v>0</v>
      </c>
      <c r="AF991" s="25" t="n">
        <f aca="false">Q991-AA991</f>
        <v>0</v>
      </c>
      <c r="AG991" s="19" t="n">
        <v>3552855.56317997</v>
      </c>
      <c r="AH991" s="26" t="n">
        <f aca="false">IFERROR(AG991/Q991,0)</f>
        <v>0.816614931026209</v>
      </c>
      <c r="AI991" s="27" t="n">
        <v>418560041.880184</v>
      </c>
      <c r="AJ991" s="26" t="n">
        <f aca="false">IF(AI991&gt;0,AprCoef/SQRT(AI991),0)</f>
        <v>0.0231685822434477</v>
      </c>
      <c r="AK991" s="24" t="n">
        <f aca="false">AI991*AJ991/365</f>
        <v>26568.3363126629</v>
      </c>
      <c r="AL991" s="24" t="n">
        <f aca="false">AD991</f>
        <v>142210.306110775</v>
      </c>
      <c r="AM991" s="24" t="n">
        <f aca="false">AK991-AL991</f>
        <v>-115641.969798112</v>
      </c>
      <c r="AN991" s="28" t="str">
        <f aca="false">IF(A991&gt;=Hip3LaunchDate,"YES","")</f>
        <v>YES</v>
      </c>
      <c r="AO991" s="28" t="str">
        <f aca="false">IF(A991&lt;Hip4LaunchDate,"pre-launch","live (zero-fee)")</f>
        <v>pre-launch</v>
      </c>
      <c r="AP991" s="30" t="n">
        <v>92</v>
      </c>
      <c r="AQ991" s="30" t="n">
        <v>57</v>
      </c>
      <c r="AR991" s="19" t="n">
        <v>328840.745084801</v>
      </c>
    </row>
    <row r="992" customFormat="false" ht="15" hidden="false" customHeight="false" outlineLevel="0" collapsed="false">
      <c r="A992" s="18" t="n">
        <v>46053</v>
      </c>
      <c r="B992" s="19" t="n">
        <v>12880731728.44</v>
      </c>
      <c r="C992" s="19" t="n">
        <v>453762452.83</v>
      </c>
      <c r="D992" s="19" t="n">
        <v>353806191</v>
      </c>
      <c r="E992" s="21" t="n">
        <f aca="false">B992+C992</f>
        <v>13334494181.27</v>
      </c>
      <c r="F992" s="21" t="n">
        <f aca="false">E992+D992</f>
        <v>13688300372.27</v>
      </c>
      <c r="G992" s="22" t="n">
        <f aca="false">IFERROR(C992/E992,0)</f>
        <v>0.0340292212559039</v>
      </c>
      <c r="H992" s="19" t="n">
        <v>4470885</v>
      </c>
      <c r="I992" s="19" t="n">
        <v>168742</v>
      </c>
      <c r="J992" s="19" t="n">
        <v>43586</v>
      </c>
      <c r="K992" s="21" t="n">
        <f aca="false">H992+I992</f>
        <v>4639627</v>
      </c>
      <c r="L992" s="19" t="n">
        <v>48349.1323586942</v>
      </c>
      <c r="M992" s="21" t="n">
        <f aca="false">H992-L992</f>
        <v>4422535.86764131</v>
      </c>
      <c r="N992" s="23" t="n">
        <f aca="false">IFERROR(M992/B992*10000,0)</f>
        <v>3.43345080146074</v>
      </c>
      <c r="O992" s="19" t="n">
        <v>4181537</v>
      </c>
      <c r="P992" s="19" t="n">
        <v>134186</v>
      </c>
      <c r="Q992" s="21" t="n">
        <f aca="false">O992+P992</f>
        <v>4315723</v>
      </c>
      <c r="R992" s="22" t="n">
        <f aca="false">IF(A992&lt;HlpChangeDate,HlpSharePre,HlpSharePost)</f>
        <v>0.01</v>
      </c>
      <c r="S992" s="21" t="n">
        <f aca="false">Q992*R992/(1-R992)</f>
        <v>43593.1616161616</v>
      </c>
      <c r="T992" s="19" t="n">
        <v>43586</v>
      </c>
      <c r="U992" s="21" t="n">
        <f aca="false">S992-T992</f>
        <v>7.16161616161844</v>
      </c>
      <c r="V992" s="21" t="n">
        <f aca="false">Y992-O992*R992/(1-R992)</f>
        <v>247110.252525253</v>
      </c>
      <c r="W992" s="21" t="n">
        <f aca="false">Z992-P992*R992/(1-R992)</f>
        <v>33200.5858585859</v>
      </c>
      <c r="X992" s="21" t="n">
        <f aca="false">S992+V992+W992</f>
        <v>323904</v>
      </c>
      <c r="Y992" s="19" t="n">
        <v>289348</v>
      </c>
      <c r="Z992" s="19" t="n">
        <v>34556</v>
      </c>
      <c r="AA992" s="19" t="n">
        <v>4315723</v>
      </c>
      <c r="AB992" s="29" t="n">
        <v>30.975</v>
      </c>
      <c r="AC992" s="29" t="n">
        <v>30.26525</v>
      </c>
      <c r="AD992" s="24" t="n">
        <f aca="false">IFERROR(AA992/AC992,0)</f>
        <v>142596.641362619</v>
      </c>
      <c r="AE992" s="25" t="n">
        <f aca="false">K992-Q992-X992</f>
        <v>0</v>
      </c>
      <c r="AF992" s="25" t="n">
        <f aca="false">Q992-AA992</f>
        <v>0</v>
      </c>
      <c r="AG992" s="19" t="n">
        <v>3515062.15822506</v>
      </c>
      <c r="AH992" s="26" t="n">
        <f aca="false">IFERROR(AG992/Q992,0)</f>
        <v>0.814478166978061</v>
      </c>
      <c r="AI992" s="27" t="n">
        <v>418714808.626728</v>
      </c>
      <c r="AJ992" s="26" t="n">
        <f aca="false">IF(AI992&gt;0,AprCoef/SQRT(AI992),0)</f>
        <v>0.0231643000238734</v>
      </c>
      <c r="AK992" s="24" t="n">
        <f aca="false">AI992*AJ992/365</f>
        <v>26573.2478122418</v>
      </c>
      <c r="AL992" s="24" t="n">
        <f aca="false">AD992</f>
        <v>142596.641362619</v>
      </c>
      <c r="AM992" s="24" t="n">
        <f aca="false">AK992-AL992</f>
        <v>-116023.393550377</v>
      </c>
      <c r="AN992" s="28" t="str">
        <f aca="false">IF(A992&gt;=Hip3LaunchDate,"YES","")</f>
        <v>YES</v>
      </c>
      <c r="AO992" s="28" t="str">
        <f aca="false">IF(A992&lt;Hip4LaunchDate,"pre-launch","live (zero-fee)")</f>
        <v>pre-launch</v>
      </c>
      <c r="AP992" s="30" t="n">
        <v>92</v>
      </c>
      <c r="AQ992" s="30" t="n">
        <v>57</v>
      </c>
      <c r="AR992" s="19" t="n">
        <v>33369.9005941107</v>
      </c>
    </row>
    <row r="993" customFormat="false" ht="15" hidden="false" customHeight="false" outlineLevel="0" collapsed="false">
      <c r="A993" s="18" t="n">
        <v>46054</v>
      </c>
      <c r="B993" s="19" t="n">
        <v>7709887204.09</v>
      </c>
      <c r="C993" s="19" t="n">
        <v>573256994.85</v>
      </c>
      <c r="D993" s="19" t="n">
        <v>216693089</v>
      </c>
      <c r="E993" s="21" t="n">
        <f aca="false">B993+C993</f>
        <v>8283144198.94</v>
      </c>
      <c r="F993" s="21" t="n">
        <f aca="false">E993+D993</f>
        <v>8499837287.94</v>
      </c>
      <c r="G993" s="22" t="n">
        <f aca="false">IFERROR(C993/E993,0)</f>
        <v>0.0692076560641502</v>
      </c>
      <c r="H993" s="19" t="n">
        <v>3172139</v>
      </c>
      <c r="I993" s="19" t="n">
        <v>103743</v>
      </c>
      <c r="J993" s="19" t="n">
        <v>29751</v>
      </c>
      <c r="K993" s="21" t="n">
        <f aca="false">H993+I993</f>
        <v>3275882</v>
      </c>
      <c r="L993" s="19" t="n">
        <v>52016.8974541723</v>
      </c>
      <c r="M993" s="21" t="n">
        <f aca="false">H993-L993</f>
        <v>3120122.10254583</v>
      </c>
      <c r="N993" s="23" t="n">
        <f aca="false">IFERROR(M993/B993*10000,0)</f>
        <v>4.04691018163099</v>
      </c>
      <c r="O993" s="19" t="n">
        <v>2858425</v>
      </c>
      <c r="P993" s="19" t="n">
        <v>87509</v>
      </c>
      <c r="Q993" s="21" t="n">
        <f aca="false">O993+P993</f>
        <v>2945934</v>
      </c>
      <c r="R993" s="22" t="n">
        <f aca="false">IF(A993&lt;HlpChangeDate,HlpSharePre,HlpSharePost)</f>
        <v>0.01</v>
      </c>
      <c r="S993" s="21" t="n">
        <f aca="false">Q993*R993/(1-R993)</f>
        <v>29756.9090909091</v>
      </c>
      <c r="T993" s="19" t="n">
        <v>29751</v>
      </c>
      <c r="U993" s="21" t="n">
        <f aca="false">S993-T993</f>
        <v>5.9090909090919</v>
      </c>
      <c r="V993" s="21" t="n">
        <f aca="false">Y993-O993*R993/(1-R993)</f>
        <v>284841.02020202</v>
      </c>
      <c r="W993" s="21" t="n">
        <f aca="false">Z993-P993*R993/(1-R993)</f>
        <v>15350.0707070707</v>
      </c>
      <c r="X993" s="21" t="n">
        <f aca="false">S993+V993+W993</f>
        <v>329948</v>
      </c>
      <c r="Y993" s="19" t="n">
        <v>313714</v>
      </c>
      <c r="Z993" s="19" t="n">
        <v>16234</v>
      </c>
      <c r="AA993" s="19" t="n">
        <v>2945934</v>
      </c>
      <c r="AB993" s="29" t="n">
        <v>30.564</v>
      </c>
      <c r="AC993" s="29" t="n">
        <v>30.63575</v>
      </c>
      <c r="AD993" s="24" t="n">
        <f aca="false">IFERROR(AA993/AC993,0)</f>
        <v>96160.0091396489</v>
      </c>
      <c r="AE993" s="25" t="n">
        <f aca="false">K993-Q993-X993</f>
        <v>0</v>
      </c>
      <c r="AF993" s="25" t="n">
        <f aca="false">Q993-AA993</f>
        <v>0</v>
      </c>
      <c r="AG993" s="19" t="n">
        <v>2261880.57603991</v>
      </c>
      <c r="AH993" s="26" t="n">
        <f aca="false">IFERROR(AG993/Q993,0)</f>
        <v>0.767797437430679</v>
      </c>
      <c r="AI993" s="27" t="n">
        <v>418869575.373272</v>
      </c>
      <c r="AJ993" s="26" t="n">
        <f aca="false">IF(AI993&gt;0,AprCoef/SQRT(AI993),0)</f>
        <v>0.0231600201778533</v>
      </c>
      <c r="AK993" s="24" t="n">
        <f aca="false">AI993*AJ993/365</f>
        <v>26578.1584042023</v>
      </c>
      <c r="AL993" s="24" t="n">
        <f aca="false">AD993</f>
        <v>96160.0091396489</v>
      </c>
      <c r="AM993" s="24" t="n">
        <f aca="false">AK993-AL993</f>
        <v>-69581.8507354466</v>
      </c>
      <c r="AN993" s="28" t="str">
        <f aca="false">IF(A993&gt;=Hip3LaunchDate,"YES","")</f>
        <v>YES</v>
      </c>
      <c r="AO993" s="28" t="str">
        <f aca="false">IF(A993&lt;Hip4LaunchDate,"pre-launch","live (zero-fee)")</f>
        <v>pre-launch</v>
      </c>
      <c r="AP993" s="30" t="n">
        <v>92</v>
      </c>
      <c r="AQ993" s="30" t="n">
        <v>57</v>
      </c>
      <c r="AR993" s="19" t="n">
        <v>42433.2666287707</v>
      </c>
    </row>
    <row r="994" customFormat="false" ht="15" hidden="false" customHeight="false" outlineLevel="0" collapsed="false">
      <c r="A994" s="18" t="n">
        <v>46055</v>
      </c>
      <c r="B994" s="19" t="n">
        <v>8410401449.92</v>
      </c>
      <c r="C994" s="19" t="n">
        <v>3535691413.87</v>
      </c>
      <c r="D994" s="19" t="n">
        <v>345233535</v>
      </c>
      <c r="E994" s="21" t="n">
        <f aca="false">B994+C994</f>
        <v>11946092863.79</v>
      </c>
      <c r="F994" s="21" t="n">
        <f aca="false">E994+D994</f>
        <v>12291326398.79</v>
      </c>
      <c r="G994" s="22" t="n">
        <f aca="false">IFERROR(C994/E994,0)</f>
        <v>0.295970528120294</v>
      </c>
      <c r="H994" s="19" t="n">
        <v>3532693</v>
      </c>
      <c r="I994" s="19" t="n">
        <v>165128</v>
      </c>
      <c r="J994" s="19" t="n">
        <v>34178</v>
      </c>
      <c r="K994" s="21" t="n">
        <f aca="false">H994+I994</f>
        <v>3697821</v>
      </c>
      <c r="L994" s="19" t="n">
        <v>262140.799476364</v>
      </c>
      <c r="M994" s="21" t="n">
        <f aca="false">H994-L994</f>
        <v>3270552.20052364</v>
      </c>
      <c r="N994" s="23" t="n">
        <f aca="false">IFERROR(M994/B994*10000,0)</f>
        <v>3.88869927315389</v>
      </c>
      <c r="O994" s="19" t="n">
        <v>3247348</v>
      </c>
      <c r="P994" s="19" t="n">
        <v>138368</v>
      </c>
      <c r="Q994" s="21" t="n">
        <f aca="false">O994+P994</f>
        <v>3385716</v>
      </c>
      <c r="R994" s="22" t="n">
        <f aca="false">IF(A994&lt;HlpChangeDate,HlpSharePre,HlpSharePost)</f>
        <v>0.01</v>
      </c>
      <c r="S994" s="21" t="n">
        <f aca="false">Q994*R994/(1-R994)</f>
        <v>34199.1515151515</v>
      </c>
      <c r="T994" s="19" t="n">
        <v>34178</v>
      </c>
      <c r="U994" s="21" t="n">
        <f aca="false">S994-T994</f>
        <v>21.1515151515196</v>
      </c>
      <c r="V994" s="21" t="n">
        <f aca="false">Y994-O994*R994/(1-R994)</f>
        <v>252543.505050505</v>
      </c>
      <c r="W994" s="21" t="n">
        <f aca="false">Z994-P994*R994/(1-R994)</f>
        <v>25362.3434343434</v>
      </c>
      <c r="X994" s="21" t="n">
        <f aca="false">S994+V994+W994</f>
        <v>312105</v>
      </c>
      <c r="Y994" s="19" t="n">
        <v>285345</v>
      </c>
      <c r="Z994" s="19" t="n">
        <v>26760</v>
      </c>
      <c r="AA994" s="19" t="n">
        <v>3385716</v>
      </c>
      <c r="AB994" s="29" t="n">
        <v>33.283</v>
      </c>
      <c r="AC994" s="29" t="n">
        <v>31.82825</v>
      </c>
      <c r="AD994" s="24" t="n">
        <f aca="false">IFERROR(AA994/AC994,0)</f>
        <v>106374.557193688</v>
      </c>
      <c r="AE994" s="25" t="n">
        <f aca="false">K994-Q994-X994</f>
        <v>0</v>
      </c>
      <c r="AF994" s="25" t="n">
        <f aca="false">Q994-AA994</f>
        <v>0</v>
      </c>
      <c r="AG994" s="19" t="n">
        <v>2789448.42056108</v>
      </c>
      <c r="AH994" s="26" t="n">
        <f aca="false">IFERROR(AG994/Q994,0)</f>
        <v>0.823887301994933</v>
      </c>
      <c r="AI994" s="27" t="n">
        <v>419024342.119816</v>
      </c>
      <c r="AJ994" s="26" t="n">
        <f aca="false">IF(AI994&gt;0,AprCoef/SQRT(AI994),0)</f>
        <v>0.0231557427031956</v>
      </c>
      <c r="AK994" s="24" t="n">
        <f aca="false">AI994*AJ994/365</f>
        <v>26583.0680890472</v>
      </c>
      <c r="AL994" s="24" t="n">
        <f aca="false">AD994</f>
        <v>106374.557193688</v>
      </c>
      <c r="AM994" s="24" t="n">
        <f aca="false">AK994-AL994</f>
        <v>-79791.4891046408</v>
      </c>
      <c r="AN994" s="28" t="str">
        <f aca="false">IF(A994&gt;=Hip3LaunchDate,"YES","")</f>
        <v>YES</v>
      </c>
      <c r="AO994" s="28" t="str">
        <f aca="false">IF(A994&lt;Hip4LaunchDate,"pre-launch","live (zero-fee)")</f>
        <v>pre-launch</v>
      </c>
      <c r="AP994" s="30" t="n">
        <v>94</v>
      </c>
      <c r="AQ994" s="30" t="n">
        <v>57</v>
      </c>
      <c r="AR994" s="19" t="n">
        <v>248713.729557757</v>
      </c>
    </row>
    <row r="995" customFormat="false" ht="15" hidden="false" customHeight="false" outlineLevel="0" collapsed="false">
      <c r="A995" s="18" t="n">
        <v>46056</v>
      </c>
      <c r="B995" s="19" t="n">
        <v>10448088018.21</v>
      </c>
      <c r="C995" s="19" t="n">
        <v>2746628279.64</v>
      </c>
      <c r="D995" s="19" t="n">
        <v>418094057</v>
      </c>
      <c r="E995" s="21" t="n">
        <f aca="false">B995+C995</f>
        <v>13194716297.85</v>
      </c>
      <c r="F995" s="21" t="n">
        <f aca="false">E995+D995</f>
        <v>13612810354.85</v>
      </c>
      <c r="G995" s="22" t="n">
        <f aca="false">IFERROR(C995/E995,0)</f>
        <v>0.208161222843992</v>
      </c>
      <c r="H995" s="19" t="n">
        <v>4075229</v>
      </c>
      <c r="I995" s="19" t="n">
        <v>193813</v>
      </c>
      <c r="J995" s="19" t="n">
        <v>39870</v>
      </c>
      <c r="K995" s="21" t="n">
        <f aca="false">H995+I995</f>
        <v>4269042</v>
      </c>
      <c r="L995" s="19" t="n">
        <v>227551.994080162</v>
      </c>
      <c r="M995" s="21" t="n">
        <f aca="false">H995-L995</f>
        <v>3847677.00591984</v>
      </c>
      <c r="N995" s="23" t="n">
        <f aca="false">IFERROR(M995/B995*10000,0)</f>
        <v>3.68266136274284</v>
      </c>
      <c r="O995" s="19" t="n">
        <v>3778351</v>
      </c>
      <c r="P995" s="19" t="n">
        <v>169063</v>
      </c>
      <c r="Q995" s="21" t="n">
        <f aca="false">O995+P995</f>
        <v>3947414</v>
      </c>
      <c r="R995" s="22" t="n">
        <f aca="false">IF(A995&lt;HlpChangeDate,HlpSharePre,HlpSharePost)</f>
        <v>0.01</v>
      </c>
      <c r="S995" s="21" t="n">
        <f aca="false">Q995*R995/(1-R995)</f>
        <v>39872.8686868687</v>
      </c>
      <c r="T995" s="19" t="n">
        <v>39870</v>
      </c>
      <c r="U995" s="21" t="n">
        <f aca="false">S995-T995</f>
        <v>2.86868686868547</v>
      </c>
      <c r="V995" s="21" t="n">
        <f aca="false">Y995-O995*R995/(1-R995)</f>
        <v>258712.838383838</v>
      </c>
      <c r="W995" s="21" t="n">
        <f aca="false">Z995-P995*R995/(1-R995)</f>
        <v>23042.2929292929</v>
      </c>
      <c r="X995" s="21" t="n">
        <f aca="false">S995+V995+W995</f>
        <v>321628</v>
      </c>
      <c r="Y995" s="19" t="n">
        <v>296878</v>
      </c>
      <c r="Z995" s="19" t="n">
        <v>24750</v>
      </c>
      <c r="AA995" s="19" t="n">
        <v>3947414</v>
      </c>
      <c r="AB995" s="29" t="n">
        <v>32.666</v>
      </c>
      <c r="AC995" s="29" t="n">
        <v>34.14225</v>
      </c>
      <c r="AD995" s="24" t="n">
        <f aca="false">IFERROR(AA995/AC995,0)</f>
        <v>115616.691928622</v>
      </c>
      <c r="AE995" s="25" t="n">
        <f aca="false">K995-Q995-X995</f>
        <v>0</v>
      </c>
      <c r="AF995" s="25" t="n">
        <f aca="false">Q995-AA995</f>
        <v>0</v>
      </c>
      <c r="AG995" s="19" t="n">
        <v>3228464.93243492</v>
      </c>
      <c r="AH995" s="26" t="n">
        <f aca="false">IFERROR(AG995/Q995,0)</f>
        <v>0.817868339230422</v>
      </c>
      <c r="AI995" s="27" t="n">
        <v>419179108.86636</v>
      </c>
      <c r="AJ995" s="26" t="n">
        <f aca="false">IF(AI995&gt;0,AprCoef/SQRT(AI995),0)</f>
        <v>0.0231514675977111</v>
      </c>
      <c r="AK995" s="24" t="n">
        <f aca="false">AI995*AJ995/365</f>
        <v>26587.9768672792</v>
      </c>
      <c r="AL995" s="24" t="n">
        <f aca="false">AD995</f>
        <v>115616.691928622</v>
      </c>
      <c r="AM995" s="24" t="n">
        <f aca="false">AK995-AL995</f>
        <v>-89028.7150613429</v>
      </c>
      <c r="AN995" s="28" t="str">
        <f aca="false">IF(A995&gt;=Hip3LaunchDate,"YES","")</f>
        <v>YES</v>
      </c>
      <c r="AO995" s="28" t="str">
        <f aca="false">IF(A995&lt;Hip4LaunchDate,"pre-launch","live (zero-fee)")</f>
        <v>pre-launch</v>
      </c>
      <c r="AP995" s="30" t="n">
        <v>95</v>
      </c>
      <c r="AQ995" s="30" t="n">
        <v>66</v>
      </c>
      <c r="AR995" s="19" t="n">
        <v>210991.478343218</v>
      </c>
    </row>
    <row r="996" customFormat="false" ht="15" hidden="false" customHeight="false" outlineLevel="0" collapsed="false">
      <c r="A996" s="18" t="n">
        <v>46057</v>
      </c>
      <c r="B996" s="19" t="n">
        <v>10216254336.33</v>
      </c>
      <c r="C996" s="19" t="n">
        <v>2644071681.11</v>
      </c>
      <c r="D996" s="19" t="n">
        <v>535928526</v>
      </c>
      <c r="E996" s="21" t="n">
        <f aca="false">B996+C996</f>
        <v>12860326017.44</v>
      </c>
      <c r="F996" s="21" t="n">
        <f aca="false">E996+D996</f>
        <v>13396254543.44</v>
      </c>
      <c r="G996" s="22" t="n">
        <f aca="false">IFERROR(C996/E996,0)</f>
        <v>0.205599117590359</v>
      </c>
      <c r="H996" s="19" t="n">
        <v>3989263</v>
      </c>
      <c r="I996" s="19" t="n">
        <v>291087</v>
      </c>
      <c r="J996" s="19" t="n">
        <v>39825</v>
      </c>
      <c r="K996" s="21" t="n">
        <f aca="false">H996+I996</f>
        <v>4280350</v>
      </c>
      <c r="L996" s="19" t="n">
        <v>179369.406788701</v>
      </c>
      <c r="M996" s="21" t="n">
        <f aca="false">H996-L996</f>
        <v>3809893.5932113</v>
      </c>
      <c r="N996" s="23" t="n">
        <f aca="false">IFERROR(M996/B996*10000,0)</f>
        <v>3.72924700950616</v>
      </c>
      <c r="O996" s="19" t="n">
        <v>3695256</v>
      </c>
      <c r="P996" s="19" t="n">
        <v>246598</v>
      </c>
      <c r="Q996" s="21" t="n">
        <f aca="false">O996+P996</f>
        <v>3941854</v>
      </c>
      <c r="R996" s="22" t="n">
        <f aca="false">IF(A996&lt;HlpChangeDate,HlpSharePre,HlpSharePost)</f>
        <v>0.01</v>
      </c>
      <c r="S996" s="21" t="n">
        <f aca="false">Q996*R996/(1-R996)</f>
        <v>39816.7070707071</v>
      </c>
      <c r="T996" s="19" t="n">
        <v>39825</v>
      </c>
      <c r="U996" s="21" t="n">
        <f aca="false">S996-T996</f>
        <v>-8.29292929292569</v>
      </c>
      <c r="V996" s="21" t="n">
        <f aca="false">Y996-O996*R996/(1-R996)</f>
        <v>256681.181818182</v>
      </c>
      <c r="W996" s="21" t="n">
        <f aca="false">Z996-P996*R996/(1-R996)</f>
        <v>41998.1111111111</v>
      </c>
      <c r="X996" s="21" t="n">
        <f aca="false">S996+V996+W996</f>
        <v>338496</v>
      </c>
      <c r="Y996" s="19" t="n">
        <v>294007</v>
      </c>
      <c r="Z996" s="19" t="n">
        <v>44489</v>
      </c>
      <c r="AA996" s="19" t="n">
        <v>3941854</v>
      </c>
      <c r="AB996" s="29" t="n">
        <v>35.443</v>
      </c>
      <c r="AC996" s="29" t="n">
        <v>34.171</v>
      </c>
      <c r="AD996" s="24" t="n">
        <f aca="false">IFERROR(AA996/AC996,0)</f>
        <v>115356.705978754</v>
      </c>
      <c r="AE996" s="25" t="n">
        <f aca="false">K996-Q996-X996</f>
        <v>0</v>
      </c>
      <c r="AF996" s="25" t="n">
        <f aca="false">Q996-AA996</f>
        <v>0</v>
      </c>
      <c r="AG996" s="19" t="n">
        <v>3147072.15298307</v>
      </c>
      <c r="AH996" s="26" t="n">
        <f aca="false">IFERROR(AG996/Q996,0)</f>
        <v>0.798373596024376</v>
      </c>
      <c r="AI996" s="27" t="n">
        <v>419333875.612903</v>
      </c>
      <c r="AJ996" s="26" t="n">
        <f aca="false">IF(AI996&gt;0,AprCoef/SQRT(AI996),0)</f>
        <v>0.0231471948592136</v>
      </c>
      <c r="AK996" s="24" t="n">
        <f aca="false">AI996*AJ996/365</f>
        <v>26592.8847394003</v>
      </c>
      <c r="AL996" s="24" t="n">
        <f aca="false">AD996</f>
        <v>115356.705978754</v>
      </c>
      <c r="AM996" s="24" t="n">
        <f aca="false">AK996-AL996</f>
        <v>-88763.8212393536</v>
      </c>
      <c r="AN996" s="28" t="str">
        <f aca="false">IF(A996&gt;=Hip3LaunchDate,"YES","")</f>
        <v>YES</v>
      </c>
      <c r="AO996" s="28" t="str">
        <f aca="false">IF(A996&lt;Hip4LaunchDate,"pre-launch","live (zero-fee)")</f>
        <v>pre-launch</v>
      </c>
      <c r="AP996" s="30" t="n">
        <v>96</v>
      </c>
      <c r="AQ996" s="30" t="n">
        <v>67</v>
      </c>
      <c r="AR996" s="19" t="n">
        <v>165007.398101596</v>
      </c>
    </row>
    <row r="997" customFormat="false" ht="15" hidden="false" customHeight="false" outlineLevel="0" collapsed="false">
      <c r="A997" s="18" t="n">
        <v>46058</v>
      </c>
      <c r="B997" s="19" t="n">
        <v>20020496107.07</v>
      </c>
      <c r="C997" s="19" t="n">
        <v>5287058767.74</v>
      </c>
      <c r="D997" s="19" t="n">
        <v>661577186</v>
      </c>
      <c r="E997" s="21" t="n">
        <f aca="false">B997+C997</f>
        <v>25307554874.81</v>
      </c>
      <c r="F997" s="21" t="n">
        <f aca="false">E997+D997</f>
        <v>25969132060.81</v>
      </c>
      <c r="G997" s="22" t="n">
        <f aca="false">IFERROR(C997/E997,0)</f>
        <v>0.208912271212835</v>
      </c>
      <c r="H997" s="19" t="n">
        <v>7147661</v>
      </c>
      <c r="I997" s="19" t="n">
        <v>275345</v>
      </c>
      <c r="J997" s="19" t="n">
        <v>69102</v>
      </c>
      <c r="K997" s="21" t="n">
        <f aca="false">H997+I997</f>
        <v>7423006</v>
      </c>
      <c r="L997" s="19" t="n">
        <v>264281.371065264</v>
      </c>
      <c r="M997" s="21" t="n">
        <f aca="false">H997-L997</f>
        <v>6883379.62893474</v>
      </c>
      <c r="N997" s="23" t="n">
        <f aca="false">IFERROR(M997/B997*10000,0)</f>
        <v>3.43816636317217</v>
      </c>
      <c r="O997" s="19" t="n">
        <v>6642117</v>
      </c>
      <c r="P997" s="19" t="n">
        <v>199828</v>
      </c>
      <c r="Q997" s="21" t="n">
        <f aca="false">O997+P997</f>
        <v>6841945</v>
      </c>
      <c r="R997" s="22" t="n">
        <f aca="false">IF(A997&lt;HlpChangeDate,HlpSharePre,HlpSharePost)</f>
        <v>0.01</v>
      </c>
      <c r="S997" s="21" t="n">
        <f aca="false">Q997*R997/(1-R997)</f>
        <v>69110.5555555556</v>
      </c>
      <c r="T997" s="19" t="n">
        <v>69102</v>
      </c>
      <c r="U997" s="21" t="n">
        <f aca="false">S997-T997</f>
        <v>8.55555555554747</v>
      </c>
      <c r="V997" s="21" t="n">
        <f aca="false">Y997-O997*R997/(1-R997)</f>
        <v>438452.909090909</v>
      </c>
      <c r="W997" s="21" t="n">
        <f aca="false">Z997-P997*R997/(1-R997)</f>
        <v>73499.5353535354</v>
      </c>
      <c r="X997" s="21" t="n">
        <f aca="false">S997+V997+W997</f>
        <v>581063</v>
      </c>
      <c r="Y997" s="19" t="n">
        <v>505545</v>
      </c>
      <c r="Z997" s="19" t="n">
        <v>75518</v>
      </c>
      <c r="AA997" s="19" t="n">
        <v>6841945</v>
      </c>
      <c r="AB997" s="29" t="n">
        <v>33.03</v>
      </c>
      <c r="AC997" s="29" t="n">
        <v>33.744</v>
      </c>
      <c r="AD997" s="24" t="n">
        <f aca="false">IFERROR(AA997/AC997,0)</f>
        <v>202760.342579422</v>
      </c>
      <c r="AE997" s="25" t="n">
        <f aca="false">K997-Q997-X997</f>
        <v>-2</v>
      </c>
      <c r="AF997" s="25" t="n">
        <f aca="false">Q997-AA997</f>
        <v>0</v>
      </c>
      <c r="AG997" s="19" t="n">
        <v>5427197.21385896</v>
      </c>
      <c r="AH997" s="26" t="n">
        <f aca="false">IFERROR(AG997/Q997,0)</f>
        <v>0.79322432639534</v>
      </c>
      <c r="AI997" s="27" t="n">
        <v>419488642.359447</v>
      </c>
      <c r="AJ997" s="26" t="n">
        <f aca="false">IF(AI997&gt;0,AprCoef/SQRT(AI997),0)</f>
        <v>0.0231429244855198</v>
      </c>
      <c r="AK997" s="24" t="n">
        <f aca="false">AI997*AJ997/365</f>
        <v>26597.791705912</v>
      </c>
      <c r="AL997" s="24" t="n">
        <f aca="false">AD997</f>
        <v>202760.342579422</v>
      </c>
      <c r="AM997" s="24" t="n">
        <f aca="false">AK997-AL997</f>
        <v>-176162.55087351</v>
      </c>
      <c r="AN997" s="28" t="str">
        <f aca="false">IF(A997&gt;=Hip3LaunchDate,"YES","")</f>
        <v>YES</v>
      </c>
      <c r="AO997" s="28" t="str">
        <f aca="false">IF(A997&lt;Hip4LaunchDate,"pre-launch","live (zero-fee)")</f>
        <v>pre-launch</v>
      </c>
      <c r="AP997" s="30" t="n">
        <v>97</v>
      </c>
      <c r="AQ997" s="30" t="n">
        <v>67</v>
      </c>
      <c r="AR997" s="19" t="n">
        <v>238491.723777459</v>
      </c>
    </row>
    <row r="998" customFormat="false" ht="15" hidden="false" customHeight="false" outlineLevel="0" collapsed="false">
      <c r="A998" s="18" t="n">
        <v>46059</v>
      </c>
      <c r="B998" s="19" t="n">
        <v>13809374959.68</v>
      </c>
      <c r="C998" s="19" t="n">
        <v>3088162874.1</v>
      </c>
      <c r="D998" s="19" t="n">
        <v>527718065</v>
      </c>
      <c r="E998" s="21" t="n">
        <f aca="false">B998+C998</f>
        <v>16897537833.78</v>
      </c>
      <c r="F998" s="21" t="n">
        <f aca="false">E998+D998</f>
        <v>17425255898.78</v>
      </c>
      <c r="G998" s="22" t="n">
        <f aca="false">IFERROR(C998/E998,0)</f>
        <v>0.182758157104192</v>
      </c>
      <c r="H998" s="19" t="n">
        <v>5371538</v>
      </c>
      <c r="I998" s="19" t="n">
        <v>217386</v>
      </c>
      <c r="J998" s="19" t="n">
        <v>50503</v>
      </c>
      <c r="K998" s="21" t="n">
        <f aca="false">H998+I998</f>
        <v>5588924</v>
      </c>
      <c r="L998" s="19" t="n">
        <v>161447.88163461</v>
      </c>
      <c r="M998" s="21" t="n">
        <f aca="false">H998-L998</f>
        <v>5210090.11836539</v>
      </c>
      <c r="N998" s="23" t="n">
        <f aca="false">IFERROR(M998/B998*10000,0)</f>
        <v>3.77286454569999</v>
      </c>
      <c r="O998" s="19" t="n">
        <v>4842992</v>
      </c>
      <c r="P998" s="19" t="n">
        <v>156172</v>
      </c>
      <c r="Q998" s="21" t="n">
        <f aca="false">O998+P998</f>
        <v>4999164</v>
      </c>
      <c r="R998" s="22" t="n">
        <f aca="false">IF(A998&lt;HlpChangeDate,HlpSharePre,HlpSharePost)</f>
        <v>0.01</v>
      </c>
      <c r="S998" s="21" t="n">
        <f aca="false">Q998*R998/(1-R998)</f>
        <v>50496.6060606061</v>
      </c>
      <c r="T998" s="19" t="n">
        <v>50503</v>
      </c>
      <c r="U998" s="21" t="n">
        <f aca="false">S998-T998</f>
        <v>-6.39393939393631</v>
      </c>
      <c r="V998" s="21" t="n">
        <f aca="false">Y998-O998*R998/(1-R998)</f>
        <v>479626.888888889</v>
      </c>
      <c r="W998" s="21" t="n">
        <f aca="false">Z998-P998*R998/(1-R998)</f>
        <v>59636.5050505051</v>
      </c>
      <c r="X998" s="21" t="n">
        <f aca="false">S998+V998+W998</f>
        <v>589760</v>
      </c>
      <c r="Y998" s="19" t="n">
        <v>528546</v>
      </c>
      <c r="Z998" s="19" t="n">
        <v>61214</v>
      </c>
      <c r="AA998" s="19" t="n">
        <v>4999164</v>
      </c>
      <c r="AB998" s="29" t="n">
        <v>32.359</v>
      </c>
      <c r="AC998" s="29" t="n">
        <v>33.417</v>
      </c>
      <c r="AD998" s="24" t="n">
        <f aca="false">IFERROR(AA998/AC998,0)</f>
        <v>149599.42544214</v>
      </c>
      <c r="AE998" s="25" t="n">
        <f aca="false">K998-Q998-X998</f>
        <v>0</v>
      </c>
      <c r="AF998" s="25" t="n">
        <f aca="false">Q998-AA998</f>
        <v>0</v>
      </c>
      <c r="AG998" s="19" t="n">
        <v>3973864.35346401</v>
      </c>
      <c r="AH998" s="26" t="n">
        <f aca="false">IFERROR(AG998/Q998,0)</f>
        <v>0.79490577893904</v>
      </c>
      <c r="AI998" s="27" t="n">
        <v>419643409.105991</v>
      </c>
      <c r="AJ998" s="26" t="n">
        <f aca="false">IF(AI998&gt;0,AprCoef/SQRT(AI998),0)</f>
        <v>0.023138656474449</v>
      </c>
      <c r="AK998" s="24" t="n">
        <f aca="false">AI998*AJ998/365</f>
        <v>26602.6977673156</v>
      </c>
      <c r="AL998" s="24" t="n">
        <f aca="false">AD998</f>
        <v>149599.42544214</v>
      </c>
      <c r="AM998" s="24" t="n">
        <f aca="false">AK998-AL998</f>
        <v>-122996.727674825</v>
      </c>
      <c r="AN998" s="28" t="str">
        <f aca="false">IF(A998&gt;=Hip3LaunchDate,"YES","")</f>
        <v>YES</v>
      </c>
      <c r="AO998" s="28" t="str">
        <f aca="false">IF(A998&lt;Hip4LaunchDate,"pre-launch","live (zero-fee)")</f>
        <v>pre-launch</v>
      </c>
      <c r="AP998" s="30" t="n">
        <v>98</v>
      </c>
      <c r="AQ998" s="30" t="n">
        <v>68</v>
      </c>
      <c r="AR998" s="19" t="n">
        <v>140702.935775801</v>
      </c>
    </row>
    <row r="999" customFormat="false" ht="15" hidden="false" customHeight="false" outlineLevel="0" collapsed="false">
      <c r="A999" s="18" t="n">
        <v>46060</v>
      </c>
      <c r="B999" s="19" t="n">
        <v>6290232454.9</v>
      </c>
      <c r="C999" s="19" t="n">
        <v>154170328.32</v>
      </c>
      <c r="D999" s="19" t="n">
        <v>209507105</v>
      </c>
      <c r="E999" s="21" t="n">
        <f aca="false">B999+C999</f>
        <v>6444402783.22</v>
      </c>
      <c r="F999" s="21" t="n">
        <f aca="false">E999+D999</f>
        <v>6653909888.22</v>
      </c>
      <c r="G999" s="22" t="n">
        <f aca="false">IFERROR(C999/E999,0)</f>
        <v>0.0239231366359394</v>
      </c>
      <c r="H999" s="19" t="n">
        <v>2262199</v>
      </c>
      <c r="I999" s="19" t="n">
        <v>73305</v>
      </c>
      <c r="J999" s="19" t="n">
        <v>20903</v>
      </c>
      <c r="K999" s="21" t="n">
        <f aca="false">H999+I999</f>
        <v>2335504</v>
      </c>
      <c r="L999" s="19" t="n">
        <v>19524.7448106896</v>
      </c>
      <c r="M999" s="21" t="n">
        <f aca="false">H999-L999</f>
        <v>2242674.25518931</v>
      </c>
      <c r="N999" s="23" t="n">
        <f aca="false">IFERROR(M999/B999*10000,0)</f>
        <v>3.5653281039595</v>
      </c>
      <c r="O999" s="19" t="n">
        <v>2017159</v>
      </c>
      <c r="P999" s="19" t="n">
        <v>52536</v>
      </c>
      <c r="Q999" s="21" t="n">
        <f aca="false">O999+P999</f>
        <v>2069695</v>
      </c>
      <c r="R999" s="22" t="n">
        <f aca="false">IF(A999&lt;HlpChangeDate,HlpSharePre,HlpSharePost)</f>
        <v>0.01</v>
      </c>
      <c r="S999" s="21" t="n">
        <f aca="false">Q999*R999/(1-R999)</f>
        <v>20906.0101010101</v>
      </c>
      <c r="T999" s="19" t="n">
        <v>20903</v>
      </c>
      <c r="U999" s="21" t="n">
        <f aca="false">S999-T999</f>
        <v>3.01010101010252</v>
      </c>
      <c r="V999" s="21" t="n">
        <f aca="false">Y999-O999*R999/(1-R999)</f>
        <v>224664.656565657</v>
      </c>
      <c r="W999" s="21" t="n">
        <f aca="false">Z999-P999*R999/(1-R999)</f>
        <v>20238.3333333333</v>
      </c>
      <c r="X999" s="21" t="n">
        <f aca="false">S999+V999+W999</f>
        <v>265809</v>
      </c>
      <c r="Y999" s="19" t="n">
        <v>245040</v>
      </c>
      <c r="Z999" s="19" t="n">
        <v>20769</v>
      </c>
      <c r="AA999" s="19" t="n">
        <v>2069695</v>
      </c>
      <c r="AB999" s="29" t="n">
        <v>31.4</v>
      </c>
      <c r="AC999" s="29" t="n">
        <v>32.1565</v>
      </c>
      <c r="AD999" s="24" t="n">
        <f aca="false">IFERROR(AA999/AC999,0)</f>
        <v>64363.1925116228</v>
      </c>
      <c r="AE999" s="25" t="n">
        <f aca="false">K999-Q999-X999</f>
        <v>0</v>
      </c>
      <c r="AF999" s="25" t="n">
        <f aca="false">Q999-AA999</f>
        <v>0</v>
      </c>
      <c r="AG999" s="19" t="n">
        <v>1679689.61014605</v>
      </c>
      <c r="AH999" s="26" t="n">
        <f aca="false">IFERROR(AG999/Q999,0)</f>
        <v>0.811563834355326</v>
      </c>
      <c r="AI999" s="27" t="n">
        <v>419798175.852535</v>
      </c>
      <c r="AJ999" s="26" t="n">
        <f aca="false">IF(AI999&gt;0,AprCoef/SQRT(AI999),0)</f>
        <v>0.0231343908238235</v>
      </c>
      <c r="AK999" s="24" t="n">
        <f aca="false">AI999*AJ999/365</f>
        <v>26607.6029241116</v>
      </c>
      <c r="AL999" s="24" t="n">
        <f aca="false">AD999</f>
        <v>64363.1925116228</v>
      </c>
      <c r="AM999" s="24" t="n">
        <f aca="false">AK999-AL999</f>
        <v>-37755.5895875113</v>
      </c>
      <c r="AN999" s="28" t="str">
        <f aca="false">IF(A999&gt;=Hip3LaunchDate,"YES","")</f>
        <v>YES</v>
      </c>
      <c r="AO999" s="28" t="str">
        <f aca="false">IF(A999&lt;Hip4LaunchDate,"pre-launch","live (zero-fee)")</f>
        <v>pre-launch</v>
      </c>
      <c r="AP999" s="30" t="n">
        <v>98</v>
      </c>
      <c r="AQ999" s="30" t="n">
        <v>68</v>
      </c>
      <c r="AR999" s="19" t="n">
        <v>10773.9871141646</v>
      </c>
    </row>
    <row r="1000" customFormat="false" ht="15" hidden="false" customHeight="false" outlineLevel="0" collapsed="false">
      <c r="A1000" s="18" t="n">
        <v>46061</v>
      </c>
      <c r="B1000" s="19" t="n">
        <v>3613387085.94</v>
      </c>
      <c r="C1000" s="19" t="n">
        <v>268637350.74</v>
      </c>
      <c r="D1000" s="19" t="n">
        <v>113846302</v>
      </c>
      <c r="E1000" s="21" t="n">
        <f aca="false">B1000+C1000</f>
        <v>3882024436.68</v>
      </c>
      <c r="F1000" s="21" t="n">
        <f aca="false">E1000+D1000</f>
        <v>3995870738.68</v>
      </c>
      <c r="G1000" s="22" t="n">
        <f aca="false">IFERROR(C1000/E1000,0)</f>
        <v>0.0692003245012402</v>
      </c>
      <c r="H1000" s="19" t="n">
        <v>1496368</v>
      </c>
      <c r="I1000" s="19" t="n">
        <v>44772</v>
      </c>
      <c r="J1000" s="19" t="n">
        <v>13884</v>
      </c>
      <c r="K1000" s="21" t="n">
        <f aca="false">H1000+I1000</f>
        <v>1541140</v>
      </c>
      <c r="L1000" s="19" t="n">
        <v>25875.414148026</v>
      </c>
      <c r="M1000" s="21" t="n">
        <f aca="false">H1000-L1000</f>
        <v>1470492.58585197</v>
      </c>
      <c r="N1000" s="23" t="n">
        <f aca="false">IFERROR(M1000/B1000*10000,0)</f>
        <v>4.06956838799194</v>
      </c>
      <c r="O1000" s="19" t="n">
        <v>1340164</v>
      </c>
      <c r="P1000" s="19" t="n">
        <v>34527</v>
      </c>
      <c r="Q1000" s="21" t="n">
        <f aca="false">O1000+P1000</f>
        <v>1374691</v>
      </c>
      <c r="R1000" s="22" t="n">
        <f aca="false">IF(A1000&lt;HlpChangeDate,HlpSharePre,HlpSharePost)</f>
        <v>0.01</v>
      </c>
      <c r="S1000" s="21" t="n">
        <f aca="false">Q1000*R1000/(1-R1000)</f>
        <v>13885.7676767677</v>
      </c>
      <c r="T1000" s="19" t="n">
        <v>13884</v>
      </c>
      <c r="U1000" s="21" t="n">
        <f aca="false">S1000-T1000</f>
        <v>1.76767676767668</v>
      </c>
      <c r="V1000" s="21" t="n">
        <f aca="false">Y1000-O1000*R1000/(1-R1000)</f>
        <v>142666.98989899</v>
      </c>
      <c r="W1000" s="21" t="n">
        <f aca="false">Z1000-P1000*R1000/(1-R1000)</f>
        <v>9896.24242424242</v>
      </c>
      <c r="X1000" s="21" t="n">
        <f aca="false">S1000+V1000+W1000</f>
        <v>166449</v>
      </c>
      <c r="Y1000" s="19" t="n">
        <v>156204</v>
      </c>
      <c r="Z1000" s="19" t="n">
        <v>10245</v>
      </c>
      <c r="AA1000" s="19" t="n">
        <v>1374691</v>
      </c>
      <c r="AB1000" s="29" t="n">
        <v>32.436</v>
      </c>
      <c r="AC1000" s="29" t="n">
        <v>31.8405</v>
      </c>
      <c r="AD1000" s="24" t="n">
        <f aca="false">IFERROR(AA1000/AC1000,0)</f>
        <v>43174.290604733</v>
      </c>
      <c r="AE1000" s="25" t="n">
        <f aca="false">K1000-Q1000-X1000</f>
        <v>0</v>
      </c>
      <c r="AF1000" s="25" t="n">
        <f aca="false">Q1000-AA1000</f>
        <v>0</v>
      </c>
      <c r="AG1000" s="19" t="n">
        <v>1062247.7442019</v>
      </c>
      <c r="AH1000" s="26" t="n">
        <f aca="false">IFERROR(AG1000/Q1000,0)</f>
        <v>0.772717464653438</v>
      </c>
      <c r="AI1000" s="27" t="n">
        <v>419952942.599078</v>
      </c>
      <c r="AJ1000" s="26" t="n">
        <f aca="false">IF(AI1000&gt;0,AprCoef/SQRT(AI1000),0)</f>
        <v>0.0231301275314684</v>
      </c>
      <c r="AK1000" s="24" t="n">
        <f aca="false">AI1000*AJ1000/365</f>
        <v>26612.5071768003</v>
      </c>
      <c r="AL1000" s="24" t="n">
        <f aca="false">AD1000</f>
        <v>43174.290604733</v>
      </c>
      <c r="AM1000" s="24" t="n">
        <f aca="false">AK1000-AL1000</f>
        <v>-16561.7834279327</v>
      </c>
      <c r="AN1000" s="28" t="str">
        <f aca="false">IF(A1000&gt;=Hip3LaunchDate,"YES","")</f>
        <v>YES</v>
      </c>
      <c r="AO1000" s="28" t="str">
        <f aca="false">IF(A1000&lt;Hip4LaunchDate,"pre-launch","live (zero-fee)")</f>
        <v>pre-launch</v>
      </c>
      <c r="AP1000" s="30" t="n">
        <v>98</v>
      </c>
      <c r="AQ1000" s="30" t="n">
        <v>68</v>
      </c>
      <c r="AR1000" s="19" t="n">
        <v>21082.2444392423</v>
      </c>
    </row>
    <row r="1001" customFormat="false" ht="15" hidden="false" customHeight="false" outlineLevel="0" collapsed="false">
      <c r="A1001" s="18" t="n">
        <v>46062</v>
      </c>
      <c r="B1001" s="19" t="n">
        <v>5355649078.98</v>
      </c>
      <c r="C1001" s="19" t="n">
        <v>1365060008.21</v>
      </c>
      <c r="D1001" s="19" t="n">
        <v>153907485</v>
      </c>
      <c r="E1001" s="21" t="n">
        <f aca="false">B1001+C1001</f>
        <v>6720709087.19</v>
      </c>
      <c r="F1001" s="21" t="n">
        <f aca="false">E1001+D1001</f>
        <v>6874616572.19</v>
      </c>
      <c r="G1001" s="22" t="n">
        <f aca="false">IFERROR(C1001/E1001,0)</f>
        <v>0.203112497580333</v>
      </c>
      <c r="H1001" s="19" t="n">
        <v>2247951</v>
      </c>
      <c r="I1001" s="19" t="n">
        <v>59450</v>
      </c>
      <c r="J1001" s="19" t="n">
        <v>21115</v>
      </c>
      <c r="K1001" s="21" t="n">
        <f aca="false">H1001+I1001</f>
        <v>2307401</v>
      </c>
      <c r="L1001" s="19" t="n">
        <v>79357.787499644</v>
      </c>
      <c r="M1001" s="21" t="n">
        <f aca="false">H1001-L1001</f>
        <v>2168593.21250036</v>
      </c>
      <c r="N1001" s="23" t="n">
        <f aca="false">IFERROR(M1001/B1001*10000,0)</f>
        <v>4.04916972811328</v>
      </c>
      <c r="O1001" s="19" t="n">
        <v>2044947</v>
      </c>
      <c r="P1001" s="19" t="n">
        <v>45487</v>
      </c>
      <c r="Q1001" s="21" t="n">
        <f aca="false">O1001+P1001</f>
        <v>2090434</v>
      </c>
      <c r="R1001" s="22" t="n">
        <f aca="false">IF(A1001&lt;HlpChangeDate,HlpSharePre,HlpSharePost)</f>
        <v>0.01</v>
      </c>
      <c r="S1001" s="21" t="n">
        <f aca="false">Q1001*R1001/(1-R1001)</f>
        <v>21115.494949495</v>
      </c>
      <c r="T1001" s="19" t="n">
        <v>21115</v>
      </c>
      <c r="U1001" s="21" t="n">
        <f aca="false">S1001-T1001</f>
        <v>0.494949494950561</v>
      </c>
      <c r="V1001" s="21" t="n">
        <f aca="false">Y1001-O1001*R1001/(1-R1001)</f>
        <v>182347.96969697</v>
      </c>
      <c r="W1001" s="21" t="n">
        <f aca="false">Z1001-P1001*R1001/(1-R1001)</f>
        <v>13503.5353535354</v>
      </c>
      <c r="X1001" s="21" t="n">
        <f aca="false">S1001+V1001+W1001</f>
        <v>216967</v>
      </c>
      <c r="Y1001" s="19" t="n">
        <v>203004</v>
      </c>
      <c r="Z1001" s="19" t="n">
        <v>13963</v>
      </c>
      <c r="AA1001" s="19" t="n">
        <v>2090434</v>
      </c>
      <c r="AB1001" s="29" t="n">
        <v>31.339</v>
      </c>
      <c r="AC1001" s="29" t="n">
        <v>32.05275</v>
      </c>
      <c r="AD1001" s="24" t="n">
        <f aca="false">IFERROR(AA1001/AC1001,0)</f>
        <v>65218.5537902364</v>
      </c>
      <c r="AE1001" s="25" t="n">
        <f aca="false">K1001-Q1001-X1001</f>
        <v>0</v>
      </c>
      <c r="AF1001" s="25" t="n">
        <f aca="false">Q1001-AA1001</f>
        <v>0</v>
      </c>
      <c r="AG1001" s="19" t="n">
        <v>1674643.8469131</v>
      </c>
      <c r="AH1001" s="26" t="n">
        <f aca="false">IFERROR(AG1001/Q1001,0)</f>
        <v>0.801098645981217</v>
      </c>
      <c r="AI1001" s="27" t="n">
        <v>420107709.345622</v>
      </c>
      <c r="AJ1001" s="26" t="n">
        <f aca="false">IF(AI1001&gt;0,AprCoef/SQRT(AI1001),0)</f>
        <v>0.0231258665952114</v>
      </c>
      <c r="AK1001" s="24" t="n">
        <f aca="false">AI1001*AJ1001/365</f>
        <v>26617.4105258813</v>
      </c>
      <c r="AL1001" s="24" t="n">
        <f aca="false">AD1001</f>
        <v>65218.5537902364</v>
      </c>
      <c r="AM1001" s="24" t="n">
        <f aca="false">AK1001-AL1001</f>
        <v>-38601.1432643551</v>
      </c>
      <c r="AN1001" s="28" t="str">
        <f aca="false">IF(A1001&gt;=Hip3LaunchDate,"YES","")</f>
        <v>YES</v>
      </c>
      <c r="AO1001" s="28" t="str">
        <f aca="false">IF(A1001&lt;Hip4LaunchDate,"pre-launch","live (zero-fee)")</f>
        <v>pre-launch</v>
      </c>
      <c r="AP1001" s="30" t="n">
        <v>98</v>
      </c>
      <c r="AQ1001" s="30" t="n">
        <v>68</v>
      </c>
      <c r="AR1001" s="19" t="n">
        <v>73270.4785192124</v>
      </c>
    </row>
    <row r="1002" customFormat="false" ht="15" hidden="false" customHeight="false" outlineLevel="0" collapsed="false">
      <c r="A1002" s="18" t="n">
        <v>46063</v>
      </c>
      <c r="B1002" s="19" t="n">
        <v>4890772662.86</v>
      </c>
      <c r="C1002" s="19" t="n">
        <v>1121940128.05</v>
      </c>
      <c r="D1002" s="19" t="n">
        <v>161284369</v>
      </c>
      <c r="E1002" s="21" t="n">
        <f aca="false">B1002+C1002</f>
        <v>6012712790.91</v>
      </c>
      <c r="F1002" s="21" t="n">
        <f aca="false">E1002+D1002</f>
        <v>6173997159.91</v>
      </c>
      <c r="G1002" s="22" t="n">
        <f aca="false">IFERROR(C1002/E1002,0)</f>
        <v>0.186594664848477</v>
      </c>
      <c r="H1002" s="19" t="n">
        <v>1920792</v>
      </c>
      <c r="I1002" s="19" t="n">
        <v>64530</v>
      </c>
      <c r="J1002" s="19" t="n">
        <v>18176</v>
      </c>
      <c r="K1002" s="21" t="n">
        <f aca="false">H1002+I1002</f>
        <v>1985322</v>
      </c>
      <c r="L1002" s="19" t="n">
        <v>56282.1220033446</v>
      </c>
      <c r="M1002" s="21" t="n">
        <f aca="false">H1002-L1002</f>
        <v>1864509.87799666</v>
      </c>
      <c r="N1002" s="23" t="n">
        <f aca="false">IFERROR(M1002/B1002*10000,0)</f>
        <v>3.81230125897191</v>
      </c>
      <c r="O1002" s="19" t="n">
        <v>1750785</v>
      </c>
      <c r="P1002" s="19" t="n">
        <v>48654</v>
      </c>
      <c r="Q1002" s="21" t="n">
        <f aca="false">O1002+P1002</f>
        <v>1799439</v>
      </c>
      <c r="R1002" s="22" t="n">
        <f aca="false">IF(A1002&lt;HlpChangeDate,HlpSharePre,HlpSharePost)</f>
        <v>0.01</v>
      </c>
      <c r="S1002" s="21" t="n">
        <f aca="false">Q1002*R1002/(1-R1002)</f>
        <v>18176.1515151515</v>
      </c>
      <c r="T1002" s="19" t="n">
        <v>18176</v>
      </c>
      <c r="U1002" s="21" t="n">
        <f aca="false">S1002-T1002</f>
        <v>0.151515151515923</v>
      </c>
      <c r="V1002" s="21" t="n">
        <f aca="false">Y1002-O1002*R1002/(1-R1002)</f>
        <v>152322.303030303</v>
      </c>
      <c r="W1002" s="21" t="n">
        <f aca="false">Z1002-P1002*R1002/(1-R1002)</f>
        <v>15384.5454545455</v>
      </c>
      <c r="X1002" s="21" t="n">
        <f aca="false">S1002+V1002+W1002</f>
        <v>185883</v>
      </c>
      <c r="Y1002" s="19" t="n">
        <v>170007</v>
      </c>
      <c r="Z1002" s="19" t="n">
        <v>15876</v>
      </c>
      <c r="AA1002" s="19" t="n">
        <v>1799439</v>
      </c>
      <c r="AB1002" s="29" t="n">
        <v>28.827</v>
      </c>
      <c r="AC1002" s="29" t="n">
        <v>30.11425</v>
      </c>
      <c r="AD1002" s="24" t="n">
        <f aca="false">IFERROR(AA1002/AC1002,0)</f>
        <v>59753.7378483608</v>
      </c>
      <c r="AE1002" s="25" t="n">
        <f aca="false">K1002-Q1002-X1002</f>
        <v>0</v>
      </c>
      <c r="AF1002" s="25" t="n">
        <f aca="false">Q1002-AA1002</f>
        <v>0</v>
      </c>
      <c r="AG1002" s="19" t="n">
        <v>1413787.71781993</v>
      </c>
      <c r="AH1002" s="26" t="n">
        <f aca="false">IFERROR(AG1002/Q1002,0)</f>
        <v>0.785682492054429</v>
      </c>
      <c r="AI1002" s="27" t="n">
        <v>420262476.092166</v>
      </c>
      <c r="AJ1002" s="26" t="n">
        <f aca="false">IF(AI1002&gt;0,AprCoef/SQRT(AI1002),0)</f>
        <v>0.0231216080128832</v>
      </c>
      <c r="AK1002" s="24" t="n">
        <f aca="false">AI1002*AJ1002/365</f>
        <v>26622.3129718541</v>
      </c>
      <c r="AL1002" s="24" t="n">
        <f aca="false">AD1002</f>
        <v>59753.7378483608</v>
      </c>
      <c r="AM1002" s="24" t="n">
        <f aca="false">AK1002-AL1002</f>
        <v>-33131.4248765067</v>
      </c>
      <c r="AN1002" s="28" t="str">
        <f aca="false">IF(A1002&gt;=Hip3LaunchDate,"YES","")</f>
        <v>YES</v>
      </c>
      <c r="AO1002" s="28" t="str">
        <f aca="false">IF(A1002&lt;Hip4LaunchDate,"pre-launch","live (zero-fee)")</f>
        <v>pre-launch</v>
      </c>
      <c r="AP1002" s="30" t="n">
        <v>98</v>
      </c>
      <c r="AQ1002" s="30" t="n">
        <v>68</v>
      </c>
      <c r="AR1002" s="19" t="n">
        <v>51088.5407840914</v>
      </c>
    </row>
    <row r="1003" customFormat="false" ht="15" hidden="false" customHeight="false" outlineLevel="0" collapsed="false">
      <c r="A1003" s="18" t="n">
        <v>46064</v>
      </c>
      <c r="B1003" s="19" t="n">
        <v>6073821007.15</v>
      </c>
      <c r="C1003" s="19" t="n">
        <v>1378309412.19</v>
      </c>
      <c r="D1003" s="19" t="n">
        <v>173284691</v>
      </c>
      <c r="E1003" s="21" t="n">
        <f aca="false">B1003+C1003</f>
        <v>7452130419.34</v>
      </c>
      <c r="F1003" s="21" t="n">
        <f aca="false">E1003+D1003</f>
        <v>7625415110.34</v>
      </c>
      <c r="G1003" s="22" t="n">
        <f aca="false">IFERROR(C1003/E1003,0)</f>
        <v>0.184955084604125</v>
      </c>
      <c r="H1003" s="19" t="n">
        <v>2498638</v>
      </c>
      <c r="I1003" s="19" t="n">
        <v>74916</v>
      </c>
      <c r="J1003" s="19" t="n">
        <v>23529</v>
      </c>
      <c r="K1003" s="21" t="n">
        <f aca="false">H1003+I1003</f>
        <v>2573554</v>
      </c>
      <c r="L1003" s="19" t="n">
        <v>78530.9445018482</v>
      </c>
      <c r="M1003" s="21" t="n">
        <f aca="false">H1003-L1003</f>
        <v>2420107.05549815</v>
      </c>
      <c r="N1003" s="23" t="n">
        <f aca="false">IFERROR(M1003/B1003*10000,0)</f>
        <v>3.98448859893837</v>
      </c>
      <c r="O1003" s="19" t="n">
        <v>2271814</v>
      </c>
      <c r="P1003" s="19" t="n">
        <v>57516</v>
      </c>
      <c r="Q1003" s="21" t="n">
        <f aca="false">O1003+P1003</f>
        <v>2329330</v>
      </c>
      <c r="R1003" s="22" t="n">
        <f aca="false">IF(A1003&lt;HlpChangeDate,HlpSharePre,HlpSharePost)</f>
        <v>0.01</v>
      </c>
      <c r="S1003" s="21" t="n">
        <f aca="false">Q1003*R1003/(1-R1003)</f>
        <v>23528.5858585859</v>
      </c>
      <c r="T1003" s="19" t="n">
        <v>23529</v>
      </c>
      <c r="U1003" s="21" t="n">
        <f aca="false">S1003-T1003</f>
        <v>-0.414141414141341</v>
      </c>
      <c r="V1003" s="21" t="n">
        <f aca="false">Y1003-O1003*R1003/(1-R1003)</f>
        <v>203877.383838384</v>
      </c>
      <c r="W1003" s="21" t="n">
        <f aca="false">Z1003-P1003*R1003/(1-R1003)</f>
        <v>16819.0303030303</v>
      </c>
      <c r="X1003" s="21" t="n">
        <f aca="false">S1003+V1003+W1003</f>
        <v>244225</v>
      </c>
      <c r="Y1003" s="19" t="n">
        <v>226825</v>
      </c>
      <c r="Z1003" s="19" t="n">
        <v>17400</v>
      </c>
      <c r="AA1003" s="19" t="n">
        <v>2329330</v>
      </c>
      <c r="AB1003" s="29" t="n">
        <v>29.391</v>
      </c>
      <c r="AC1003" s="29" t="n">
        <v>29.17975</v>
      </c>
      <c r="AD1003" s="24" t="n">
        <f aca="false">IFERROR(AA1003/AC1003,0)</f>
        <v>79826.9347749724</v>
      </c>
      <c r="AE1003" s="25" t="n">
        <f aca="false">K1003-Q1003-X1003</f>
        <v>-1</v>
      </c>
      <c r="AF1003" s="25" t="n">
        <f aca="false">Q1003-AA1003</f>
        <v>0</v>
      </c>
      <c r="AG1003" s="19" t="n">
        <v>1791958.01296902</v>
      </c>
      <c r="AH1003" s="26" t="n">
        <f aca="false">IFERROR(AG1003/Q1003,0)</f>
        <v>0.769301907831444</v>
      </c>
      <c r="AI1003" s="27" t="n">
        <v>420417242.83871</v>
      </c>
      <c r="AJ1003" s="26" t="n">
        <f aca="false">IF(AI1003&gt;0,AprCoef/SQRT(AI1003),0)</f>
        <v>0.0231173517823173</v>
      </c>
      <c r="AK1003" s="24" t="n">
        <f aca="false">AI1003*AJ1003/365</f>
        <v>26627.2145152174</v>
      </c>
      <c r="AL1003" s="24" t="n">
        <f aca="false">AD1003</f>
        <v>79826.9347749724</v>
      </c>
      <c r="AM1003" s="24" t="n">
        <f aca="false">AK1003-AL1003</f>
        <v>-53199.7202597549</v>
      </c>
      <c r="AN1003" s="28" t="str">
        <f aca="false">IF(A1003&gt;=Hip3LaunchDate,"YES","")</f>
        <v>YES</v>
      </c>
      <c r="AO1003" s="28" t="str">
        <f aca="false">IF(A1003&lt;Hip4LaunchDate,"pre-launch","live (zero-fee)")</f>
        <v>pre-launch</v>
      </c>
      <c r="AP1003" s="30" t="n">
        <v>99</v>
      </c>
      <c r="AQ1003" s="30" t="n">
        <v>69</v>
      </c>
      <c r="AR1003" s="19" t="n">
        <v>67749.4015669793</v>
      </c>
    </row>
    <row r="1004" customFormat="false" ht="15" hidden="false" customHeight="false" outlineLevel="0" collapsed="false">
      <c r="A1004" s="18" t="n">
        <v>46065</v>
      </c>
      <c r="B1004" s="19" t="n">
        <v>4959760947.34</v>
      </c>
      <c r="C1004" s="19" t="n">
        <v>1817533711.43</v>
      </c>
      <c r="D1004" s="19" t="n">
        <v>135631971</v>
      </c>
      <c r="E1004" s="21" t="n">
        <f aca="false">B1004+C1004</f>
        <v>6777294658.77</v>
      </c>
      <c r="F1004" s="21" t="n">
        <f aca="false">E1004+D1004</f>
        <v>6912926629.77</v>
      </c>
      <c r="G1004" s="22" t="n">
        <f aca="false">IFERROR(C1004/E1004,0)</f>
        <v>0.268179827341292</v>
      </c>
      <c r="H1004" s="19" t="n">
        <v>1931543</v>
      </c>
      <c r="I1004" s="19" t="n">
        <v>57119</v>
      </c>
      <c r="J1004" s="19" t="n">
        <v>18346</v>
      </c>
      <c r="K1004" s="21" t="n">
        <f aca="false">H1004+I1004</f>
        <v>1988662</v>
      </c>
      <c r="L1004" s="19" t="n">
        <v>90162.8538833553</v>
      </c>
      <c r="M1004" s="21" t="n">
        <f aca="false">H1004-L1004</f>
        <v>1841380.14611664</v>
      </c>
      <c r="N1004" s="23" t="n">
        <f aca="false">IFERROR(M1004/B1004*10000,0)</f>
        <v>3.71263890672837</v>
      </c>
      <c r="O1004" s="19" t="n">
        <v>1770788</v>
      </c>
      <c r="P1004" s="19" t="n">
        <v>45473</v>
      </c>
      <c r="Q1004" s="21" t="n">
        <f aca="false">O1004+P1004</f>
        <v>1816261</v>
      </c>
      <c r="R1004" s="22" t="n">
        <f aca="false">IF(A1004&lt;HlpChangeDate,HlpSharePre,HlpSharePost)</f>
        <v>0.01</v>
      </c>
      <c r="S1004" s="21" t="n">
        <f aca="false">Q1004*R1004/(1-R1004)</f>
        <v>18346.0707070707</v>
      </c>
      <c r="T1004" s="19" t="n">
        <v>18346</v>
      </c>
      <c r="U1004" s="21" t="n">
        <f aca="false">S1004-T1004</f>
        <v>0.0707070707067032</v>
      </c>
      <c r="V1004" s="21" t="n">
        <f aca="false">Y1004-O1004*R1004/(1-R1004)</f>
        <v>142867.252525253</v>
      </c>
      <c r="W1004" s="21" t="n">
        <f aca="false">Z1004-P1004*R1004/(1-R1004)</f>
        <v>11185.6767676768</v>
      </c>
      <c r="X1004" s="21" t="n">
        <f aca="false">S1004+V1004+W1004</f>
        <v>172399</v>
      </c>
      <c r="Y1004" s="19" t="n">
        <v>160754</v>
      </c>
      <c r="Z1004" s="19" t="n">
        <v>11645</v>
      </c>
      <c r="AA1004" s="19" t="n">
        <v>1816261</v>
      </c>
      <c r="AB1004" s="29" t="n">
        <v>31.085</v>
      </c>
      <c r="AC1004" s="29" t="n">
        <v>30.39075</v>
      </c>
      <c r="AD1004" s="24" t="n">
        <f aca="false">IFERROR(AA1004/AC1004,0)</f>
        <v>59763.6122833428</v>
      </c>
      <c r="AE1004" s="25" t="n">
        <f aca="false">K1004-Q1004-X1004</f>
        <v>2</v>
      </c>
      <c r="AF1004" s="25" t="n">
        <f aca="false">Q1004-AA1004</f>
        <v>0</v>
      </c>
      <c r="AG1004" s="19" t="n">
        <v>1518053.97176206</v>
      </c>
      <c r="AH1004" s="26" t="n">
        <f aca="false">IFERROR(AG1004/Q1004,0)</f>
        <v>0.835812678773624</v>
      </c>
      <c r="AI1004" s="27" t="n">
        <v>420572009.585254</v>
      </c>
      <c r="AJ1004" s="26" t="n">
        <f aca="false">IF(AI1004&gt;0,AprCoef/SQRT(AI1004),0)</f>
        <v>0.0231130979013499</v>
      </c>
      <c r="AK1004" s="24" t="n">
        <f aca="false">AI1004*AJ1004/365</f>
        <v>26632.1151564697</v>
      </c>
      <c r="AL1004" s="24" t="n">
        <f aca="false">AD1004</f>
        <v>59763.6122833428</v>
      </c>
      <c r="AM1004" s="24" t="n">
        <f aca="false">AK1004-AL1004</f>
        <v>-33131.4971268731</v>
      </c>
      <c r="AN1004" s="28" t="str">
        <f aca="false">IF(A1004&gt;=Hip3LaunchDate,"YES","")</f>
        <v>YES</v>
      </c>
      <c r="AO1004" s="28" t="str">
        <f aca="false">IF(A1004&lt;Hip4LaunchDate,"pre-launch","live (zero-fee)")</f>
        <v>pre-launch</v>
      </c>
      <c r="AP1004" s="30" t="n">
        <v>99</v>
      </c>
      <c r="AQ1004" s="30" t="n">
        <v>69</v>
      </c>
      <c r="AR1004" s="19" t="n">
        <v>79521.0584475155</v>
      </c>
    </row>
    <row r="1005" customFormat="false" ht="15" hidden="false" customHeight="false" outlineLevel="0" collapsed="false">
      <c r="A1005" s="18" t="n">
        <v>46066</v>
      </c>
      <c r="B1005" s="19" t="n">
        <v>4176929200.79</v>
      </c>
      <c r="C1005" s="19" t="n">
        <v>1457985348.84</v>
      </c>
      <c r="D1005" s="19" t="n">
        <v>120931518</v>
      </c>
      <c r="E1005" s="21" t="n">
        <f aca="false">B1005+C1005</f>
        <v>5634914549.63</v>
      </c>
      <c r="F1005" s="21" t="n">
        <f aca="false">E1005+D1005</f>
        <v>5755846067.63</v>
      </c>
      <c r="G1005" s="22" t="n">
        <f aca="false">IFERROR(C1005/E1005,0)</f>
        <v>0.258741341328013</v>
      </c>
      <c r="H1005" s="19" t="n">
        <v>1725142</v>
      </c>
      <c r="I1005" s="19" t="n">
        <v>51109</v>
      </c>
      <c r="J1005" s="19" t="n">
        <v>16113</v>
      </c>
      <c r="K1005" s="21" t="n">
        <f aca="false">H1005+I1005</f>
        <v>1776251</v>
      </c>
      <c r="L1005" s="19" t="n">
        <v>65887.2755669329</v>
      </c>
      <c r="M1005" s="21" t="n">
        <f aca="false">H1005-L1005</f>
        <v>1659254.72443307</v>
      </c>
      <c r="N1005" s="23" t="n">
        <f aca="false">IFERROR(M1005/B1005*10000,0)</f>
        <v>3.97242721786916</v>
      </c>
      <c r="O1005" s="19" t="n">
        <v>1556306</v>
      </c>
      <c r="P1005" s="19" t="n">
        <v>38899</v>
      </c>
      <c r="Q1005" s="21" t="n">
        <f aca="false">O1005+P1005</f>
        <v>1595205</v>
      </c>
      <c r="R1005" s="22" t="n">
        <f aca="false">IF(A1005&lt;HlpChangeDate,HlpSharePre,HlpSharePost)</f>
        <v>0.01</v>
      </c>
      <c r="S1005" s="21" t="n">
        <f aca="false">Q1005*R1005/(1-R1005)</f>
        <v>16113.1818181818</v>
      </c>
      <c r="T1005" s="19" t="n">
        <v>16113</v>
      </c>
      <c r="U1005" s="21" t="n">
        <f aca="false">S1005-T1005</f>
        <v>0.181818181819835</v>
      </c>
      <c r="V1005" s="21" t="n">
        <f aca="false">Y1005-O1005*R1005/(1-R1005)</f>
        <v>153115.737373737</v>
      </c>
      <c r="W1005" s="21" t="n">
        <f aca="false">Z1005-P1005*R1005/(1-R1005)</f>
        <v>11817.0808080808</v>
      </c>
      <c r="X1005" s="21" t="n">
        <f aca="false">S1005+V1005+W1005</f>
        <v>181046</v>
      </c>
      <c r="Y1005" s="19" t="n">
        <v>168836</v>
      </c>
      <c r="Z1005" s="19" t="n">
        <v>12210</v>
      </c>
      <c r="AA1005" s="19" t="n">
        <v>1595205</v>
      </c>
      <c r="AB1005" s="29" t="n">
        <v>31.563</v>
      </c>
      <c r="AC1005" s="29" t="n">
        <v>31.23625</v>
      </c>
      <c r="AD1005" s="24" t="n">
        <f aca="false">IFERROR(AA1005/AC1005,0)</f>
        <v>51069.0303733643</v>
      </c>
      <c r="AE1005" s="25" t="n">
        <f aca="false">K1005-Q1005-X1005</f>
        <v>0</v>
      </c>
      <c r="AF1005" s="25" t="n">
        <f aca="false">Q1005-AA1005</f>
        <v>0</v>
      </c>
      <c r="AG1005" s="19" t="n">
        <v>1268161.83659399</v>
      </c>
      <c r="AH1005" s="26" t="n">
        <f aca="false">IFERROR(AG1005/Q1005,0)</f>
        <v>0.794983614390618</v>
      </c>
      <c r="AI1005" s="27" t="n">
        <v>420726776.331797</v>
      </c>
      <c r="AJ1005" s="26" t="n">
        <f aca="false">IF(AI1005&gt;0,AprCoef/SQRT(AI1005),0)</f>
        <v>0.02310884636782</v>
      </c>
      <c r="AK1005" s="24" t="n">
        <f aca="false">AI1005*AJ1005/365</f>
        <v>26637.0148961087</v>
      </c>
      <c r="AL1005" s="24" t="n">
        <f aca="false">AD1005</f>
        <v>51069.0303733643</v>
      </c>
      <c r="AM1005" s="24" t="n">
        <f aca="false">AK1005-AL1005</f>
        <v>-24432.0154772556</v>
      </c>
      <c r="AN1005" s="28" t="str">
        <f aca="false">IF(A1005&gt;=Hip3LaunchDate,"YES","")</f>
        <v>YES</v>
      </c>
      <c r="AO1005" s="28" t="str">
        <f aca="false">IF(A1005&lt;Hip4LaunchDate,"pre-launch","live (zero-fee)")</f>
        <v>pre-launch</v>
      </c>
      <c r="AP1005" s="30" t="n">
        <v>99</v>
      </c>
      <c r="AQ1005" s="30" t="n">
        <v>69</v>
      </c>
      <c r="AR1005" s="19" t="n">
        <v>57883.4512756159</v>
      </c>
    </row>
    <row r="1006" customFormat="false" ht="15" hidden="false" customHeight="false" outlineLevel="0" collapsed="false">
      <c r="A1006" s="18" t="n">
        <v>46067</v>
      </c>
      <c r="B1006" s="19" t="n">
        <v>2558509697.51</v>
      </c>
      <c r="C1006" s="19" t="n">
        <v>110989746.99</v>
      </c>
      <c r="D1006" s="19" t="n">
        <v>57585932</v>
      </c>
      <c r="E1006" s="21" t="n">
        <f aca="false">B1006+C1006</f>
        <v>2669499444.5</v>
      </c>
      <c r="F1006" s="21" t="n">
        <f aca="false">E1006+D1006</f>
        <v>2727085376.5</v>
      </c>
      <c r="G1006" s="22" t="n">
        <f aca="false">IFERROR(C1006/E1006,0)</f>
        <v>0.0415769882322596</v>
      </c>
      <c r="H1006" s="19" t="n">
        <v>1026385</v>
      </c>
      <c r="I1006" s="19" t="n">
        <v>26581</v>
      </c>
      <c r="J1006" s="19" t="n">
        <v>9513</v>
      </c>
      <c r="K1006" s="21" t="n">
        <f aca="false">H1006+I1006</f>
        <v>1052966</v>
      </c>
      <c r="L1006" s="19" t="n">
        <v>10460.2799366355</v>
      </c>
      <c r="M1006" s="21" t="n">
        <f aca="false">H1006-L1006</f>
        <v>1015924.72006336</v>
      </c>
      <c r="N1006" s="23" t="n">
        <f aca="false">IFERROR(M1006/B1006*10000,0)</f>
        <v>3.97076751771582</v>
      </c>
      <c r="O1006" s="19" t="n">
        <v>920742</v>
      </c>
      <c r="P1006" s="19" t="n">
        <v>21045</v>
      </c>
      <c r="Q1006" s="21" t="n">
        <f aca="false">O1006+P1006</f>
        <v>941787</v>
      </c>
      <c r="R1006" s="22" t="n">
        <f aca="false">IF(A1006&lt;HlpChangeDate,HlpSharePre,HlpSharePost)</f>
        <v>0.01</v>
      </c>
      <c r="S1006" s="21" t="n">
        <f aca="false">Q1006*R1006/(1-R1006)</f>
        <v>9513</v>
      </c>
      <c r="T1006" s="19" t="n">
        <v>9513</v>
      </c>
      <c r="U1006" s="21" t="n">
        <f aca="false">S1006-T1006</f>
        <v>0</v>
      </c>
      <c r="V1006" s="21" t="n">
        <f aca="false">Y1006-O1006*R1006/(1-R1006)</f>
        <v>96341.5757575758</v>
      </c>
      <c r="W1006" s="21" t="n">
        <f aca="false">Z1006-P1006*R1006/(1-R1006)</f>
        <v>5323.42424242424</v>
      </c>
      <c r="X1006" s="21" t="n">
        <f aca="false">S1006+V1006+W1006</f>
        <v>111178</v>
      </c>
      <c r="Y1006" s="19" t="n">
        <v>105642</v>
      </c>
      <c r="Z1006" s="19" t="n">
        <v>5536</v>
      </c>
      <c r="AA1006" s="19" t="n">
        <v>941787</v>
      </c>
      <c r="AB1006" s="29" t="n">
        <v>31.829</v>
      </c>
      <c r="AC1006" s="29" t="n">
        <v>31.60725</v>
      </c>
      <c r="AD1006" s="24" t="n">
        <f aca="false">IFERROR(AA1006/AC1006,0)</f>
        <v>29796.5498422039</v>
      </c>
      <c r="AE1006" s="25" t="n">
        <f aca="false">K1006-Q1006-X1006</f>
        <v>1</v>
      </c>
      <c r="AF1006" s="25" t="n">
        <f aca="false">Q1006-AA1006</f>
        <v>0</v>
      </c>
      <c r="AG1006" s="19" t="n">
        <v>759731.620823026</v>
      </c>
      <c r="AH1006" s="26" t="n">
        <f aca="false">IFERROR(AG1006/Q1006,0)</f>
        <v>0.806691556395476</v>
      </c>
      <c r="AI1006" s="27" t="n">
        <v>420881543.078341</v>
      </c>
      <c r="AJ1006" s="26" t="n">
        <f aca="false">IF(AI1006&gt;0,AprCoef/SQRT(AI1006),0)</f>
        <v>0.0231045971795694</v>
      </c>
      <c r="AK1006" s="24" t="n">
        <f aca="false">AI1006*AJ1006/365</f>
        <v>26641.9137346319</v>
      </c>
      <c r="AL1006" s="24" t="n">
        <f aca="false">AD1006</f>
        <v>29796.5498422039</v>
      </c>
      <c r="AM1006" s="24" t="n">
        <f aca="false">AK1006-AL1006</f>
        <v>-3154.63610757202</v>
      </c>
      <c r="AN1006" s="28" t="str">
        <f aca="false">IF(A1006&gt;=Hip3LaunchDate,"YES","")</f>
        <v>YES</v>
      </c>
      <c r="AO1006" s="28" t="str">
        <f aca="false">IF(A1006&lt;Hip4LaunchDate,"pre-launch","live (zero-fee)")</f>
        <v>pre-launch</v>
      </c>
      <c r="AP1006" s="30" t="n">
        <v>99</v>
      </c>
      <c r="AQ1006" s="30" t="n">
        <v>69</v>
      </c>
      <c r="AR1006" s="19" t="n">
        <v>6022.50581998111</v>
      </c>
    </row>
    <row r="1007" customFormat="false" ht="15" hidden="false" customHeight="false" outlineLevel="0" collapsed="false">
      <c r="A1007" s="18" t="n">
        <v>46068</v>
      </c>
      <c r="B1007" s="19" t="n">
        <v>3378583385.42</v>
      </c>
      <c r="C1007" s="19" t="n">
        <v>261444231.63</v>
      </c>
      <c r="D1007" s="19" t="n">
        <v>64873396</v>
      </c>
      <c r="E1007" s="21" t="n">
        <f aca="false">B1007+C1007</f>
        <v>3640027617.05</v>
      </c>
      <c r="F1007" s="21" t="n">
        <f aca="false">E1007+D1007</f>
        <v>3704901013.05</v>
      </c>
      <c r="G1007" s="22" t="n">
        <f aca="false">IFERROR(C1007/E1007,0)</f>
        <v>0.0718247934178816</v>
      </c>
      <c r="H1007" s="19" t="n">
        <v>1381259</v>
      </c>
      <c r="I1007" s="19" t="n">
        <v>28320</v>
      </c>
      <c r="J1007" s="19" t="n">
        <v>12746</v>
      </c>
      <c r="K1007" s="21" t="n">
        <f aca="false">H1007+I1007</f>
        <v>1409579</v>
      </c>
      <c r="L1007" s="19" t="n">
        <v>21538.8642393584</v>
      </c>
      <c r="M1007" s="21" t="n">
        <f aca="false">H1007-L1007</f>
        <v>1359720.13576064</v>
      </c>
      <c r="N1007" s="23" t="n">
        <f aca="false">IFERROR(M1007/B1007*10000,0)</f>
        <v>4.02452738514137</v>
      </c>
      <c r="O1007" s="19" t="n">
        <v>1240226</v>
      </c>
      <c r="P1007" s="19" t="n">
        <v>21614</v>
      </c>
      <c r="Q1007" s="21" t="n">
        <f aca="false">O1007+P1007</f>
        <v>1261840</v>
      </c>
      <c r="R1007" s="22" t="n">
        <f aca="false">IF(A1007&lt;HlpChangeDate,HlpSharePre,HlpSharePost)</f>
        <v>0.01</v>
      </c>
      <c r="S1007" s="21" t="n">
        <f aca="false">Q1007*R1007/(1-R1007)</f>
        <v>12745.8585858586</v>
      </c>
      <c r="T1007" s="19" t="n">
        <v>12746</v>
      </c>
      <c r="U1007" s="21" t="n">
        <f aca="false">S1007-T1007</f>
        <v>-0.141414141415225</v>
      </c>
      <c r="V1007" s="21" t="n">
        <f aca="false">Y1007-O1007*R1007/(1-R1007)</f>
        <v>128505.464646465</v>
      </c>
      <c r="W1007" s="21" t="n">
        <f aca="false">Z1007-P1007*R1007/(1-R1007)</f>
        <v>6488.67676767677</v>
      </c>
      <c r="X1007" s="21" t="n">
        <f aca="false">S1007+V1007+W1007</f>
        <v>147740</v>
      </c>
      <c r="Y1007" s="19" t="n">
        <v>141033</v>
      </c>
      <c r="Z1007" s="19" t="n">
        <v>6707</v>
      </c>
      <c r="AA1007" s="19" t="n">
        <v>1261840</v>
      </c>
      <c r="AB1007" s="29" t="n">
        <v>30.701</v>
      </c>
      <c r="AC1007" s="29" t="n">
        <v>31.20575</v>
      </c>
      <c r="AD1007" s="24" t="n">
        <f aca="false">IFERROR(AA1007/AC1007,0)</f>
        <v>40436.1375708003</v>
      </c>
      <c r="AE1007" s="25" t="n">
        <f aca="false">K1007-Q1007-X1007</f>
        <v>-1</v>
      </c>
      <c r="AF1007" s="25" t="n">
        <f aca="false">Q1007-AA1007</f>
        <v>0</v>
      </c>
      <c r="AG1007" s="19" t="n">
        <v>1008458.99423099</v>
      </c>
      <c r="AH1007" s="26" t="n">
        <f aca="false">IFERROR(AG1007/Q1007,0)</f>
        <v>0.79919719951102</v>
      </c>
      <c r="AI1007" s="27" t="n">
        <v>421036309.824885</v>
      </c>
      <c r="AJ1007" s="26" t="n">
        <f aca="false">IF(AI1007&gt;0,AprCoef/SQRT(AI1007),0)</f>
        <v>0.0231003503344427</v>
      </c>
      <c r="AK1007" s="24" t="n">
        <f aca="false">AI1007*AJ1007/365</f>
        <v>26646.8116725364</v>
      </c>
      <c r="AL1007" s="24" t="n">
        <f aca="false">AD1007</f>
        <v>40436.1375708003</v>
      </c>
      <c r="AM1007" s="24" t="n">
        <f aca="false">AK1007-AL1007</f>
        <v>-13789.3258982639</v>
      </c>
      <c r="AN1007" s="28" t="str">
        <f aca="false">IF(A1007&gt;=Hip3LaunchDate,"YES","")</f>
        <v>YES</v>
      </c>
      <c r="AO1007" s="28" t="str">
        <f aca="false">IF(A1007&lt;Hip4LaunchDate,"pre-launch","live (zero-fee)")</f>
        <v>pre-launch</v>
      </c>
      <c r="AP1007" s="30" t="n">
        <v>99</v>
      </c>
      <c r="AQ1007" s="30" t="n">
        <v>69</v>
      </c>
      <c r="AR1007" s="19" t="n">
        <v>14768.9900510513</v>
      </c>
    </row>
    <row r="1008" customFormat="false" ht="15" hidden="false" customHeight="false" outlineLevel="0" collapsed="false">
      <c r="A1008" s="18" t="n">
        <v>46069</v>
      </c>
      <c r="B1008" s="19" t="n">
        <v>3258245724.38</v>
      </c>
      <c r="C1008" s="19" t="n">
        <v>440376955.43</v>
      </c>
      <c r="D1008" s="19" t="n">
        <v>69678119</v>
      </c>
      <c r="E1008" s="21" t="n">
        <f aca="false">B1008+C1008</f>
        <v>3698622679.81</v>
      </c>
      <c r="F1008" s="21" t="n">
        <f aca="false">E1008+D1008</f>
        <v>3768300798.81</v>
      </c>
      <c r="G1008" s="22" t="n">
        <f aca="false">IFERROR(C1008/E1008,0)</f>
        <v>0.119065120601224</v>
      </c>
      <c r="H1008" s="19" t="n">
        <v>1279554</v>
      </c>
      <c r="I1008" s="19" t="n">
        <v>32589</v>
      </c>
      <c r="J1008" s="19" t="n">
        <v>11945</v>
      </c>
      <c r="K1008" s="21" t="n">
        <f aca="false">H1008+I1008</f>
        <v>1312143</v>
      </c>
      <c r="L1008" s="19" t="n">
        <v>26793.7890784566</v>
      </c>
      <c r="M1008" s="21" t="n">
        <f aca="false">H1008-L1008</f>
        <v>1252760.21092154</v>
      </c>
      <c r="N1008" s="23" t="n">
        <f aca="false">IFERROR(M1008/B1008*10000,0)</f>
        <v>3.84489175125037</v>
      </c>
      <c r="O1008" s="19" t="n">
        <v>1158303</v>
      </c>
      <c r="P1008" s="19" t="n">
        <v>24203</v>
      </c>
      <c r="Q1008" s="21" t="n">
        <f aca="false">O1008+P1008</f>
        <v>1182506</v>
      </c>
      <c r="R1008" s="22" t="n">
        <f aca="false">IF(A1008&lt;HlpChangeDate,HlpSharePre,HlpSharePost)</f>
        <v>0.01</v>
      </c>
      <c r="S1008" s="21" t="n">
        <f aca="false">Q1008*R1008/(1-R1008)</f>
        <v>11944.5050505051</v>
      </c>
      <c r="T1008" s="19" t="n">
        <v>11945</v>
      </c>
      <c r="U1008" s="21" t="n">
        <f aca="false">S1008-T1008</f>
        <v>-0.494949494950561</v>
      </c>
      <c r="V1008" s="21" t="n">
        <f aca="false">Y1008-O1008*R1008/(1-R1008)</f>
        <v>109549.96969697</v>
      </c>
      <c r="W1008" s="21" t="n">
        <f aca="false">Z1008-P1008*R1008/(1-R1008)</f>
        <v>8140.52525252525</v>
      </c>
      <c r="X1008" s="21" t="n">
        <f aca="false">S1008+V1008+W1008</f>
        <v>129635</v>
      </c>
      <c r="Y1008" s="19" t="n">
        <v>121250</v>
      </c>
      <c r="Z1008" s="19" t="n">
        <v>8385</v>
      </c>
      <c r="AA1008" s="19" t="n">
        <v>1182506</v>
      </c>
      <c r="AB1008" s="29" t="n">
        <v>31.203</v>
      </c>
      <c r="AC1008" s="29" t="n">
        <v>30.66575</v>
      </c>
      <c r="AD1008" s="24" t="n">
        <f aca="false">IFERROR(AA1008/AC1008,0)</f>
        <v>38561.1309033694</v>
      </c>
      <c r="AE1008" s="25" t="n">
        <f aca="false">K1008-Q1008-X1008</f>
        <v>2</v>
      </c>
      <c r="AF1008" s="25" t="n">
        <f aca="false">Q1008-AA1008</f>
        <v>0</v>
      </c>
      <c r="AG1008" s="19" t="n">
        <v>972778.937173009</v>
      </c>
      <c r="AH1008" s="26" t="n">
        <f aca="false">IFERROR(AG1008/Q1008,0)</f>
        <v>0.822641861582951</v>
      </c>
      <c r="AI1008" s="27" t="n">
        <v>421191076.571429</v>
      </c>
      <c r="AJ1008" s="26" t="n">
        <f aca="false">IF(AI1008&gt;0,AprCoef/SQRT(AI1008),0)</f>
        <v>0.0230961058302872</v>
      </c>
      <c r="AK1008" s="24" t="n">
        <f aca="false">AI1008*AJ1008/365</f>
        <v>26651.7087103187</v>
      </c>
      <c r="AL1008" s="24" t="n">
        <f aca="false">AD1008</f>
        <v>38561.1309033694</v>
      </c>
      <c r="AM1008" s="24" t="n">
        <f aca="false">AK1008-AL1008</f>
        <v>-11909.4221930507</v>
      </c>
      <c r="AN1008" s="28" t="str">
        <f aca="false">IF(A1008&gt;=Hip3LaunchDate,"YES","")</f>
        <v>YES</v>
      </c>
      <c r="AO1008" s="28" t="str">
        <f aca="false">IF(A1008&lt;Hip4LaunchDate,"pre-launch","live (zero-fee)")</f>
        <v>pre-launch</v>
      </c>
      <c r="AP1008" s="30" t="n">
        <v>99</v>
      </c>
      <c r="AQ1008" s="30" t="n">
        <v>69</v>
      </c>
      <c r="AR1008" s="19" t="n">
        <v>22600.6531250681</v>
      </c>
    </row>
    <row r="1009" customFormat="false" ht="15" hidden="false" customHeight="false" outlineLevel="0" collapsed="false">
      <c r="A1009" s="18" t="n">
        <v>46070</v>
      </c>
      <c r="B1009" s="19" t="n">
        <v>4233647628.23</v>
      </c>
      <c r="C1009" s="19" t="n">
        <v>1356915465.98</v>
      </c>
      <c r="D1009" s="19" t="n">
        <v>90934681</v>
      </c>
      <c r="E1009" s="21" t="n">
        <f aca="false">B1009+C1009</f>
        <v>5590563094.21</v>
      </c>
      <c r="F1009" s="21" t="n">
        <f aca="false">E1009+D1009</f>
        <v>5681497775.21</v>
      </c>
      <c r="G1009" s="22" t="n">
        <f aca="false">IFERROR(C1009/E1009,0)</f>
        <v>0.242715347830583</v>
      </c>
      <c r="H1009" s="19" t="n">
        <v>1670170</v>
      </c>
      <c r="I1009" s="19" t="n">
        <v>41760</v>
      </c>
      <c r="J1009" s="19" t="n">
        <v>15780</v>
      </c>
      <c r="K1009" s="21" t="n">
        <f aca="false">H1009+I1009</f>
        <v>1711930</v>
      </c>
      <c r="L1009" s="19" t="n">
        <v>72151.1224547355</v>
      </c>
      <c r="M1009" s="21" t="n">
        <f aca="false">H1009-L1009</f>
        <v>1598018.87754526</v>
      </c>
      <c r="N1009" s="23" t="n">
        <f aca="false">IFERROR(M1009/B1009*10000,0)</f>
        <v>3.77456750743652</v>
      </c>
      <c r="O1009" s="19" t="n">
        <v>1530265</v>
      </c>
      <c r="P1009" s="19" t="n">
        <v>31978</v>
      </c>
      <c r="Q1009" s="21" t="n">
        <f aca="false">O1009+P1009</f>
        <v>1562243</v>
      </c>
      <c r="R1009" s="22" t="n">
        <f aca="false">IF(A1009&lt;HlpChangeDate,HlpSharePre,HlpSharePost)</f>
        <v>0.01</v>
      </c>
      <c r="S1009" s="21" t="n">
        <f aca="false">Q1009*R1009/(1-R1009)</f>
        <v>15780.2323232323</v>
      </c>
      <c r="T1009" s="19" t="n">
        <v>15780</v>
      </c>
      <c r="U1009" s="21" t="n">
        <f aca="false">S1009-T1009</f>
        <v>0.232323232323324</v>
      </c>
      <c r="V1009" s="21" t="n">
        <f aca="false">Y1009-O1009*R1009/(1-R1009)</f>
        <v>124447.777777778</v>
      </c>
      <c r="W1009" s="21" t="n">
        <f aca="false">Z1009-P1009*R1009/(1-R1009)</f>
        <v>9458.9898989899</v>
      </c>
      <c r="X1009" s="21" t="n">
        <f aca="false">S1009+V1009+W1009</f>
        <v>149687</v>
      </c>
      <c r="Y1009" s="19" t="n">
        <v>139905</v>
      </c>
      <c r="Z1009" s="19" t="n">
        <v>9782</v>
      </c>
      <c r="AA1009" s="19" t="n">
        <v>1562243</v>
      </c>
      <c r="AB1009" s="29" t="n">
        <v>29.5</v>
      </c>
      <c r="AC1009" s="29" t="n">
        <v>30.27525</v>
      </c>
      <c r="AD1009" s="24" t="n">
        <f aca="false">IFERROR(AA1009/AC1009,0)</f>
        <v>51601.3245142484</v>
      </c>
      <c r="AE1009" s="25" t="n">
        <f aca="false">K1009-Q1009-X1009</f>
        <v>0</v>
      </c>
      <c r="AF1009" s="25" t="n">
        <f aca="false">Q1009-AA1009</f>
        <v>0</v>
      </c>
      <c r="AG1009" s="19" t="n">
        <v>1306893.00433898</v>
      </c>
      <c r="AH1009" s="26" t="n">
        <f aca="false">IFERROR(AG1009/Q1009,0)</f>
        <v>0.836549118375938</v>
      </c>
      <c r="AI1009" s="27" t="n">
        <v>421345843.317972</v>
      </c>
      <c r="AJ1009" s="26" t="n">
        <f aca="false">IF(AI1009&gt;0,AprCoef/SQRT(AI1009),0)</f>
        <v>0.0230918636649531</v>
      </c>
      <c r="AK1009" s="24" t="n">
        <f aca="false">AI1009*AJ1009/365</f>
        <v>26656.6048484748</v>
      </c>
      <c r="AL1009" s="24" t="n">
        <f aca="false">AD1009</f>
        <v>51601.3245142484</v>
      </c>
      <c r="AM1009" s="24" t="n">
        <f aca="false">AK1009-AL1009</f>
        <v>-24944.7196657737</v>
      </c>
      <c r="AN1009" s="28" t="str">
        <f aca="false">IF(A1009&gt;=Hip3LaunchDate,"YES","")</f>
        <v>YES</v>
      </c>
      <c r="AO1009" s="28" t="str">
        <f aca="false">IF(A1009&lt;Hip4LaunchDate,"pre-launch","live (zero-fee)")</f>
        <v>pre-launch</v>
      </c>
      <c r="AP1009" s="30" t="n">
        <v>99</v>
      </c>
      <c r="AQ1009" s="30" t="n">
        <v>69</v>
      </c>
      <c r="AR1009" s="19" t="n">
        <v>66310.0845488887</v>
      </c>
    </row>
    <row r="1010" customFormat="false" ht="15" hidden="false" customHeight="false" outlineLevel="0" collapsed="false">
      <c r="A1010" s="18" t="n">
        <v>46071</v>
      </c>
      <c r="B1010" s="19" t="n">
        <v>3949344180.88</v>
      </c>
      <c r="C1010" s="19" t="n">
        <v>864856258.45</v>
      </c>
      <c r="D1010" s="19" t="n">
        <v>81402606</v>
      </c>
      <c r="E1010" s="21" t="n">
        <f aca="false">B1010+C1010</f>
        <v>4814200439.33</v>
      </c>
      <c r="F1010" s="21" t="n">
        <f aca="false">E1010+D1010</f>
        <v>4895603045.33</v>
      </c>
      <c r="G1010" s="22" t="n">
        <f aca="false">IFERROR(C1010/E1010,0)</f>
        <v>0.179646915276831</v>
      </c>
      <c r="H1010" s="19" t="n">
        <v>1588766</v>
      </c>
      <c r="I1010" s="19" t="n">
        <v>38248</v>
      </c>
      <c r="J1010" s="19" t="n">
        <v>14825</v>
      </c>
      <c r="K1010" s="21" t="n">
        <f aca="false">H1010+I1010</f>
        <v>1627014</v>
      </c>
      <c r="L1010" s="19" t="n">
        <v>47142.290088496</v>
      </c>
      <c r="M1010" s="21" t="n">
        <f aca="false">H1010-L1010</f>
        <v>1541623.7099115</v>
      </c>
      <c r="N1010" s="23" t="n">
        <f aca="false">IFERROR(M1010/B1010*10000,0)</f>
        <v>3.90349293276332</v>
      </c>
      <c r="O1010" s="19" t="n">
        <v>1437912</v>
      </c>
      <c r="P1010" s="19" t="n">
        <v>29790</v>
      </c>
      <c r="Q1010" s="21" t="n">
        <f aca="false">O1010+P1010</f>
        <v>1467702</v>
      </c>
      <c r="R1010" s="22" t="n">
        <f aca="false">IF(A1010&lt;HlpChangeDate,HlpSharePre,HlpSharePost)</f>
        <v>0.01</v>
      </c>
      <c r="S1010" s="21" t="n">
        <f aca="false">Q1010*R1010/(1-R1010)</f>
        <v>14825.2727272727</v>
      </c>
      <c r="T1010" s="19" t="n">
        <v>14825</v>
      </c>
      <c r="U1010" s="21" t="n">
        <f aca="false">S1010-T1010</f>
        <v>0.272727272727934</v>
      </c>
      <c r="V1010" s="21" t="n">
        <f aca="false">Y1010-O1010*R1010/(1-R1010)</f>
        <v>136328.636363636</v>
      </c>
      <c r="W1010" s="21" t="n">
        <f aca="false">Z1010-P1010*R1010/(1-R1010)</f>
        <v>8157.09090909091</v>
      </c>
      <c r="X1010" s="21" t="n">
        <f aca="false">S1010+V1010+W1010</f>
        <v>159311</v>
      </c>
      <c r="Y1010" s="19" t="n">
        <v>150853</v>
      </c>
      <c r="Z1010" s="19" t="n">
        <v>8458</v>
      </c>
      <c r="AA1010" s="19" t="n">
        <v>1467702</v>
      </c>
      <c r="AB1010" s="29" t="n">
        <v>28.686</v>
      </c>
      <c r="AC1010" s="29" t="n">
        <v>29.0445</v>
      </c>
      <c r="AD1010" s="24" t="n">
        <f aca="false">IFERROR(AA1010/AC1010,0)</f>
        <v>50532.8719723183</v>
      </c>
      <c r="AE1010" s="25" t="n">
        <f aca="false">K1010-Q1010-X1010</f>
        <v>1</v>
      </c>
      <c r="AF1010" s="25" t="n">
        <f aca="false">Q1010-AA1010</f>
        <v>0</v>
      </c>
      <c r="AG1010" s="19" t="n">
        <v>1221629.05451</v>
      </c>
      <c r="AH1010" s="26" t="n">
        <f aca="false">IFERROR(AG1010/Q1010,0)</f>
        <v>0.832341343481168</v>
      </c>
      <c r="AI1010" s="27" t="n">
        <v>421500610.064516</v>
      </c>
      <c r="AJ1010" s="26" t="n">
        <f aca="false">IF(AI1010&gt;0,AprCoef/SQRT(AI1010),0)</f>
        <v>0.0230876238362932</v>
      </c>
      <c r="AK1010" s="24" t="n">
        <f aca="false">AI1010*AJ1010/365</f>
        <v>26661.5000875004</v>
      </c>
      <c r="AL1010" s="24" t="n">
        <f aca="false">AD1010</f>
        <v>50532.8719723183</v>
      </c>
      <c r="AM1010" s="24" t="n">
        <f aca="false">AK1010-AL1010</f>
        <v>-23871.3718848179</v>
      </c>
      <c r="AN1010" s="28" t="str">
        <f aca="false">IF(A1010&gt;=Hip3LaunchDate,"YES","")</f>
        <v>YES</v>
      </c>
      <c r="AO1010" s="28" t="str">
        <f aca="false">IF(A1010&lt;Hip4LaunchDate,"pre-launch","live (zero-fee)")</f>
        <v>pre-launch</v>
      </c>
      <c r="AP1010" s="30" t="n">
        <v>99</v>
      </c>
      <c r="AQ1010" s="30" t="n">
        <v>69</v>
      </c>
      <c r="AR1010" s="19" t="n">
        <v>40787.8574277586</v>
      </c>
    </row>
    <row r="1011" customFormat="false" ht="15" hidden="false" customHeight="false" outlineLevel="0" collapsed="false">
      <c r="A1011" s="18" t="n">
        <v>46072</v>
      </c>
      <c r="B1011" s="19" t="n">
        <v>3394527222.82</v>
      </c>
      <c r="C1011" s="19" t="n">
        <v>1019263680.81</v>
      </c>
      <c r="D1011" s="19" t="n">
        <v>90699102</v>
      </c>
      <c r="E1011" s="21" t="n">
        <f aca="false">B1011+C1011</f>
        <v>4413790903.63</v>
      </c>
      <c r="F1011" s="21" t="n">
        <f aca="false">E1011+D1011</f>
        <v>4504490005.63</v>
      </c>
      <c r="G1011" s="22" t="n">
        <f aca="false">IFERROR(C1011/E1011,0)</f>
        <v>0.230927042776706</v>
      </c>
      <c r="H1011" s="19" t="n">
        <v>1419299</v>
      </c>
      <c r="I1011" s="19" t="n">
        <v>43158</v>
      </c>
      <c r="J1011" s="19" t="n">
        <v>13157</v>
      </c>
      <c r="K1011" s="21" t="n">
        <f aca="false">H1011+I1011</f>
        <v>1462457</v>
      </c>
      <c r="L1011" s="19" t="n">
        <v>52901.952581352</v>
      </c>
      <c r="M1011" s="21" t="n">
        <f aca="false">H1011-L1011</f>
        <v>1366397.04741865</v>
      </c>
      <c r="N1011" s="23" t="n">
        <f aca="false">IFERROR(M1011/B1011*10000,0)</f>
        <v>4.02529412117519</v>
      </c>
      <c r="O1011" s="19" t="n">
        <v>1270173</v>
      </c>
      <c r="P1011" s="19" t="n">
        <v>32343</v>
      </c>
      <c r="Q1011" s="21" t="n">
        <f aca="false">O1011+P1011</f>
        <v>1302516</v>
      </c>
      <c r="R1011" s="22" t="n">
        <f aca="false">IF(A1011&lt;HlpChangeDate,HlpSharePre,HlpSharePost)</f>
        <v>0.01</v>
      </c>
      <c r="S1011" s="21" t="n">
        <f aca="false">Q1011*R1011/(1-R1011)</f>
        <v>13156.7272727273</v>
      </c>
      <c r="T1011" s="19" t="n">
        <v>13157</v>
      </c>
      <c r="U1011" s="21" t="n">
        <f aca="false">S1011-T1011</f>
        <v>-0.272727272727934</v>
      </c>
      <c r="V1011" s="21" t="n">
        <f aca="false">Y1011-O1011*R1011/(1-R1011)</f>
        <v>136295.96969697</v>
      </c>
      <c r="W1011" s="21" t="n">
        <f aca="false">Z1011-P1011*R1011/(1-R1011)</f>
        <v>10488.303030303</v>
      </c>
      <c r="X1011" s="21" t="n">
        <f aca="false">S1011+V1011+W1011</f>
        <v>159941</v>
      </c>
      <c r="Y1011" s="19" t="n">
        <v>149126</v>
      </c>
      <c r="Z1011" s="19" t="n">
        <v>10815</v>
      </c>
      <c r="AA1011" s="19" t="n">
        <v>1302516</v>
      </c>
      <c r="AB1011" s="29" t="n">
        <v>29.009</v>
      </c>
      <c r="AC1011" s="29" t="n">
        <v>28.70875</v>
      </c>
      <c r="AD1011" s="24" t="n">
        <f aca="false">IFERROR(AA1011/AC1011,0)</f>
        <v>45370.0004354073</v>
      </c>
      <c r="AE1011" s="25" t="n">
        <f aca="false">K1011-Q1011-X1011</f>
        <v>0</v>
      </c>
      <c r="AF1011" s="25" t="n">
        <f aca="false">Q1011-AA1011</f>
        <v>0</v>
      </c>
      <c r="AG1011" s="19" t="n">
        <v>1082534.49589503</v>
      </c>
      <c r="AH1011" s="26" t="n">
        <f aca="false">IFERROR(AG1011/Q1011,0)</f>
        <v>0.831110324859755</v>
      </c>
      <c r="AI1011" s="27" t="n">
        <v>421655376.81106</v>
      </c>
      <c r="AJ1011" s="26" t="n">
        <f aca="false">IF(AI1011&gt;0,AprCoef/SQRT(AI1011),0)</f>
        <v>0.0230833863421632</v>
      </c>
      <c r="AK1011" s="24" t="n">
        <f aca="false">AI1011*AJ1011/365</f>
        <v>26666.3944278906</v>
      </c>
      <c r="AL1011" s="24" t="n">
        <f aca="false">AD1011</f>
        <v>45370.0004354073</v>
      </c>
      <c r="AM1011" s="24" t="n">
        <f aca="false">AK1011-AL1011</f>
        <v>-18703.6060075167</v>
      </c>
      <c r="AN1011" s="28" t="str">
        <f aca="false">IF(A1011&gt;=Hip3LaunchDate,"YES","")</f>
        <v>YES</v>
      </c>
      <c r="AO1011" s="28" t="str">
        <f aca="false">IF(A1011&lt;Hip4LaunchDate,"pre-launch","live (zero-fee)")</f>
        <v>pre-launch</v>
      </c>
      <c r="AP1011" s="30" t="n">
        <v>101</v>
      </c>
      <c r="AQ1011" s="30" t="n">
        <v>70</v>
      </c>
      <c r="AR1011" s="19" t="n">
        <v>46235.7250407186</v>
      </c>
    </row>
    <row r="1012" customFormat="false" ht="15" hidden="false" customHeight="false" outlineLevel="0" collapsed="false">
      <c r="A1012" s="18" t="n">
        <v>46073</v>
      </c>
      <c r="B1012" s="19" t="n">
        <v>4540174807.05</v>
      </c>
      <c r="C1012" s="19" t="n">
        <v>1601164994.27</v>
      </c>
      <c r="D1012" s="19" t="n">
        <v>95305873</v>
      </c>
      <c r="E1012" s="21" t="n">
        <f aca="false">B1012+C1012</f>
        <v>6141339801.32</v>
      </c>
      <c r="F1012" s="21" t="n">
        <f aca="false">E1012+D1012</f>
        <v>6236645674.32</v>
      </c>
      <c r="G1012" s="22" t="n">
        <f aca="false">IFERROR(C1012/E1012,0)</f>
        <v>0.260719166512469</v>
      </c>
      <c r="H1012" s="19" t="n">
        <v>1875024</v>
      </c>
      <c r="I1012" s="19" t="n">
        <v>43689</v>
      </c>
      <c r="J1012" s="19" t="n">
        <v>17508</v>
      </c>
      <c r="K1012" s="21" t="n">
        <f aca="false">H1012+I1012</f>
        <v>1918713</v>
      </c>
      <c r="L1012" s="19" t="n">
        <v>76925.8736628798</v>
      </c>
      <c r="M1012" s="21" t="n">
        <f aca="false">H1012-L1012</f>
        <v>1798098.12633712</v>
      </c>
      <c r="N1012" s="23" t="n">
        <f aca="false">IFERROR(M1012/B1012*10000,0)</f>
        <v>3.96041606932188</v>
      </c>
      <c r="O1012" s="19" t="n">
        <v>1697968</v>
      </c>
      <c r="P1012" s="19" t="n">
        <v>35356</v>
      </c>
      <c r="Q1012" s="21" t="n">
        <f aca="false">O1012+P1012</f>
        <v>1733324</v>
      </c>
      <c r="R1012" s="22" t="n">
        <f aca="false">IF(A1012&lt;HlpChangeDate,HlpSharePre,HlpSharePost)</f>
        <v>0.01</v>
      </c>
      <c r="S1012" s="21" t="n">
        <f aca="false">Q1012*R1012/(1-R1012)</f>
        <v>17508.3232323232</v>
      </c>
      <c r="T1012" s="19" t="n">
        <v>17508</v>
      </c>
      <c r="U1012" s="21" t="n">
        <f aca="false">S1012-T1012</f>
        <v>0.323232323233242</v>
      </c>
      <c r="V1012" s="21" t="n">
        <f aca="false">Y1012-O1012*R1012/(1-R1012)</f>
        <v>159905.808080808</v>
      </c>
      <c r="W1012" s="21" t="n">
        <f aca="false">Z1012-P1012*R1012/(1-R1012)</f>
        <v>7975.86868686869</v>
      </c>
      <c r="X1012" s="21" t="n">
        <f aca="false">S1012+V1012+W1012</f>
        <v>185390</v>
      </c>
      <c r="Y1012" s="19" t="n">
        <v>177057</v>
      </c>
      <c r="Z1012" s="19" t="n">
        <v>8333</v>
      </c>
      <c r="AA1012" s="19" t="n">
        <v>1733324</v>
      </c>
      <c r="AB1012" s="29" t="n">
        <v>30.35</v>
      </c>
      <c r="AC1012" s="29" t="n">
        <v>29.6035</v>
      </c>
      <c r="AD1012" s="24" t="n">
        <f aca="false">IFERROR(AA1012/AC1012,0)</f>
        <v>58551.3199452767</v>
      </c>
      <c r="AE1012" s="25" t="n">
        <f aca="false">K1012-Q1012-X1012</f>
        <v>-1</v>
      </c>
      <c r="AF1012" s="25" t="n">
        <f aca="false">Q1012-AA1012</f>
        <v>0</v>
      </c>
      <c r="AG1012" s="19" t="n">
        <v>1427449.1590929</v>
      </c>
      <c r="AH1012" s="26" t="n">
        <f aca="false">IFERROR(AG1012/Q1012,0)</f>
        <v>0.823532795422496</v>
      </c>
      <c r="AI1012" s="27" t="n">
        <v>421810143.557604</v>
      </c>
      <c r="AJ1012" s="26" t="n">
        <f aca="false">IF(AI1012&gt;0,AprCoef/SQRT(AI1012),0)</f>
        <v>0.0230791511804214</v>
      </c>
      <c r="AK1012" s="24" t="n">
        <f aca="false">AI1012*AJ1012/365</f>
        <v>26671.2878701403</v>
      </c>
      <c r="AL1012" s="24" t="n">
        <f aca="false">AD1012</f>
        <v>58551.3199452767</v>
      </c>
      <c r="AM1012" s="24" t="n">
        <f aca="false">AK1012-AL1012</f>
        <v>-31880.0320751365</v>
      </c>
      <c r="AN1012" s="28" t="str">
        <f aca="false">IF(A1012&gt;=Hip3LaunchDate,"YES","")</f>
        <v>YES</v>
      </c>
      <c r="AO1012" s="28" t="str">
        <f aca="false">IF(A1012&lt;Hip4LaunchDate,"pre-launch","live (zero-fee)")</f>
        <v>pre-launch</v>
      </c>
      <c r="AP1012" s="30" t="n">
        <v>103</v>
      </c>
      <c r="AQ1012" s="30" t="n">
        <v>72</v>
      </c>
      <c r="AR1012" s="19" t="n">
        <v>69648.0870311036</v>
      </c>
    </row>
    <row r="1013" customFormat="false" ht="15" hidden="false" customHeight="false" outlineLevel="0" collapsed="false">
      <c r="A1013" s="18" t="n">
        <v>46074</v>
      </c>
      <c r="B1013" s="19" t="n">
        <v>1525661792.03</v>
      </c>
      <c r="C1013" s="19" t="n">
        <v>212487416.09</v>
      </c>
      <c r="D1013" s="19" t="n">
        <v>42166095</v>
      </c>
      <c r="E1013" s="21" t="n">
        <f aca="false">B1013+C1013</f>
        <v>1738149208.12</v>
      </c>
      <c r="F1013" s="21" t="n">
        <f aca="false">E1013+D1013</f>
        <v>1780315303.12</v>
      </c>
      <c r="G1013" s="22" t="n">
        <f aca="false">IFERROR(C1013/E1013,0)</f>
        <v>0.122249237923497</v>
      </c>
      <c r="H1013" s="19" t="n">
        <v>736113</v>
      </c>
      <c r="I1013" s="19" t="n">
        <v>21946</v>
      </c>
      <c r="J1013" s="19" t="n">
        <v>6558</v>
      </c>
      <c r="K1013" s="21" t="n">
        <f aca="false">H1013+I1013</f>
        <v>758059</v>
      </c>
      <c r="L1013" s="19" t="n">
        <v>16112.978296647</v>
      </c>
      <c r="M1013" s="21" t="n">
        <f aca="false">H1013-L1013</f>
        <v>720000.021703353</v>
      </c>
      <c r="N1013" s="23" t="n">
        <f aca="false">IFERROR(M1013/B1013*10000,0)</f>
        <v>4.71926363670249</v>
      </c>
      <c r="O1013" s="19" t="n">
        <v>632714</v>
      </c>
      <c r="P1013" s="19" t="n">
        <v>16539</v>
      </c>
      <c r="Q1013" s="21" t="n">
        <f aca="false">O1013+P1013</f>
        <v>649253</v>
      </c>
      <c r="R1013" s="22" t="n">
        <f aca="false">IF(A1013&lt;HlpChangeDate,HlpSharePre,HlpSharePost)</f>
        <v>0.01</v>
      </c>
      <c r="S1013" s="21" t="n">
        <f aca="false">Q1013*R1013/(1-R1013)</f>
        <v>6558.11111111111</v>
      </c>
      <c r="T1013" s="19" t="n">
        <v>6558</v>
      </c>
      <c r="U1013" s="21" t="n">
        <f aca="false">S1013-T1013</f>
        <v>0.111111111111313</v>
      </c>
      <c r="V1013" s="21" t="n">
        <f aca="false">Y1013-O1013*R1013/(1-R1013)</f>
        <v>97007.9494949495</v>
      </c>
      <c r="W1013" s="21" t="n">
        <f aca="false">Z1013-P1013*R1013/(1-R1013)</f>
        <v>5239.93939393939</v>
      </c>
      <c r="X1013" s="21" t="n">
        <f aca="false">S1013+V1013+W1013</f>
        <v>108806</v>
      </c>
      <c r="Y1013" s="19" t="n">
        <v>103399</v>
      </c>
      <c r="Z1013" s="19" t="n">
        <v>5407</v>
      </c>
      <c r="AA1013" s="19" t="n">
        <v>649253</v>
      </c>
      <c r="AB1013" s="29" t="n">
        <v>29.748</v>
      </c>
      <c r="AC1013" s="29" t="n">
        <v>30.054</v>
      </c>
      <c r="AD1013" s="24" t="n">
        <f aca="false">IFERROR(AA1013/AC1013,0)</f>
        <v>21602.8814800027</v>
      </c>
      <c r="AE1013" s="25" t="n">
        <f aca="false">K1013-Q1013-X1013</f>
        <v>0</v>
      </c>
      <c r="AF1013" s="25" t="n">
        <f aca="false">Q1013-AA1013</f>
        <v>0</v>
      </c>
      <c r="AG1013" s="19" t="n">
        <v>107354.869624019</v>
      </c>
      <c r="AH1013" s="26" t="n">
        <f aca="false">IFERROR(AG1013/Q1013,0)</f>
        <v>0.165351364759221</v>
      </c>
      <c r="AI1013" s="27" t="n">
        <v>421964910.304148</v>
      </c>
      <c r="AJ1013" s="26" t="n">
        <f aca="false">IF(AI1013&gt;0,AprCoef/SQRT(AI1013),0)</f>
        <v>0.0230749183489291</v>
      </c>
      <c r="AK1013" s="24" t="n">
        <f aca="false">AI1013*AJ1013/365</f>
        <v>26676.1804147435</v>
      </c>
      <c r="AL1013" s="24" t="n">
        <f aca="false">AD1013</f>
        <v>21602.8814800027</v>
      </c>
      <c r="AM1013" s="24" t="n">
        <f aca="false">AK1013-AL1013</f>
        <v>5073.29893474084</v>
      </c>
      <c r="AN1013" s="28" t="str">
        <f aca="false">IF(A1013&gt;=Hip3LaunchDate,"YES","")</f>
        <v>YES</v>
      </c>
      <c r="AO1013" s="28" t="str">
        <f aca="false">IF(A1013&lt;Hip4LaunchDate,"pre-launch","live (zero-fee)")</f>
        <v>pre-launch</v>
      </c>
      <c r="AP1013" s="30" t="n">
        <v>103</v>
      </c>
      <c r="AQ1013" s="30" t="n">
        <v>72</v>
      </c>
      <c r="AR1013" s="19" t="n">
        <v>13005.8179787819</v>
      </c>
    </row>
    <row r="1014" customFormat="false" ht="15" hidden="false" customHeight="false" outlineLevel="0" collapsed="false">
      <c r="A1014" s="18" t="n">
        <v>46075</v>
      </c>
      <c r="B1014" s="19" t="n">
        <v>1564968333.92</v>
      </c>
      <c r="C1014" s="19" t="n">
        <v>339213110.02</v>
      </c>
      <c r="D1014" s="19" t="n">
        <v>45387039</v>
      </c>
      <c r="E1014" s="21" t="n">
        <f aca="false">B1014+C1014</f>
        <v>1904181443.94</v>
      </c>
      <c r="F1014" s="21" t="n">
        <f aca="false">E1014+D1014</f>
        <v>1949568482.94</v>
      </c>
      <c r="G1014" s="22" t="n">
        <f aca="false">IFERROR(C1014/E1014,0)</f>
        <v>0.178141169844678</v>
      </c>
      <c r="H1014" s="19" t="n">
        <v>715380</v>
      </c>
      <c r="I1014" s="19" t="n">
        <v>24651</v>
      </c>
      <c r="J1014" s="19" t="n">
        <v>6446</v>
      </c>
      <c r="K1014" s="21" t="n">
        <f aca="false">H1014+I1014</f>
        <v>740031</v>
      </c>
      <c r="L1014" s="19" t="n">
        <v>26885.2471875842</v>
      </c>
      <c r="M1014" s="21" t="n">
        <f aca="false">H1014-L1014</f>
        <v>688494.752812416</v>
      </c>
      <c r="N1014" s="23" t="n">
        <f aca="false">IFERROR(M1014/B1014*10000,0)</f>
        <v>4.39941651143729</v>
      </c>
      <c r="O1014" s="19" t="n">
        <v>619345</v>
      </c>
      <c r="P1014" s="19" t="n">
        <v>18858</v>
      </c>
      <c r="Q1014" s="21" t="n">
        <f aca="false">O1014+P1014</f>
        <v>638203</v>
      </c>
      <c r="R1014" s="22" t="n">
        <f aca="false">IF(A1014&lt;HlpChangeDate,HlpSharePre,HlpSharePost)</f>
        <v>0.01</v>
      </c>
      <c r="S1014" s="21" t="n">
        <f aca="false">Q1014*R1014/(1-R1014)</f>
        <v>6446.49494949495</v>
      </c>
      <c r="T1014" s="19" t="n">
        <v>6446</v>
      </c>
      <c r="U1014" s="21" t="n">
        <f aca="false">S1014-T1014</f>
        <v>0.494949494949651</v>
      </c>
      <c r="V1014" s="21" t="n">
        <f aca="false">Y1014-O1014*R1014/(1-R1014)</f>
        <v>89778.9898989899</v>
      </c>
      <c r="W1014" s="21" t="n">
        <f aca="false">Z1014-P1014*R1014/(1-R1014)</f>
        <v>5602.51515151515</v>
      </c>
      <c r="X1014" s="21" t="n">
        <f aca="false">S1014+V1014+W1014</f>
        <v>101828</v>
      </c>
      <c r="Y1014" s="19" t="n">
        <v>96035</v>
      </c>
      <c r="Z1014" s="19" t="n">
        <v>5793</v>
      </c>
      <c r="AA1014" s="19" t="n">
        <v>638203</v>
      </c>
      <c r="AB1014" s="29" t="n">
        <v>29.022</v>
      </c>
      <c r="AC1014" s="29" t="n">
        <v>29.34825</v>
      </c>
      <c r="AD1014" s="24" t="n">
        <f aca="false">IFERROR(AA1014/AC1014,0)</f>
        <v>21745.862189398</v>
      </c>
      <c r="AE1014" s="25" t="n">
        <f aca="false">K1014-Q1014-X1014</f>
        <v>0</v>
      </c>
      <c r="AF1014" s="25" t="n">
        <f aca="false">Q1014-AA1014</f>
        <v>0</v>
      </c>
      <c r="AG1014" s="19" t="n">
        <v>944831.481269002</v>
      </c>
      <c r="AH1014" s="26" t="n">
        <f aca="false">IFERROR(AG1014/Q1014,0)</f>
        <v>1.48045603243639</v>
      </c>
      <c r="AI1014" s="27" t="n">
        <v>422119677.050691</v>
      </c>
      <c r="AJ1014" s="26" t="n">
        <f aca="false">IF(AI1014&gt;0,AprCoef/SQRT(AI1014),0)</f>
        <v>0.02307068784555</v>
      </c>
      <c r="AK1014" s="24" t="n">
        <f aca="false">AI1014*AJ1014/365</f>
        <v>26681.0720621942</v>
      </c>
      <c r="AL1014" s="24" t="n">
        <f aca="false">AD1014</f>
        <v>21745.862189398</v>
      </c>
      <c r="AM1014" s="24" t="n">
        <f aca="false">AK1014-AL1014</f>
        <v>4935.20987279617</v>
      </c>
      <c r="AN1014" s="28" t="str">
        <f aca="false">IF(A1014&gt;=Hip3LaunchDate,"YES","")</f>
        <v>YES</v>
      </c>
      <c r="AO1014" s="28" t="str">
        <f aca="false">IF(A1014&lt;Hip4LaunchDate,"pre-launch","live (zero-fee)")</f>
        <v>pre-launch</v>
      </c>
      <c r="AP1014" s="30" t="n">
        <v>103</v>
      </c>
      <c r="AQ1014" s="30" t="n">
        <v>72</v>
      </c>
      <c r="AR1014" s="19" t="n">
        <v>23528.3058582544</v>
      </c>
    </row>
    <row r="1015" customFormat="false" ht="15" hidden="false" customHeight="false" outlineLevel="0" collapsed="false">
      <c r="A1015" s="18" t="n">
        <v>46076</v>
      </c>
      <c r="B1015" s="19" t="n">
        <v>5505684756.58</v>
      </c>
      <c r="C1015" s="19" t="n">
        <v>1334898476.11</v>
      </c>
      <c r="D1015" s="19" t="n">
        <v>153889474</v>
      </c>
      <c r="E1015" s="21" t="n">
        <f aca="false">B1015+C1015</f>
        <v>6840583232.69</v>
      </c>
      <c r="F1015" s="21" t="n">
        <f aca="false">E1015+D1015</f>
        <v>6994472706.69</v>
      </c>
      <c r="G1015" s="22" t="n">
        <f aca="false">IFERROR(C1015/E1015,0)</f>
        <v>0.195143956399908</v>
      </c>
      <c r="H1015" s="19" t="n">
        <v>2255968</v>
      </c>
      <c r="I1015" s="19" t="n">
        <v>74281</v>
      </c>
      <c r="J1015" s="19" t="n">
        <v>21361</v>
      </c>
      <c r="K1015" s="21" t="n">
        <f aca="false">H1015+I1015</f>
        <v>2330249</v>
      </c>
      <c r="L1015" s="19" t="n">
        <v>72555.9396917987</v>
      </c>
      <c r="M1015" s="21" t="n">
        <f aca="false">H1015-L1015</f>
        <v>2183412.0603082</v>
      </c>
      <c r="N1015" s="23" t="n">
        <f aca="false">IFERROR(M1015/B1015*10000,0)</f>
        <v>3.96574115090542</v>
      </c>
      <c r="O1015" s="19" t="n">
        <v>2057709</v>
      </c>
      <c r="P1015" s="19" t="n">
        <v>56747</v>
      </c>
      <c r="Q1015" s="21" t="n">
        <f aca="false">O1015+P1015</f>
        <v>2114456</v>
      </c>
      <c r="R1015" s="22" t="n">
        <f aca="false">IF(A1015&lt;HlpChangeDate,HlpSharePre,HlpSharePost)</f>
        <v>0.01</v>
      </c>
      <c r="S1015" s="21" t="n">
        <f aca="false">Q1015*R1015/(1-R1015)</f>
        <v>21358.1414141414</v>
      </c>
      <c r="T1015" s="19" t="n">
        <v>21361</v>
      </c>
      <c r="U1015" s="21" t="n">
        <f aca="false">S1015-T1015</f>
        <v>-2.85858585858296</v>
      </c>
      <c r="V1015" s="21" t="n">
        <f aca="false">Y1015-O1015*R1015/(1-R1015)</f>
        <v>177474.060606061</v>
      </c>
      <c r="W1015" s="21" t="n">
        <f aca="false">Z1015-P1015*R1015/(1-R1015)</f>
        <v>16960.797979798</v>
      </c>
      <c r="X1015" s="21" t="n">
        <f aca="false">S1015+V1015+W1015</f>
        <v>215793</v>
      </c>
      <c r="Y1015" s="19" t="n">
        <v>198259</v>
      </c>
      <c r="Z1015" s="19" t="n">
        <v>17534</v>
      </c>
      <c r="AA1015" s="19" t="n">
        <v>2114456</v>
      </c>
      <c r="AB1015" s="29" t="n">
        <v>26.377</v>
      </c>
      <c r="AC1015" s="29" t="n">
        <v>27.51475</v>
      </c>
      <c r="AD1015" s="24" t="n">
        <f aca="false">IFERROR(AA1015/AC1015,0)</f>
        <v>76848.0905696036</v>
      </c>
      <c r="AE1015" s="25" t="n">
        <f aca="false">K1015-Q1015-X1015</f>
        <v>0</v>
      </c>
      <c r="AF1015" s="25" t="n">
        <f aca="false">Q1015-AA1015</f>
        <v>0</v>
      </c>
      <c r="AG1015" s="19" t="n">
        <v>1765723.51771903</v>
      </c>
      <c r="AH1015" s="26" t="n">
        <f aca="false">IFERROR(AG1015/Q1015,0)</f>
        <v>0.835072244453907</v>
      </c>
      <c r="AI1015" s="27" t="n">
        <v>422274443.797235</v>
      </c>
      <c r="AJ1015" s="26" t="n">
        <f aca="false">IF(AI1015&gt;0,AprCoef/SQRT(AI1015),0)</f>
        <v>0.0230664596681509</v>
      </c>
      <c r="AK1015" s="24" t="n">
        <f aca="false">AI1015*AJ1015/365</f>
        <v>26685.9628129856</v>
      </c>
      <c r="AL1015" s="24" t="n">
        <f aca="false">AD1015</f>
        <v>76848.0905696036</v>
      </c>
      <c r="AM1015" s="24" t="n">
        <f aca="false">AK1015-AL1015</f>
        <v>-50162.1277566179</v>
      </c>
      <c r="AN1015" s="28" t="str">
        <f aca="false">IF(A1015&gt;=Hip3LaunchDate,"YES","")</f>
        <v>YES</v>
      </c>
      <c r="AO1015" s="28" t="str">
        <f aca="false">IF(A1015&lt;Hip4LaunchDate,"pre-launch","live (zero-fee)")</f>
        <v>pre-launch</v>
      </c>
      <c r="AP1015" s="30" t="n">
        <v>103</v>
      </c>
      <c r="AQ1015" s="30" t="n">
        <v>72</v>
      </c>
      <c r="AR1015" s="19" t="n">
        <v>63801.8974630461</v>
      </c>
    </row>
    <row r="1016" customFormat="false" ht="15" hidden="false" customHeight="false" outlineLevel="0" collapsed="false">
      <c r="A1016" s="18" t="n">
        <v>46077</v>
      </c>
      <c r="B1016" s="19" t="n">
        <v>4905981647.07</v>
      </c>
      <c r="C1016" s="19" t="n">
        <v>1545542142.44</v>
      </c>
      <c r="D1016" s="19" t="n">
        <v>128088494</v>
      </c>
      <c r="E1016" s="21" t="n">
        <f aca="false">B1016+C1016</f>
        <v>6451523789.51</v>
      </c>
      <c r="F1016" s="21" t="n">
        <f aca="false">E1016+D1016</f>
        <v>6579612283.51</v>
      </c>
      <c r="G1016" s="22" t="n">
        <f aca="false">IFERROR(C1016/E1016,0)</f>
        <v>0.239562341063209</v>
      </c>
      <c r="H1016" s="19" t="n">
        <v>2102604</v>
      </c>
      <c r="I1016" s="19" t="n">
        <v>56014</v>
      </c>
      <c r="J1016" s="19" t="n">
        <v>19818</v>
      </c>
      <c r="K1016" s="21" t="n">
        <f aca="false">H1016+I1016</f>
        <v>2158618</v>
      </c>
      <c r="L1016" s="19" t="n">
        <v>82429.1896514494</v>
      </c>
      <c r="M1016" s="21" t="n">
        <f aca="false">H1016-L1016</f>
        <v>2020174.81034855</v>
      </c>
      <c r="N1016" s="23" t="n">
        <f aca="false">IFERROR(M1016/B1016*10000,0)</f>
        <v>4.11777898018648</v>
      </c>
      <c r="O1016" s="19" t="n">
        <v>1923279</v>
      </c>
      <c r="P1016" s="19" t="n">
        <v>38833</v>
      </c>
      <c r="Q1016" s="21" t="n">
        <f aca="false">O1016+P1016</f>
        <v>1962112</v>
      </c>
      <c r="R1016" s="22" t="n">
        <f aca="false">IF(A1016&lt;HlpChangeDate,HlpSharePre,HlpSharePost)</f>
        <v>0.01</v>
      </c>
      <c r="S1016" s="21" t="n">
        <f aca="false">Q1016*R1016/(1-R1016)</f>
        <v>19819.3131313131</v>
      </c>
      <c r="T1016" s="19" t="n">
        <v>19818</v>
      </c>
      <c r="U1016" s="21" t="n">
        <f aca="false">S1016-T1016</f>
        <v>1.31313131313073</v>
      </c>
      <c r="V1016" s="21" t="n">
        <f aca="false">Y1016-O1016*R1016/(1-R1016)</f>
        <v>159897.939393939</v>
      </c>
      <c r="W1016" s="21" t="n">
        <f aca="false">Z1016-P1016*R1016/(1-R1016)</f>
        <v>16788.7474747475</v>
      </c>
      <c r="X1016" s="21" t="n">
        <f aca="false">S1016+V1016+W1016</f>
        <v>196506</v>
      </c>
      <c r="Y1016" s="19" t="n">
        <v>179325</v>
      </c>
      <c r="Z1016" s="19" t="n">
        <v>17181</v>
      </c>
      <c r="AA1016" s="19" t="n">
        <v>1962112</v>
      </c>
      <c r="AB1016" s="29" t="n">
        <v>27.102</v>
      </c>
      <c r="AC1016" s="29" t="n">
        <v>26.6265</v>
      </c>
      <c r="AD1016" s="24" t="n">
        <f aca="false">IFERROR(AA1016/AC1016,0)</f>
        <v>73690.1958575104</v>
      </c>
      <c r="AE1016" s="25" t="n">
        <f aca="false">K1016-Q1016-X1016</f>
        <v>0</v>
      </c>
      <c r="AF1016" s="25" t="n">
        <f aca="false">Q1016-AA1016</f>
        <v>0</v>
      </c>
      <c r="AG1016" s="19" t="n">
        <v>1611156.64784694</v>
      </c>
      <c r="AH1016" s="26" t="n">
        <f aca="false">IFERROR(AG1016/Q1016,0)</f>
        <v>0.821133884226251</v>
      </c>
      <c r="AI1016" s="27" t="n">
        <v>422429210.543779</v>
      </c>
      <c r="AJ1016" s="26" t="n">
        <f aca="false">IF(AI1016&gt;0,AprCoef/SQRT(AI1016),0)</f>
        <v>0.023062233814601</v>
      </c>
      <c r="AK1016" s="24" t="n">
        <f aca="false">AI1016*AJ1016/365</f>
        <v>26690.8526676108</v>
      </c>
      <c r="AL1016" s="24" t="n">
        <f aca="false">AD1016</f>
        <v>73690.1958575104</v>
      </c>
      <c r="AM1016" s="24" t="n">
        <f aca="false">AK1016-AL1016</f>
        <v>-46999.3431898996</v>
      </c>
      <c r="AN1016" s="28" t="str">
        <f aca="false">IF(A1016&gt;=Hip3LaunchDate,"YES","")</f>
        <v>YES</v>
      </c>
      <c r="AO1016" s="28" t="str">
        <f aca="false">IF(A1016&lt;Hip4LaunchDate,"pre-launch","live (zero-fee)")</f>
        <v>pre-launch</v>
      </c>
      <c r="AP1016" s="30" t="n">
        <v>105</v>
      </c>
      <c r="AQ1016" s="30" t="n">
        <v>74</v>
      </c>
      <c r="AR1016" s="19" t="n">
        <v>75033.7584359214</v>
      </c>
    </row>
    <row r="1017" customFormat="false" ht="15" hidden="false" customHeight="false" outlineLevel="0" collapsed="false">
      <c r="A1017" s="18" t="n">
        <v>46078</v>
      </c>
      <c r="B1017" s="19" t="n">
        <v>6732727148.89</v>
      </c>
      <c r="C1017" s="19" t="n">
        <v>1919021665.78</v>
      </c>
      <c r="D1017" s="19" t="n">
        <v>144239731</v>
      </c>
      <c r="E1017" s="21" t="n">
        <f aca="false">B1017+C1017</f>
        <v>8651748814.67</v>
      </c>
      <c r="F1017" s="21" t="n">
        <f aca="false">E1017+D1017</f>
        <v>8795988545.67</v>
      </c>
      <c r="G1017" s="22" t="n">
        <f aca="false">IFERROR(C1017/E1017,0)</f>
        <v>0.221807371768132</v>
      </c>
      <c r="H1017" s="19" t="n">
        <v>2375529</v>
      </c>
      <c r="I1017" s="19" t="n">
        <v>63522</v>
      </c>
      <c r="J1017" s="19" t="n">
        <v>22270</v>
      </c>
      <c r="K1017" s="21" t="n">
        <f aca="false">H1017+I1017</f>
        <v>2439051</v>
      </c>
      <c r="L1017" s="19" t="n">
        <v>92940.8516170432</v>
      </c>
      <c r="M1017" s="21" t="n">
        <f aca="false">H1017-L1017</f>
        <v>2282588.14838296</v>
      </c>
      <c r="N1017" s="23" t="n">
        <f aca="false">IFERROR(M1017/B1017*10000,0)</f>
        <v>3.39028761734282</v>
      </c>
      <c r="O1017" s="19" t="n">
        <v>2159502</v>
      </c>
      <c r="P1017" s="19" t="n">
        <v>45209</v>
      </c>
      <c r="Q1017" s="21" t="n">
        <f aca="false">O1017+P1017</f>
        <v>2204711</v>
      </c>
      <c r="R1017" s="22" t="n">
        <f aca="false">IF(A1017&lt;HlpChangeDate,HlpSharePre,HlpSharePost)</f>
        <v>0.01</v>
      </c>
      <c r="S1017" s="21" t="n">
        <f aca="false">Q1017*R1017/(1-R1017)</f>
        <v>22269.8080808081</v>
      </c>
      <c r="T1017" s="19" t="n">
        <v>22270</v>
      </c>
      <c r="U1017" s="21" t="n">
        <f aca="false">S1017-T1017</f>
        <v>-0.191919191918714</v>
      </c>
      <c r="V1017" s="21" t="n">
        <f aca="false">Y1017-O1017*R1017/(1-R1017)</f>
        <v>194213.848484848</v>
      </c>
      <c r="W1017" s="21" t="n">
        <f aca="false">Z1017-P1017*R1017/(1-R1017)</f>
        <v>17856.3434343434</v>
      </c>
      <c r="X1017" s="21" t="n">
        <f aca="false">S1017+V1017+W1017</f>
        <v>234340</v>
      </c>
      <c r="Y1017" s="19" t="n">
        <v>216027</v>
      </c>
      <c r="Z1017" s="19" t="n">
        <v>18313</v>
      </c>
      <c r="AA1017" s="19" t="n">
        <v>2204711</v>
      </c>
      <c r="AB1017" s="29" t="n">
        <v>27.902</v>
      </c>
      <c r="AC1017" s="29" t="n">
        <v>27.71125</v>
      </c>
      <c r="AD1017" s="24" t="n">
        <f aca="false">IFERROR(AA1017/AC1017,0)</f>
        <v>79560.1425413866</v>
      </c>
      <c r="AE1017" s="25" t="n">
        <f aca="false">K1017-Q1017-X1017</f>
        <v>0</v>
      </c>
      <c r="AF1017" s="25" t="n">
        <f aca="false">Q1017-AA1017</f>
        <v>0</v>
      </c>
      <c r="AG1017" s="19" t="n">
        <v>2132710.06522501</v>
      </c>
      <c r="AH1017" s="26" t="n">
        <f aca="false">IFERROR(AG1017/Q1017,0)</f>
        <v>0.967342234526432</v>
      </c>
      <c r="AI1017" s="27" t="n">
        <v>422583977.290323</v>
      </c>
      <c r="AJ1017" s="26" t="n">
        <f aca="false">IF(AI1017&gt;0,AprCoef/SQRT(AI1017),0)</f>
        <v>0.0230580102827725</v>
      </c>
      <c r="AK1017" s="24" t="n">
        <f aca="false">AI1017*AJ1017/365</f>
        <v>26695.7416265621</v>
      </c>
      <c r="AL1017" s="24" t="n">
        <f aca="false">AD1017</f>
        <v>79560.1425413866</v>
      </c>
      <c r="AM1017" s="24" t="n">
        <f aca="false">AK1017-AL1017</f>
        <v>-52864.4009148245</v>
      </c>
      <c r="AN1017" s="28" t="str">
        <f aca="false">IF(A1017&gt;=Hip3LaunchDate,"YES","")</f>
        <v>YES</v>
      </c>
      <c r="AO1017" s="28" t="str">
        <f aca="false">IF(A1017&lt;Hip4LaunchDate,"pre-launch","live (zero-fee)")</f>
        <v>pre-launch</v>
      </c>
      <c r="AP1017" s="30" t="n">
        <v>105</v>
      </c>
      <c r="AQ1017" s="30" t="n">
        <v>74</v>
      </c>
      <c r="AR1017" s="19" t="n">
        <v>77495.6242999744</v>
      </c>
    </row>
    <row r="1018" customFormat="false" ht="15" hidden="false" customHeight="false" outlineLevel="0" collapsed="false">
      <c r="A1018" s="18" t="n">
        <v>46079</v>
      </c>
      <c r="B1018" s="19" t="n">
        <v>4572377200.74</v>
      </c>
      <c r="C1018" s="19" t="n">
        <v>1710210217.58</v>
      </c>
      <c r="D1018" s="19" t="n">
        <v>96492289</v>
      </c>
      <c r="E1018" s="21" t="n">
        <f aca="false">B1018+C1018</f>
        <v>6282587418.32</v>
      </c>
      <c r="F1018" s="21" t="n">
        <f aca="false">E1018+D1018</f>
        <v>6379079707.32</v>
      </c>
      <c r="G1018" s="22" t="n">
        <f aca="false">IFERROR(C1018/E1018,0)</f>
        <v>0.272214312942632</v>
      </c>
      <c r="H1018" s="19" t="n">
        <v>1976987</v>
      </c>
      <c r="I1018" s="19" t="n">
        <v>43110</v>
      </c>
      <c r="J1018" s="19" t="n">
        <v>17974</v>
      </c>
      <c r="K1018" s="21" t="n">
        <f aca="false">H1018+I1018</f>
        <v>2020097</v>
      </c>
      <c r="L1018" s="19" t="n">
        <v>75630.0926135355</v>
      </c>
      <c r="M1018" s="21" t="n">
        <f aca="false">H1018-L1018</f>
        <v>1901356.90738646</v>
      </c>
      <c r="N1018" s="23" t="n">
        <f aca="false">IFERROR(M1018/B1018*10000,0)</f>
        <v>4.15835532352569</v>
      </c>
      <c r="O1018" s="19" t="n">
        <v>1745645</v>
      </c>
      <c r="P1018" s="19" t="n">
        <v>33766</v>
      </c>
      <c r="Q1018" s="21" t="n">
        <f aca="false">O1018+P1018</f>
        <v>1779411</v>
      </c>
      <c r="R1018" s="22" t="n">
        <f aca="false">IF(A1018&lt;HlpChangeDate,HlpSharePre,HlpSharePost)</f>
        <v>0.01</v>
      </c>
      <c r="S1018" s="21" t="n">
        <f aca="false">Q1018*R1018/(1-R1018)</f>
        <v>17973.8484848485</v>
      </c>
      <c r="T1018" s="19" t="n">
        <v>17974</v>
      </c>
      <c r="U1018" s="21" t="n">
        <f aca="false">S1018-T1018</f>
        <v>-0.151515151515923</v>
      </c>
      <c r="V1018" s="21" t="n">
        <f aca="false">Y1018-O1018*R1018/(1-R1018)</f>
        <v>213710.222222222</v>
      </c>
      <c r="W1018" s="21" t="n">
        <f aca="false">Z1018-P1018*R1018/(1-R1018)</f>
        <v>9002.92929292929</v>
      </c>
      <c r="X1018" s="21" t="n">
        <f aca="false">S1018+V1018+W1018</f>
        <v>240687</v>
      </c>
      <c r="Y1018" s="19" t="n">
        <v>231343</v>
      </c>
      <c r="Z1018" s="19" t="n">
        <v>9344</v>
      </c>
      <c r="AA1018" s="19" t="n">
        <v>1779411</v>
      </c>
      <c r="AB1018" s="29" t="n">
        <v>28.128</v>
      </c>
      <c r="AC1018" s="29" t="n">
        <v>28.28725</v>
      </c>
      <c r="AD1018" s="24" t="n">
        <f aca="false">IFERROR(AA1018/AC1018,0)</f>
        <v>62905.0543972991</v>
      </c>
      <c r="AE1018" s="25" t="n">
        <f aca="false">K1018-Q1018-X1018</f>
        <v>-1</v>
      </c>
      <c r="AF1018" s="25" t="n">
        <f aca="false">Q1018-AA1018</f>
        <v>0</v>
      </c>
      <c r="AG1018" s="19" t="n">
        <v>1502104.86540699</v>
      </c>
      <c r="AH1018" s="26" t="n">
        <f aca="false">IFERROR(AG1018/Q1018,0)</f>
        <v>0.844158468957981</v>
      </c>
      <c r="AI1018" s="27" t="n">
        <v>422738744.036866</v>
      </c>
      <c r="AJ1018" s="26" t="n">
        <f aca="false">IF(AI1018&gt;0,AprCoef/SQRT(AI1018),0)</f>
        <v>0.0230537890705402</v>
      </c>
      <c r="AK1018" s="24" t="n">
        <f aca="false">AI1018*AJ1018/365</f>
        <v>26700.6296903315</v>
      </c>
      <c r="AL1018" s="24" t="n">
        <f aca="false">AD1018</f>
        <v>62905.0543972991</v>
      </c>
      <c r="AM1018" s="24" t="n">
        <f aca="false">AK1018-AL1018</f>
        <v>-36204.4247069676</v>
      </c>
      <c r="AN1018" s="28" t="str">
        <f aca="false">IF(A1018&gt;=Hip3LaunchDate,"YES","")</f>
        <v>YES</v>
      </c>
      <c r="AO1018" s="28" t="str">
        <f aca="false">IF(A1018&lt;Hip4LaunchDate,"pre-launch","live (zero-fee)")</f>
        <v>pre-launch</v>
      </c>
      <c r="AP1018" s="30" t="n">
        <v>107</v>
      </c>
      <c r="AQ1018" s="30" t="n">
        <v>76</v>
      </c>
      <c r="AR1018" s="19" t="n">
        <v>66492.6760892081</v>
      </c>
    </row>
    <row r="1019" customFormat="false" ht="15" hidden="false" customHeight="false" outlineLevel="0" collapsed="false">
      <c r="A1019" s="18" t="n">
        <v>46080</v>
      </c>
      <c r="B1019" s="19" t="n">
        <v>4095817647.68</v>
      </c>
      <c r="C1019" s="19" t="n">
        <v>1486608800.54</v>
      </c>
      <c r="D1019" s="19" t="n">
        <v>115711001</v>
      </c>
      <c r="E1019" s="21" t="n">
        <f aca="false">B1019+C1019</f>
        <v>5582426448.22</v>
      </c>
      <c r="F1019" s="21" t="n">
        <f aca="false">E1019+D1019</f>
        <v>5698137449.22</v>
      </c>
      <c r="G1019" s="22" t="n">
        <f aca="false">IFERROR(C1019/E1019,0)</f>
        <v>0.266301547244571</v>
      </c>
      <c r="H1019" s="19" t="n">
        <v>1819863</v>
      </c>
      <c r="I1019" s="19" t="n">
        <v>52593</v>
      </c>
      <c r="J1019" s="19" t="n">
        <v>16756</v>
      </c>
      <c r="K1019" s="21" t="n">
        <f aca="false">H1019+I1019</f>
        <v>1872456</v>
      </c>
      <c r="L1019" s="19" t="n">
        <v>78965.9517907839</v>
      </c>
      <c r="M1019" s="21" t="n">
        <f aca="false">H1019-L1019</f>
        <v>1740897.04820922</v>
      </c>
      <c r="N1019" s="23" t="n">
        <f aca="false">IFERROR(M1019/B1019*10000,0)</f>
        <v>4.25042616141692</v>
      </c>
      <c r="O1019" s="19" t="n">
        <v>1617306</v>
      </c>
      <c r="P1019" s="19" t="n">
        <v>41532</v>
      </c>
      <c r="Q1019" s="21" t="n">
        <f aca="false">O1019+P1019</f>
        <v>1658838</v>
      </c>
      <c r="R1019" s="22" t="n">
        <f aca="false">IF(A1019&lt;HlpChangeDate,HlpSharePre,HlpSharePost)</f>
        <v>0.01</v>
      </c>
      <c r="S1019" s="21" t="n">
        <f aca="false">Q1019*R1019/(1-R1019)</f>
        <v>16755.9393939394</v>
      </c>
      <c r="T1019" s="19" t="n">
        <v>16756</v>
      </c>
      <c r="U1019" s="21" t="n">
        <f aca="false">S1019-T1019</f>
        <v>-0.0606060606041865</v>
      </c>
      <c r="V1019" s="21" t="n">
        <f aca="false">Y1019-O1019*R1019/(1-R1019)</f>
        <v>186220.575757576</v>
      </c>
      <c r="W1019" s="21" t="n">
        <f aca="false">Z1019-P1019*R1019/(1-R1019)</f>
        <v>10641.4848484848</v>
      </c>
      <c r="X1019" s="21" t="n">
        <f aca="false">S1019+V1019+W1019</f>
        <v>213618</v>
      </c>
      <c r="Y1019" s="19" t="n">
        <v>202557</v>
      </c>
      <c r="Z1019" s="19" t="n">
        <v>11061</v>
      </c>
      <c r="AA1019" s="19" t="n">
        <v>1658838</v>
      </c>
      <c r="AB1019" s="29" t="n">
        <v>27.314</v>
      </c>
      <c r="AC1019" s="29" t="n">
        <v>28.03475</v>
      </c>
      <c r="AD1019" s="24" t="n">
        <f aca="false">IFERROR(AA1019/AC1019,0)</f>
        <v>59170.7791223392</v>
      </c>
      <c r="AE1019" s="25" t="n">
        <f aca="false">K1019-Q1019-X1019</f>
        <v>0</v>
      </c>
      <c r="AF1019" s="25" t="n">
        <f aca="false">Q1019-AA1019</f>
        <v>0</v>
      </c>
      <c r="AG1019" s="19" t="n">
        <v>1351615.849334</v>
      </c>
      <c r="AH1019" s="26" t="n">
        <f aca="false">IFERROR(AG1019/Q1019,0)</f>
        <v>0.814796773002549</v>
      </c>
      <c r="AI1019" s="27" t="n">
        <v>422893510.78341</v>
      </c>
      <c r="AJ1019" s="26" t="n">
        <f aca="false">IF(AI1019&gt;0,AprCoef/SQRT(AI1019),0)</f>
        <v>0.0230495701757817</v>
      </c>
      <c r="AK1019" s="24" t="n">
        <f aca="false">AI1019*AJ1019/365</f>
        <v>26705.5168594107</v>
      </c>
      <c r="AL1019" s="24" t="n">
        <f aca="false">AD1019</f>
        <v>59170.7791223392</v>
      </c>
      <c r="AM1019" s="24" t="n">
        <f aca="false">AK1019-AL1019</f>
        <v>-32465.2622629286</v>
      </c>
      <c r="AN1019" s="28" t="str">
        <f aca="false">IF(A1019&gt;=Hip3LaunchDate,"YES","")</f>
        <v>YES</v>
      </c>
      <c r="AO1019" s="28" t="str">
        <f aca="false">IF(A1019&lt;Hip4LaunchDate,"pre-launch","live (zero-fee)")</f>
        <v>pre-launch</v>
      </c>
      <c r="AP1019" s="30" t="n">
        <v>107</v>
      </c>
      <c r="AQ1019" s="30" t="n">
        <v>76</v>
      </c>
      <c r="AR1019" s="19" t="n">
        <v>69886.2060275035</v>
      </c>
    </row>
    <row r="1020" customFormat="false" ht="15" hidden="false" customHeight="false" outlineLevel="0" collapsed="false">
      <c r="A1020" s="18" t="n">
        <v>46081</v>
      </c>
      <c r="B1020" s="19" t="n">
        <v>5891188961.3</v>
      </c>
      <c r="C1020" s="19" t="n">
        <v>802335810.62</v>
      </c>
      <c r="D1020" s="19" t="n">
        <v>166843058</v>
      </c>
      <c r="E1020" s="21" t="n">
        <f aca="false">B1020+C1020</f>
        <v>6693524771.92</v>
      </c>
      <c r="F1020" s="21" t="n">
        <f aca="false">E1020+D1020</f>
        <v>6860367829.92</v>
      </c>
      <c r="G1020" s="22" t="n">
        <f aca="false">IFERROR(C1020/E1020,0)</f>
        <v>0.119867459665777</v>
      </c>
      <c r="H1020" s="19" t="n">
        <v>2712519</v>
      </c>
      <c r="I1020" s="19" t="n">
        <v>80534</v>
      </c>
      <c r="J1020" s="19" t="n">
        <v>24938</v>
      </c>
      <c r="K1020" s="21" t="n">
        <f aca="false">H1020+I1020</f>
        <v>2793053</v>
      </c>
      <c r="L1020" s="19" t="n">
        <v>88726.0925089713</v>
      </c>
      <c r="M1020" s="21" t="n">
        <f aca="false">H1020-L1020</f>
        <v>2623792.90749103</v>
      </c>
      <c r="N1020" s="23" t="n">
        <f aca="false">IFERROR(M1020/B1020*10000,0)</f>
        <v>4.45375784875867</v>
      </c>
      <c r="O1020" s="19" t="n">
        <v>2406226</v>
      </c>
      <c r="P1020" s="19" t="n">
        <v>62751</v>
      </c>
      <c r="Q1020" s="21" t="n">
        <f aca="false">O1020+P1020</f>
        <v>2468977</v>
      </c>
      <c r="R1020" s="22" t="n">
        <f aca="false">IF(A1020&lt;HlpChangeDate,HlpSharePre,HlpSharePost)</f>
        <v>0.01</v>
      </c>
      <c r="S1020" s="21" t="n">
        <f aca="false">Q1020*R1020/(1-R1020)</f>
        <v>24939.1616161616</v>
      </c>
      <c r="T1020" s="19" t="n">
        <v>24938</v>
      </c>
      <c r="U1020" s="21" t="n">
        <f aca="false">S1020-T1020</f>
        <v>1.16161616161844</v>
      </c>
      <c r="V1020" s="21" t="n">
        <f aca="false">Y1020-O1020*R1020/(1-R1020)</f>
        <v>281987.686868687</v>
      </c>
      <c r="W1020" s="21" t="n">
        <f aca="false">Z1020-P1020*R1020/(1-R1020)</f>
        <v>17149.1515151515</v>
      </c>
      <c r="X1020" s="21" t="n">
        <f aca="false">S1020+V1020+W1020</f>
        <v>324076</v>
      </c>
      <c r="Y1020" s="19" t="n">
        <v>306293</v>
      </c>
      <c r="Z1020" s="19" t="n">
        <v>17783</v>
      </c>
      <c r="AA1020" s="19" t="n">
        <v>2468977</v>
      </c>
      <c r="AB1020" s="29" t="n">
        <v>31.231</v>
      </c>
      <c r="AC1020" s="29" t="n">
        <v>28.9975</v>
      </c>
      <c r="AD1020" s="24" t="n">
        <f aca="false">IFERROR(AA1020/AC1020,0)</f>
        <v>85144.477972239</v>
      </c>
      <c r="AE1020" s="25" t="n">
        <f aca="false">K1020-Q1020-X1020</f>
        <v>0</v>
      </c>
      <c r="AF1020" s="25" t="n">
        <f aca="false">Q1020-AA1020</f>
        <v>0</v>
      </c>
      <c r="AG1020" s="19" t="n">
        <v>1953945.47316504</v>
      </c>
      <c r="AH1020" s="26" t="n">
        <f aca="false">IFERROR(AG1020/Q1020,0)</f>
        <v>0.791398815446655</v>
      </c>
      <c r="AI1020" s="27" t="n">
        <v>423048277.529954</v>
      </c>
      <c r="AJ1020" s="26" t="n">
        <f aca="false">IF(AI1020&gt;0,AprCoef/SQRT(AI1020),0)</f>
        <v>0.0230453535963771</v>
      </c>
      <c r="AK1020" s="24" t="n">
        <f aca="false">AI1020*AJ1020/365</f>
        <v>26710.4031342906</v>
      </c>
      <c r="AL1020" s="24" t="n">
        <f aca="false">AD1020</f>
        <v>85144.477972239</v>
      </c>
      <c r="AM1020" s="24" t="n">
        <f aca="false">AK1020-AL1020</f>
        <v>-58434.0748379484</v>
      </c>
      <c r="AN1020" s="28" t="str">
        <f aca="false">IF(A1020&gt;=Hip3LaunchDate,"YES","")</f>
        <v>YES</v>
      </c>
      <c r="AO1020" s="28" t="str">
        <f aca="false">IF(A1020&lt;Hip4LaunchDate,"pre-launch","live (zero-fee)")</f>
        <v>pre-launch</v>
      </c>
      <c r="AP1020" s="30" t="n">
        <v>107</v>
      </c>
      <c r="AQ1020" s="30" t="n">
        <v>76</v>
      </c>
      <c r="AR1020" s="19" t="n">
        <v>77454.5619684192</v>
      </c>
    </row>
    <row r="1021" customFormat="false" ht="15" hidden="false" customHeight="false" outlineLevel="0" collapsed="false">
      <c r="A1021" s="18" t="n">
        <v>46082</v>
      </c>
      <c r="B1021" s="19" t="n">
        <v>4547115999.36</v>
      </c>
      <c r="C1021" s="19" t="n">
        <v>674952474.31</v>
      </c>
      <c r="D1021" s="19" t="n">
        <v>142720568</v>
      </c>
      <c r="E1021" s="21" t="n">
        <f aca="false">B1021+C1021</f>
        <v>5222068473.67</v>
      </c>
      <c r="F1021" s="21" t="n">
        <f aca="false">E1021+D1021</f>
        <v>5364789041.67</v>
      </c>
      <c r="G1021" s="22" t="n">
        <f aca="false">IFERROR(C1021/E1021,0)</f>
        <v>0.129250023762261</v>
      </c>
      <c r="H1021" s="19" t="n">
        <v>2103840</v>
      </c>
      <c r="I1021" s="19" t="n">
        <v>65418</v>
      </c>
      <c r="J1021" s="19" t="n">
        <v>19260</v>
      </c>
      <c r="K1021" s="21" t="n">
        <f aca="false">H1021+I1021</f>
        <v>2169258</v>
      </c>
      <c r="L1021" s="19" t="n">
        <v>61490.4773783147</v>
      </c>
      <c r="M1021" s="21" t="n">
        <f aca="false">H1021-L1021</f>
        <v>2042349.52262169</v>
      </c>
      <c r="N1021" s="23" t="n">
        <f aca="false">IFERROR(M1021/B1021*10000,0)</f>
        <v>4.49152720737528</v>
      </c>
      <c r="O1021" s="19" t="n">
        <v>1859255</v>
      </c>
      <c r="P1021" s="19" t="n">
        <v>47317</v>
      </c>
      <c r="Q1021" s="21" t="n">
        <f aca="false">O1021+P1021</f>
        <v>1906572</v>
      </c>
      <c r="R1021" s="22" t="n">
        <f aca="false">IF(A1021&lt;HlpChangeDate,HlpSharePre,HlpSharePost)</f>
        <v>0.01</v>
      </c>
      <c r="S1021" s="21" t="n">
        <f aca="false">Q1021*R1021/(1-R1021)</f>
        <v>19258.303030303</v>
      </c>
      <c r="T1021" s="19" t="n">
        <v>19260</v>
      </c>
      <c r="U1021" s="21" t="n">
        <f aca="false">S1021-T1021</f>
        <v>-1.69696969696815</v>
      </c>
      <c r="V1021" s="21" t="n">
        <f aca="false">Y1021-O1021*R1021/(1-R1021)</f>
        <v>225804.646464646</v>
      </c>
      <c r="W1021" s="21" t="n">
        <f aca="false">Z1021-P1021*R1021/(1-R1021)</f>
        <v>17624.0505050505</v>
      </c>
      <c r="X1021" s="21" t="n">
        <f aca="false">S1021+V1021+W1021</f>
        <v>262687</v>
      </c>
      <c r="Y1021" s="19" t="n">
        <v>244585</v>
      </c>
      <c r="Z1021" s="19" t="n">
        <v>18102</v>
      </c>
      <c r="AA1021" s="19" t="n">
        <v>1906572</v>
      </c>
      <c r="AB1021" s="29" t="n">
        <v>31.56</v>
      </c>
      <c r="AC1021" s="29" t="n">
        <v>31.32125</v>
      </c>
      <c r="AD1021" s="24" t="n">
        <f aca="false">IFERROR(AA1021/AC1021,0)</f>
        <v>60871.5169413737</v>
      </c>
      <c r="AE1021" s="25" t="n">
        <f aca="false">K1021-Q1021-X1021</f>
        <v>-1</v>
      </c>
      <c r="AF1021" s="25" t="n">
        <f aca="false">Q1021-AA1021</f>
        <v>0</v>
      </c>
      <c r="AG1021" s="19" t="n">
        <v>1525781.787709</v>
      </c>
      <c r="AH1021" s="26" t="n">
        <f aca="false">IFERROR(AG1021/Q1021,0)</f>
        <v>0.800274937274332</v>
      </c>
      <c r="AI1021" s="27" t="n">
        <v>423203044.276498</v>
      </c>
      <c r="AJ1021" s="26" t="n">
        <f aca="false">IF(AI1021&gt;0,AprCoef/SQRT(AI1021),0)</f>
        <v>0.0230411393302096</v>
      </c>
      <c r="AK1021" s="24" t="n">
        <f aca="false">AI1021*AJ1021/365</f>
        <v>26715.288515462</v>
      </c>
      <c r="AL1021" s="24" t="n">
        <f aca="false">AD1021</f>
        <v>60871.5169413737</v>
      </c>
      <c r="AM1021" s="24" t="n">
        <f aca="false">AK1021-AL1021</f>
        <v>-34156.2284259117</v>
      </c>
      <c r="AN1021" s="28" t="str">
        <f aca="false">IF(A1021&gt;=Hip3LaunchDate,"YES","")</f>
        <v>YES</v>
      </c>
      <c r="AO1021" s="28" t="str">
        <f aca="false">IF(A1021&lt;Hip4LaunchDate,"pre-launch","live (zero-fee)")</f>
        <v>pre-launch</v>
      </c>
      <c r="AP1021" s="30" t="n">
        <v>107</v>
      </c>
      <c r="AQ1021" s="30" t="n">
        <v>76</v>
      </c>
      <c r="AR1021" s="19" t="n">
        <v>52060.1503288896</v>
      </c>
    </row>
    <row r="1022" customFormat="false" ht="15" hidden="false" customHeight="false" outlineLevel="0" collapsed="false">
      <c r="A1022" s="18" t="n">
        <v>46083</v>
      </c>
      <c r="B1022" s="19" t="n">
        <v>6215232506.72</v>
      </c>
      <c r="C1022" s="19" t="n">
        <v>2622547393.35</v>
      </c>
      <c r="D1022" s="19" t="n">
        <v>179137288</v>
      </c>
      <c r="E1022" s="21" t="n">
        <f aca="false">B1022+C1022</f>
        <v>8837779900.07</v>
      </c>
      <c r="F1022" s="21" t="n">
        <f aca="false">E1022+D1022</f>
        <v>9016917188.07</v>
      </c>
      <c r="G1022" s="22" t="n">
        <f aca="false">IFERROR(C1022/E1022,0)</f>
        <v>0.296742781898113</v>
      </c>
      <c r="H1022" s="19" t="n">
        <v>2721328</v>
      </c>
      <c r="I1022" s="19" t="n">
        <v>83228</v>
      </c>
      <c r="J1022" s="19" t="n">
        <v>25636</v>
      </c>
      <c r="K1022" s="21" t="n">
        <f aca="false">H1022+I1022</f>
        <v>2804556</v>
      </c>
      <c r="L1022" s="19" t="n">
        <v>141947.237448348</v>
      </c>
      <c r="M1022" s="21" t="n">
        <f aca="false">H1022-L1022</f>
        <v>2579380.76255165</v>
      </c>
      <c r="N1022" s="23" t="n">
        <f aca="false">IFERROR(M1022/B1022*10000,0)</f>
        <v>4.15009536612313</v>
      </c>
      <c r="O1022" s="19" t="n">
        <v>2470625</v>
      </c>
      <c r="P1022" s="19" t="n">
        <v>67367</v>
      </c>
      <c r="Q1022" s="21" t="n">
        <f aca="false">O1022+P1022</f>
        <v>2537992</v>
      </c>
      <c r="R1022" s="22" t="n">
        <f aca="false">IF(A1022&lt;HlpChangeDate,HlpSharePre,HlpSharePost)</f>
        <v>0.01</v>
      </c>
      <c r="S1022" s="21" t="n">
        <f aca="false">Q1022*R1022/(1-R1022)</f>
        <v>25636.2828282828</v>
      </c>
      <c r="T1022" s="19" t="n">
        <v>25636</v>
      </c>
      <c r="U1022" s="21" t="n">
        <f aca="false">S1022-T1022</f>
        <v>0.282828282830451</v>
      </c>
      <c r="V1022" s="21" t="n">
        <f aca="false">Y1022-O1022*R1022/(1-R1022)</f>
        <v>225747.191919192</v>
      </c>
      <c r="W1022" s="21" t="n">
        <f aca="false">Z1022-P1022*R1022/(1-R1022)</f>
        <v>15180.5252525253</v>
      </c>
      <c r="X1022" s="21" t="n">
        <f aca="false">S1022+V1022+W1022</f>
        <v>266564</v>
      </c>
      <c r="Y1022" s="19" t="n">
        <v>250703</v>
      </c>
      <c r="Z1022" s="19" t="n">
        <v>15861</v>
      </c>
      <c r="AA1022" s="19" t="n">
        <v>2537992</v>
      </c>
      <c r="AB1022" s="29" t="n">
        <v>32.829</v>
      </c>
      <c r="AC1022" s="29" t="n">
        <v>32.01375</v>
      </c>
      <c r="AD1022" s="24" t="n">
        <f aca="false">IFERROR(AA1022/AC1022,0)</f>
        <v>79278.1851548163</v>
      </c>
      <c r="AE1022" s="25" t="n">
        <f aca="false">K1022-Q1022-X1022</f>
        <v>0</v>
      </c>
      <c r="AF1022" s="25" t="n">
        <f aca="false">Q1022-AA1022</f>
        <v>0</v>
      </c>
      <c r="AG1022" s="19" t="n">
        <v>2085138.93719196</v>
      </c>
      <c r="AH1022" s="26" t="n">
        <f aca="false">IFERROR(AG1022/Q1022,0)</f>
        <v>0.821570334812704</v>
      </c>
      <c r="AI1022" s="27" t="n">
        <v>423357811.023042</v>
      </c>
      <c r="AJ1022" s="26" t="n">
        <f aca="false">IF(AI1022&gt;0,AprCoef/SQRT(AI1022),0)</f>
        <v>0.0230369273751646</v>
      </c>
      <c r="AK1022" s="24" t="n">
        <f aca="false">AI1022*AJ1022/365</f>
        <v>26720.173003415</v>
      </c>
      <c r="AL1022" s="24" t="n">
        <f aca="false">AD1022</f>
        <v>79278.1851548163</v>
      </c>
      <c r="AM1022" s="24" t="n">
        <f aca="false">AK1022-AL1022</f>
        <v>-52558.0121514013</v>
      </c>
      <c r="AN1022" s="28" t="str">
        <f aca="false">IF(A1022&gt;=Hip3LaunchDate,"YES","")</f>
        <v>YES</v>
      </c>
      <c r="AO1022" s="28" t="str">
        <f aca="false">IF(A1022&lt;Hip4LaunchDate,"pre-launch","live (zero-fee)")</f>
        <v>pre-launch</v>
      </c>
      <c r="AP1022" s="30" t="n">
        <v>110</v>
      </c>
      <c r="AQ1022" s="30" t="n">
        <v>79</v>
      </c>
      <c r="AR1022" s="19" t="n">
        <v>131033.038561053</v>
      </c>
    </row>
    <row r="1023" customFormat="false" ht="15" hidden="false" customHeight="false" outlineLevel="0" collapsed="false">
      <c r="A1023" s="18" t="n">
        <v>46084</v>
      </c>
      <c r="B1023" s="19" t="n">
        <v>6245339721.38</v>
      </c>
      <c r="C1023" s="19" t="n">
        <v>3970747772.51</v>
      </c>
      <c r="D1023" s="19" t="n">
        <v>157567502</v>
      </c>
      <c r="E1023" s="21" t="n">
        <f aca="false">B1023+C1023</f>
        <v>10216087493.89</v>
      </c>
      <c r="F1023" s="21" t="n">
        <f aca="false">E1023+D1023</f>
        <v>10373654995.89</v>
      </c>
      <c r="G1023" s="22" t="n">
        <f aca="false">IFERROR(C1023/E1023,0)</f>
        <v>0.388675975502834</v>
      </c>
      <c r="H1023" s="19" t="n">
        <v>2641731</v>
      </c>
      <c r="I1023" s="19" t="n">
        <v>69875</v>
      </c>
      <c r="J1023" s="19" t="n">
        <v>25019</v>
      </c>
      <c r="K1023" s="21" t="n">
        <f aca="false">H1023+I1023</f>
        <v>2711606</v>
      </c>
      <c r="L1023" s="19" t="n">
        <v>217288.170563925</v>
      </c>
      <c r="M1023" s="21" t="n">
        <f aca="false">H1023-L1023</f>
        <v>2424442.82943608</v>
      </c>
      <c r="N1023" s="23" t="n">
        <f aca="false">IFERROR(M1023/B1023*10000,0)</f>
        <v>3.88200312168184</v>
      </c>
      <c r="O1023" s="19" t="n">
        <v>2422753</v>
      </c>
      <c r="P1023" s="19" t="n">
        <v>54133</v>
      </c>
      <c r="Q1023" s="21" t="n">
        <f aca="false">O1023+P1023</f>
        <v>2476886</v>
      </c>
      <c r="R1023" s="22" t="n">
        <f aca="false">IF(A1023&lt;HlpChangeDate,HlpSharePre,HlpSharePost)</f>
        <v>0.01</v>
      </c>
      <c r="S1023" s="21" t="n">
        <f aca="false">Q1023*R1023/(1-R1023)</f>
        <v>25019.0505050505</v>
      </c>
      <c r="T1023" s="19" t="n">
        <v>25019</v>
      </c>
      <c r="U1023" s="21" t="n">
        <f aca="false">S1023-T1023</f>
        <v>0.0505050505053077</v>
      </c>
      <c r="V1023" s="21" t="n">
        <f aca="false">Y1023-O1023*R1023/(1-R1023)</f>
        <v>194505.747474747</v>
      </c>
      <c r="W1023" s="21" t="n">
        <f aca="false">Z1023-P1023*R1023/(1-R1023)</f>
        <v>15195.202020202</v>
      </c>
      <c r="X1023" s="21" t="n">
        <f aca="false">S1023+V1023+W1023</f>
        <v>234720</v>
      </c>
      <c r="Y1023" s="19" t="n">
        <v>218978</v>
      </c>
      <c r="Z1023" s="19" t="n">
        <v>15742</v>
      </c>
      <c r="AA1023" s="19" t="n">
        <v>2476886</v>
      </c>
      <c r="AB1023" s="29" t="n">
        <v>31.298</v>
      </c>
      <c r="AC1023" s="29" t="n">
        <v>32.12025</v>
      </c>
      <c r="AD1023" s="24" t="n">
        <f aca="false">IFERROR(AA1023/AC1023,0)</f>
        <v>77112.9116367401</v>
      </c>
      <c r="AE1023" s="25" t="n">
        <f aca="false">K1023-Q1023-X1023</f>
        <v>0</v>
      </c>
      <c r="AF1023" s="25" t="n">
        <f aca="false">Q1023-AA1023</f>
        <v>0</v>
      </c>
      <c r="AG1023" s="19" t="n">
        <v>2156682.42325616</v>
      </c>
      <c r="AH1023" s="26" t="n">
        <f aca="false">IFERROR(AG1023/Q1023,0)</f>
        <v>0.870723328912255</v>
      </c>
      <c r="AI1023" s="27" t="n">
        <v>423512577.769585</v>
      </c>
      <c r="AJ1023" s="26" t="n">
        <f aca="false">IF(AI1023&gt;0,AprCoef/SQRT(AI1023),0)</f>
        <v>0.0230327177291308</v>
      </c>
      <c r="AK1023" s="24" t="n">
        <f aca="false">AI1023*AJ1023/365</f>
        <v>26725.0565986395</v>
      </c>
      <c r="AL1023" s="24" t="n">
        <f aca="false">AD1023</f>
        <v>77112.9116367401</v>
      </c>
      <c r="AM1023" s="24" t="n">
        <f aca="false">AK1023-AL1023</f>
        <v>-50387.8550381006</v>
      </c>
      <c r="AN1023" s="28" t="str">
        <f aca="false">IF(A1023&gt;=Hip3LaunchDate,"YES","")</f>
        <v>YES</v>
      </c>
      <c r="AO1023" s="28" t="str">
        <f aca="false">IF(A1023&lt;Hip4LaunchDate,"pre-launch","live (zero-fee)")</f>
        <v>pre-launch</v>
      </c>
      <c r="AP1023" s="30" t="n">
        <v>110</v>
      </c>
      <c r="AQ1023" s="30" t="n">
        <v>79</v>
      </c>
      <c r="AR1023" s="19" t="n">
        <v>206922.566992627</v>
      </c>
    </row>
    <row r="1024" customFormat="false" ht="15" hidden="false" customHeight="false" outlineLevel="0" collapsed="false">
      <c r="A1024" s="18" t="n">
        <v>46085</v>
      </c>
      <c r="B1024" s="19" t="n">
        <v>7672968416.22</v>
      </c>
      <c r="C1024" s="19" t="n">
        <v>2625618610.69</v>
      </c>
      <c r="D1024" s="19" t="n">
        <v>231627388</v>
      </c>
      <c r="E1024" s="21" t="n">
        <f aca="false">B1024+C1024</f>
        <v>10298587026.91</v>
      </c>
      <c r="F1024" s="21" t="n">
        <f aca="false">E1024+D1024</f>
        <v>10530214414.91</v>
      </c>
      <c r="G1024" s="22" t="n">
        <f aca="false">IFERROR(C1024/E1024,0)</f>
        <v>0.254949402653909</v>
      </c>
      <c r="H1024" s="19" t="n">
        <v>3357921</v>
      </c>
      <c r="I1024" s="19" t="n">
        <v>113394</v>
      </c>
      <c r="J1024" s="19" t="n">
        <v>31491</v>
      </c>
      <c r="K1024" s="21" t="n">
        <f aca="false">H1024+I1024</f>
        <v>3471315</v>
      </c>
      <c r="L1024" s="19" t="n">
        <v>125092.89879237</v>
      </c>
      <c r="M1024" s="21" t="n">
        <f aca="false">H1024-L1024</f>
        <v>3232828.10120763</v>
      </c>
      <c r="N1024" s="23" t="n">
        <f aca="false">IFERROR(M1024/B1024*10000,0)</f>
        <v>4.21326913632761</v>
      </c>
      <c r="O1024" s="19" t="n">
        <v>3039916</v>
      </c>
      <c r="P1024" s="19" t="n">
        <v>77670</v>
      </c>
      <c r="Q1024" s="21" t="n">
        <f aca="false">O1024+P1024</f>
        <v>3117586</v>
      </c>
      <c r="R1024" s="22" t="n">
        <f aca="false">IF(A1024&lt;HlpChangeDate,HlpSharePre,HlpSharePost)</f>
        <v>0.01</v>
      </c>
      <c r="S1024" s="21" t="n">
        <f aca="false">Q1024*R1024/(1-R1024)</f>
        <v>31490.7676767677</v>
      </c>
      <c r="T1024" s="19" t="n">
        <v>31491</v>
      </c>
      <c r="U1024" s="21" t="n">
        <f aca="false">S1024-T1024</f>
        <v>-0.232323232321505</v>
      </c>
      <c r="V1024" s="21" t="n">
        <f aca="false">Y1024-O1024*R1024/(1-R1024)</f>
        <v>287298.777777778</v>
      </c>
      <c r="W1024" s="21" t="n">
        <f aca="false">Z1024-P1024*R1024/(1-R1024)</f>
        <v>34939.4545454545</v>
      </c>
      <c r="X1024" s="21" t="n">
        <f aca="false">S1024+V1024+W1024</f>
        <v>353729</v>
      </c>
      <c r="Y1024" s="19" t="n">
        <v>318005</v>
      </c>
      <c r="Z1024" s="19" t="n">
        <v>35724</v>
      </c>
      <c r="AA1024" s="19" t="n">
        <v>3117586</v>
      </c>
      <c r="AB1024" s="29" t="n">
        <v>32.16</v>
      </c>
      <c r="AC1024" s="29" t="n">
        <v>31.86575</v>
      </c>
      <c r="AD1024" s="24" t="n">
        <f aca="false">IFERROR(AA1024/AC1024,0)</f>
        <v>97835.0109443525</v>
      </c>
      <c r="AE1024" s="25" t="n">
        <f aca="false">K1024-Q1024-X1024</f>
        <v>0</v>
      </c>
      <c r="AF1024" s="25" t="n">
        <f aca="false">Q1024-AA1024</f>
        <v>0</v>
      </c>
      <c r="AG1024" s="19" t="n">
        <v>2501583.1626389</v>
      </c>
      <c r="AH1024" s="26" t="n">
        <f aca="false">IFERROR(AG1024/Q1024,0)</f>
        <v>0.802410314467316</v>
      </c>
      <c r="AI1024" s="27" t="n">
        <v>423667344.516129</v>
      </c>
      <c r="AJ1024" s="26" t="n">
        <f aca="false">IF(AI1024&gt;0,AprCoef/SQRT(AI1024),0)</f>
        <v>0.0230285103899991</v>
      </c>
      <c r="AK1024" s="24" t="n">
        <f aca="false">AI1024*AJ1024/365</f>
        <v>26729.9393016246</v>
      </c>
      <c r="AL1024" s="24" t="n">
        <f aca="false">AD1024</f>
        <v>97835.0109443525</v>
      </c>
      <c r="AM1024" s="24" t="n">
        <f aca="false">AK1024-AL1024</f>
        <v>-71105.0716427279</v>
      </c>
      <c r="AN1024" s="28" t="str">
        <f aca="false">IF(A1024&gt;=Hip3LaunchDate,"YES","")</f>
        <v>YES</v>
      </c>
      <c r="AO1024" s="28" t="str">
        <f aca="false">IF(A1024&lt;Hip4LaunchDate,"pre-launch","live (zero-fee)")</f>
        <v>pre-launch</v>
      </c>
      <c r="AP1024" s="30" t="n">
        <v>112</v>
      </c>
      <c r="AQ1024" s="30" t="n">
        <v>81</v>
      </c>
      <c r="AR1024" s="19" t="n">
        <v>109531.355949852</v>
      </c>
    </row>
    <row r="1025" customFormat="false" ht="15" hidden="false" customHeight="false" outlineLevel="0" collapsed="false">
      <c r="A1025" s="18" t="n">
        <v>46086</v>
      </c>
      <c r="B1025" s="19" t="n">
        <v>5195422668.23</v>
      </c>
      <c r="C1025" s="19" t="n">
        <v>2307526091.29</v>
      </c>
      <c r="D1025" s="19" t="n">
        <v>135986441</v>
      </c>
      <c r="E1025" s="21" t="n">
        <f aca="false">B1025+C1025</f>
        <v>7502948759.52</v>
      </c>
      <c r="F1025" s="21" t="n">
        <f aca="false">E1025+D1025</f>
        <v>7638935200.52</v>
      </c>
      <c r="G1025" s="22" t="n">
        <f aca="false">IFERROR(C1025/E1025,0)</f>
        <v>0.307549227010531</v>
      </c>
      <c r="H1025" s="19" t="n">
        <v>2252757</v>
      </c>
      <c r="I1025" s="19" t="n">
        <v>58371</v>
      </c>
      <c r="J1025" s="19" t="n">
        <v>20981</v>
      </c>
      <c r="K1025" s="21" t="n">
        <f aca="false">H1025+I1025</f>
        <v>2311128</v>
      </c>
      <c r="L1025" s="19" t="n">
        <v>112762.650894424</v>
      </c>
      <c r="M1025" s="21" t="n">
        <f aca="false">H1025-L1025</f>
        <v>2139994.34910558</v>
      </c>
      <c r="N1025" s="23" t="n">
        <f aca="false">IFERROR(M1025/B1025*10000,0)</f>
        <v>4.11899952277538</v>
      </c>
      <c r="O1025" s="19" t="n">
        <v>2032131</v>
      </c>
      <c r="P1025" s="19" t="n">
        <v>44998</v>
      </c>
      <c r="Q1025" s="21" t="n">
        <f aca="false">O1025+P1025</f>
        <v>2077129</v>
      </c>
      <c r="R1025" s="22" t="n">
        <f aca="false">IF(A1025&lt;HlpChangeDate,HlpSharePre,HlpSharePost)</f>
        <v>0.01</v>
      </c>
      <c r="S1025" s="21" t="n">
        <f aca="false">Q1025*R1025/(1-R1025)</f>
        <v>20981.101010101</v>
      </c>
      <c r="T1025" s="19" t="n">
        <v>20981</v>
      </c>
      <c r="U1025" s="21" t="n">
        <f aca="false">S1025-T1025</f>
        <v>0.101010101010615</v>
      </c>
      <c r="V1025" s="21" t="n">
        <f aca="false">Y1025-O1025*R1025/(1-R1025)</f>
        <v>200099.424242424</v>
      </c>
      <c r="W1025" s="21" t="n">
        <f aca="false">Z1025-P1025*R1025/(1-R1025)</f>
        <v>12919.4747474747</v>
      </c>
      <c r="X1025" s="21" t="n">
        <f aca="false">S1025+V1025+W1025</f>
        <v>234000</v>
      </c>
      <c r="Y1025" s="19" t="n">
        <v>220626</v>
      </c>
      <c r="Z1025" s="19" t="n">
        <v>13374</v>
      </c>
      <c r="AA1025" s="19" t="n">
        <v>2077129</v>
      </c>
      <c r="AB1025" s="29" t="n">
        <v>30.53</v>
      </c>
      <c r="AC1025" s="29" t="n">
        <v>31.29325</v>
      </c>
      <c r="AD1025" s="24" t="n">
        <f aca="false">IFERROR(AA1025/AC1025,0)</f>
        <v>66376.2632516597</v>
      </c>
      <c r="AE1025" s="25" t="n">
        <f aca="false">K1025-Q1025-X1025</f>
        <v>-1</v>
      </c>
      <c r="AF1025" s="25" t="n">
        <f aca="false">Q1025-AA1025</f>
        <v>0</v>
      </c>
      <c r="AG1025" s="19" t="n">
        <v>1718461.13442206</v>
      </c>
      <c r="AH1025" s="26" t="n">
        <f aca="false">IFERROR(AG1025/Q1025,0)</f>
        <v>0.827325185109863</v>
      </c>
      <c r="AI1025" s="27" t="n">
        <v>423822111.262673</v>
      </c>
      <c r="AJ1025" s="26" t="n">
        <f aca="false">IF(AI1025&gt;0,AprCoef/SQRT(AI1025),0)</f>
        <v>0.0230243053556633</v>
      </c>
      <c r="AK1025" s="24" t="n">
        <f aca="false">AI1025*AJ1025/365</f>
        <v>26734.8211128594</v>
      </c>
      <c r="AL1025" s="24" t="n">
        <f aca="false">AD1025</f>
        <v>66376.2632516597</v>
      </c>
      <c r="AM1025" s="24" t="n">
        <f aca="false">AK1025-AL1025</f>
        <v>-39641.4421388004</v>
      </c>
      <c r="AN1025" s="28" t="str">
        <f aca="false">IF(A1025&gt;=Hip3LaunchDate,"YES","")</f>
        <v>YES</v>
      </c>
      <c r="AO1025" s="28" t="str">
        <f aca="false">IF(A1025&lt;Hip4LaunchDate,"pre-launch","live (zero-fee)")</f>
        <v>pre-launch</v>
      </c>
      <c r="AP1025" s="30" t="n">
        <v>112</v>
      </c>
      <c r="AQ1025" s="30" t="n">
        <v>81</v>
      </c>
      <c r="AR1025" s="19" t="n">
        <v>103149.140613831</v>
      </c>
    </row>
    <row r="1026" customFormat="false" ht="15" hidden="false" customHeight="false" outlineLevel="0" collapsed="false">
      <c r="A1026" s="18" t="n">
        <v>46087</v>
      </c>
      <c r="B1026" s="19" t="n">
        <v>5743031424.95</v>
      </c>
      <c r="C1026" s="19" t="n">
        <v>2350692291.47</v>
      </c>
      <c r="D1026" s="19" t="n">
        <v>155182594</v>
      </c>
      <c r="E1026" s="21" t="n">
        <f aca="false">B1026+C1026</f>
        <v>8093723716.42</v>
      </c>
      <c r="F1026" s="21" t="n">
        <f aca="false">E1026+D1026</f>
        <v>8248906310.42</v>
      </c>
      <c r="G1026" s="22" t="n">
        <f aca="false">IFERROR(C1026/E1026,0)</f>
        <v>0.290433967581705</v>
      </c>
      <c r="H1026" s="19" t="n">
        <v>2629551</v>
      </c>
      <c r="I1026" s="19" t="n">
        <v>68818</v>
      </c>
      <c r="J1026" s="19" t="n">
        <v>24579</v>
      </c>
      <c r="K1026" s="21" t="n">
        <f aca="false">H1026+I1026</f>
        <v>2698369</v>
      </c>
      <c r="L1026" s="19" t="n">
        <v>103382.332497829</v>
      </c>
      <c r="M1026" s="21" t="n">
        <f aca="false">H1026-L1026</f>
        <v>2526168.66750217</v>
      </c>
      <c r="N1026" s="23" t="n">
        <f aca="false">IFERROR(M1026/B1026*10000,0)</f>
        <v>4.39866767318649</v>
      </c>
      <c r="O1026" s="19" t="n">
        <v>2383854</v>
      </c>
      <c r="P1026" s="19" t="n">
        <v>49166</v>
      </c>
      <c r="Q1026" s="21" t="n">
        <f aca="false">O1026+P1026</f>
        <v>2433020</v>
      </c>
      <c r="R1026" s="22" t="n">
        <f aca="false">IF(A1026&lt;HlpChangeDate,HlpSharePre,HlpSharePost)</f>
        <v>0.01</v>
      </c>
      <c r="S1026" s="21" t="n">
        <f aca="false">Q1026*R1026/(1-R1026)</f>
        <v>24575.9595959596</v>
      </c>
      <c r="T1026" s="19" t="n">
        <v>24579</v>
      </c>
      <c r="U1026" s="21" t="n">
        <f aca="false">S1026-T1026</f>
        <v>-3.04040404040279</v>
      </c>
      <c r="V1026" s="21" t="n">
        <f aca="false">Y1026-O1026*R1026/(1-R1026)</f>
        <v>221617.666666667</v>
      </c>
      <c r="W1026" s="21" t="n">
        <f aca="false">Z1026-P1026*R1026/(1-R1026)</f>
        <v>19155.3737373737</v>
      </c>
      <c r="X1026" s="21" t="n">
        <f aca="false">S1026+V1026+W1026</f>
        <v>265349</v>
      </c>
      <c r="Y1026" s="19" t="n">
        <v>245697</v>
      </c>
      <c r="Z1026" s="19" t="n">
        <v>19652</v>
      </c>
      <c r="AA1026" s="19" t="n">
        <v>2433020</v>
      </c>
      <c r="AB1026" s="29" t="n">
        <v>31.035</v>
      </c>
      <c r="AC1026" s="29" t="n">
        <v>30.5925</v>
      </c>
      <c r="AD1026" s="24" t="n">
        <f aca="false">IFERROR(AA1026/AC1026,0)</f>
        <v>79529.9501511809</v>
      </c>
      <c r="AE1026" s="25" t="n">
        <f aca="false">K1026-Q1026-X1026</f>
        <v>0</v>
      </c>
      <c r="AF1026" s="25" t="n">
        <f aca="false">Q1026-AA1026</f>
        <v>0</v>
      </c>
      <c r="AG1026" s="19" t="n">
        <v>1957352.29811287</v>
      </c>
      <c r="AH1026" s="26" t="n">
        <f aca="false">IFERROR(AG1026/Q1026,0)</f>
        <v>0.80449494788899</v>
      </c>
      <c r="AI1026" s="27" t="n">
        <v>423976878.009217</v>
      </c>
      <c r="AJ1026" s="26" t="n">
        <f aca="false">IF(AI1026&gt;0,AprCoef/SQRT(AI1026),0)</f>
        <v>0.0230201026240199</v>
      </c>
      <c r="AK1026" s="24" t="n">
        <f aca="false">AI1026*AJ1026/365</f>
        <v>26739.7020328321</v>
      </c>
      <c r="AL1026" s="24" t="n">
        <f aca="false">AD1026</f>
        <v>79529.9501511809</v>
      </c>
      <c r="AM1026" s="24" t="n">
        <f aca="false">AK1026-AL1026</f>
        <v>-52790.2481183488</v>
      </c>
      <c r="AN1026" s="28" t="str">
        <f aca="false">IF(A1026&gt;=Hip3LaunchDate,"YES","")</f>
        <v>YES</v>
      </c>
      <c r="AO1026" s="28" t="str">
        <f aca="false">IF(A1026&lt;Hip4LaunchDate,"pre-launch","live (zero-fee)")</f>
        <v>pre-launch</v>
      </c>
      <c r="AP1026" s="30" t="n">
        <v>112</v>
      </c>
      <c r="AQ1026" s="30" t="n">
        <v>81</v>
      </c>
      <c r="AR1026" s="19" t="n">
        <v>95168.6207331546</v>
      </c>
    </row>
    <row r="1027" customFormat="false" ht="15" hidden="false" customHeight="false" outlineLevel="0" collapsed="false">
      <c r="A1027" s="18" t="n">
        <v>46088</v>
      </c>
      <c r="B1027" s="19" t="n">
        <v>2483108671.45</v>
      </c>
      <c r="C1027" s="19" t="n">
        <v>442352707.13</v>
      </c>
      <c r="D1027" s="19" t="n">
        <v>77353585</v>
      </c>
      <c r="E1027" s="21" t="n">
        <f aca="false">B1027+C1027</f>
        <v>2925461378.58</v>
      </c>
      <c r="F1027" s="21" t="n">
        <f aca="false">E1027+D1027</f>
        <v>3002814963.58</v>
      </c>
      <c r="G1027" s="22" t="n">
        <f aca="false">IFERROR(C1027/E1027,0)</f>
        <v>0.15120784378453</v>
      </c>
      <c r="H1027" s="19" t="n">
        <v>1089235</v>
      </c>
      <c r="I1027" s="19" t="n">
        <v>32483</v>
      </c>
      <c r="J1027" s="19" t="n">
        <v>9950</v>
      </c>
      <c r="K1027" s="21" t="n">
        <f aca="false">H1027+I1027</f>
        <v>1121718</v>
      </c>
      <c r="L1027" s="19" t="n">
        <v>19128.3994949556</v>
      </c>
      <c r="M1027" s="21" t="n">
        <f aca="false">H1027-L1027</f>
        <v>1070106.60050504</v>
      </c>
      <c r="N1027" s="23" t="n">
        <f aca="false">IFERROR(M1027/B1027*10000,0)</f>
        <v>4.30954397126792</v>
      </c>
      <c r="O1027" s="19" t="n">
        <v>959036</v>
      </c>
      <c r="P1027" s="19" t="n">
        <v>25966</v>
      </c>
      <c r="Q1027" s="21" t="n">
        <f aca="false">O1027+P1027</f>
        <v>985002</v>
      </c>
      <c r="R1027" s="22" t="n">
        <f aca="false">IF(A1027&lt;HlpChangeDate,HlpSharePre,HlpSharePost)</f>
        <v>0.01</v>
      </c>
      <c r="S1027" s="21" t="n">
        <f aca="false">Q1027*R1027/(1-R1027)</f>
        <v>9949.51515151515</v>
      </c>
      <c r="T1027" s="19" t="n">
        <v>9950</v>
      </c>
      <c r="U1027" s="21" t="n">
        <f aca="false">S1027-T1027</f>
        <v>-0.484848484848044</v>
      </c>
      <c r="V1027" s="21" t="n">
        <f aca="false">Y1027-O1027*R1027/(1-R1027)</f>
        <v>120511.767676768</v>
      </c>
      <c r="W1027" s="21" t="n">
        <f aca="false">Z1027-P1027*R1027/(1-R1027)</f>
        <v>6254.71717171717</v>
      </c>
      <c r="X1027" s="21" t="n">
        <f aca="false">S1027+V1027+W1027</f>
        <v>136716</v>
      </c>
      <c r="Y1027" s="19" t="n">
        <v>130199</v>
      </c>
      <c r="Z1027" s="19" t="n">
        <v>6517</v>
      </c>
      <c r="AA1027" s="19" t="n">
        <v>985002</v>
      </c>
      <c r="AB1027" s="29" t="n">
        <v>30.293</v>
      </c>
      <c r="AC1027" s="29" t="n">
        <v>30.56125</v>
      </c>
      <c r="AD1027" s="24" t="n">
        <f aca="false">IFERROR(AA1027/AC1027,0)</f>
        <v>32230.4225121682</v>
      </c>
      <c r="AE1027" s="25" t="n">
        <f aca="false">K1027-Q1027-X1027</f>
        <v>0</v>
      </c>
      <c r="AF1027" s="25" t="n">
        <f aca="false">Q1027-AA1027</f>
        <v>0</v>
      </c>
      <c r="AG1027" s="19" t="n">
        <v>762827.503599167</v>
      </c>
      <c r="AH1027" s="26" t="n">
        <f aca="false">IFERROR(AG1027/Q1027,0)</f>
        <v>0.774442593618253</v>
      </c>
      <c r="AI1027" s="27" t="n">
        <v>424131644.75576</v>
      </c>
      <c r="AJ1027" s="26" t="n">
        <f aca="false">IF(AI1027&gt;0,AprCoef/SQRT(AI1027),0)</f>
        <v>0.023015902192968</v>
      </c>
      <c r="AK1027" s="24" t="n">
        <f aca="false">AI1027*AJ1027/365</f>
        <v>26744.5820620308</v>
      </c>
      <c r="AL1027" s="24" t="n">
        <f aca="false">AD1027</f>
        <v>32230.4225121682</v>
      </c>
      <c r="AM1027" s="24" t="n">
        <f aca="false">AK1027-AL1027</f>
        <v>-5485.84045013741</v>
      </c>
      <c r="AN1027" s="28" t="str">
        <f aca="false">IF(A1027&gt;=Hip3LaunchDate,"YES","")</f>
        <v>YES</v>
      </c>
      <c r="AO1027" s="28" t="str">
        <f aca="false">IF(A1027&lt;Hip4LaunchDate,"pre-launch","live (zero-fee)")</f>
        <v>pre-launch</v>
      </c>
      <c r="AP1027" s="30" t="n">
        <v>112</v>
      </c>
      <c r="AQ1027" s="30" t="n">
        <v>81</v>
      </c>
      <c r="AR1027" s="19" t="n">
        <v>15497.8804636134</v>
      </c>
    </row>
    <row r="1028" customFormat="false" ht="15" hidden="false" customHeight="false" outlineLevel="0" collapsed="false">
      <c r="A1028" s="18" t="n">
        <v>46089</v>
      </c>
      <c r="B1028" s="19" t="n">
        <v>3757524066.12</v>
      </c>
      <c r="C1028" s="19" t="n">
        <v>875541392.57</v>
      </c>
      <c r="D1028" s="19" t="n">
        <v>93022962</v>
      </c>
      <c r="E1028" s="21" t="n">
        <f aca="false">B1028+C1028</f>
        <v>4633065458.69</v>
      </c>
      <c r="F1028" s="21" t="n">
        <f aca="false">E1028+D1028</f>
        <v>4726088420.69</v>
      </c>
      <c r="G1028" s="22" t="n">
        <f aca="false">IFERROR(C1028/E1028,0)</f>
        <v>0.188976693805997</v>
      </c>
      <c r="H1028" s="19" t="n">
        <v>1780540</v>
      </c>
      <c r="I1028" s="19" t="n">
        <v>38422</v>
      </c>
      <c r="J1028" s="19" t="n">
        <v>15868</v>
      </c>
      <c r="K1028" s="21" t="n">
        <f aca="false">H1028+I1028</f>
        <v>1818962</v>
      </c>
      <c r="L1028" s="19" t="n">
        <v>41479.4172321316</v>
      </c>
      <c r="M1028" s="21" t="n">
        <f aca="false">H1028-L1028</f>
        <v>1739060.58276787</v>
      </c>
      <c r="N1028" s="23" t="n">
        <f aca="false">IFERROR(M1028/B1028*10000,0)</f>
        <v>4.62820876770488</v>
      </c>
      <c r="O1028" s="19" t="n">
        <v>1541844</v>
      </c>
      <c r="P1028" s="19" t="n">
        <v>29097</v>
      </c>
      <c r="Q1028" s="21" t="n">
        <f aca="false">O1028+P1028</f>
        <v>1570941</v>
      </c>
      <c r="R1028" s="22" t="n">
        <f aca="false">IF(A1028&lt;HlpChangeDate,HlpSharePre,HlpSharePost)</f>
        <v>0.01</v>
      </c>
      <c r="S1028" s="21" t="n">
        <f aca="false">Q1028*R1028/(1-R1028)</f>
        <v>15868.0909090909</v>
      </c>
      <c r="T1028" s="19" t="n">
        <v>15868</v>
      </c>
      <c r="U1028" s="21" t="n">
        <f aca="false">S1028-T1028</f>
        <v>0.0909090909099177</v>
      </c>
      <c r="V1028" s="21" t="n">
        <f aca="false">Y1028-O1028*R1028/(1-R1028)</f>
        <v>223121.818181818</v>
      </c>
      <c r="W1028" s="21" t="n">
        <f aca="false">Z1028-P1028*R1028/(1-R1028)</f>
        <v>9031.09090909091</v>
      </c>
      <c r="X1028" s="21" t="n">
        <f aca="false">S1028+V1028+W1028</f>
        <v>248021</v>
      </c>
      <c r="Y1028" s="19" t="n">
        <v>238696</v>
      </c>
      <c r="Z1028" s="19" t="n">
        <v>9325</v>
      </c>
      <c r="AA1028" s="19" t="n">
        <v>1570941</v>
      </c>
      <c r="AB1028" s="29" t="n">
        <v>30.717</v>
      </c>
      <c r="AC1028" s="29" t="n">
        <v>30.47775</v>
      </c>
      <c r="AD1028" s="24" t="n">
        <f aca="false">IFERROR(AA1028/AC1028,0)</f>
        <v>51543.8639663361</v>
      </c>
      <c r="AE1028" s="25" t="n">
        <f aca="false">K1028-Q1028-X1028</f>
        <v>0</v>
      </c>
      <c r="AF1028" s="25" t="n">
        <f aca="false">Q1028-AA1028</f>
        <v>0</v>
      </c>
      <c r="AG1028" s="19" t="n">
        <v>1178361.83059096</v>
      </c>
      <c r="AH1028" s="26" t="n">
        <f aca="false">IFERROR(AG1028/Q1028,0)</f>
        <v>0.750099354839528</v>
      </c>
      <c r="AI1028" s="27" t="n">
        <v>424286411.502304</v>
      </c>
      <c r="AJ1028" s="26" t="n">
        <f aca="false">IF(AI1028&gt;0,AprCoef/SQRT(AI1028),0)</f>
        <v>0.0230117040604096</v>
      </c>
      <c r="AK1028" s="24" t="n">
        <f aca="false">AI1028*AJ1028/365</f>
        <v>26749.4612009429</v>
      </c>
      <c r="AL1028" s="24" t="n">
        <f aca="false">AD1028</f>
        <v>51543.8639663361</v>
      </c>
      <c r="AM1028" s="24" t="n">
        <f aca="false">AK1028-AL1028</f>
        <v>-24794.4027653931</v>
      </c>
      <c r="AN1028" s="28" t="str">
        <f aca="false">IF(A1028&gt;=Hip3LaunchDate,"YES","")</f>
        <v>YES</v>
      </c>
      <c r="AO1028" s="28" t="str">
        <f aca="false">IF(A1028&lt;Hip4LaunchDate,"pre-launch","live (zero-fee)")</f>
        <v>pre-launch</v>
      </c>
      <c r="AP1028" s="30" t="n">
        <v>112</v>
      </c>
      <c r="AQ1028" s="30" t="n">
        <v>82</v>
      </c>
      <c r="AR1028" s="19" t="n">
        <v>35897.5707696382</v>
      </c>
    </row>
    <row r="1029" customFormat="false" ht="15" hidden="false" customHeight="false" outlineLevel="0" collapsed="false">
      <c r="A1029" s="18" t="n">
        <v>46090</v>
      </c>
      <c r="B1029" s="19" t="n">
        <v>6133376257.35</v>
      </c>
      <c r="C1029" s="19" t="n">
        <v>4129289893.77</v>
      </c>
      <c r="D1029" s="19" t="n">
        <v>214665220</v>
      </c>
      <c r="E1029" s="21" t="n">
        <f aca="false">B1029+C1029</f>
        <v>10262666151.12</v>
      </c>
      <c r="F1029" s="21" t="n">
        <f aca="false">E1029+D1029</f>
        <v>10477331371.12</v>
      </c>
      <c r="G1029" s="22" t="n">
        <f aca="false">IFERROR(C1029/E1029,0)</f>
        <v>0.402360345057055</v>
      </c>
      <c r="H1029" s="19" t="n">
        <v>2921136</v>
      </c>
      <c r="I1029" s="19" t="n">
        <v>97117</v>
      </c>
      <c r="J1029" s="19" t="n">
        <v>26985</v>
      </c>
      <c r="K1029" s="21" t="n">
        <f aca="false">H1029+I1029</f>
        <v>3018253</v>
      </c>
      <c r="L1029" s="19" t="n">
        <v>158252.313514952</v>
      </c>
      <c r="M1029" s="21" t="n">
        <f aca="false">H1029-L1029</f>
        <v>2762883.68648505</v>
      </c>
      <c r="N1029" s="23" t="n">
        <f aca="false">IFERROR(M1029/B1029*10000,0)</f>
        <v>4.5046701368991</v>
      </c>
      <c r="O1029" s="19" t="n">
        <v>2596854</v>
      </c>
      <c r="P1029" s="19" t="n">
        <v>74733</v>
      </c>
      <c r="Q1029" s="21" t="n">
        <f aca="false">O1029+P1029</f>
        <v>2671587</v>
      </c>
      <c r="R1029" s="22" t="n">
        <f aca="false">IF(A1029&lt;HlpChangeDate,HlpSharePre,HlpSharePost)</f>
        <v>0.01</v>
      </c>
      <c r="S1029" s="21" t="n">
        <f aca="false">Q1029*R1029/(1-R1029)</f>
        <v>26985.7272727273</v>
      </c>
      <c r="T1029" s="19" t="n">
        <v>26985</v>
      </c>
      <c r="U1029" s="21" t="n">
        <f aca="false">S1029-T1029</f>
        <v>0.727272727272066</v>
      </c>
      <c r="V1029" s="21" t="n">
        <f aca="false">Y1029-O1029*R1029/(1-R1029)</f>
        <v>298052.151515152</v>
      </c>
      <c r="W1029" s="21" t="n">
        <f aca="false">Z1029-P1029*R1029/(1-R1029)</f>
        <v>21628.1212121212</v>
      </c>
      <c r="X1029" s="21" t="n">
        <f aca="false">S1029+V1029+W1029</f>
        <v>346666</v>
      </c>
      <c r="Y1029" s="19" t="n">
        <v>324283</v>
      </c>
      <c r="Z1029" s="19" t="n">
        <v>22383</v>
      </c>
      <c r="AA1029" s="19" t="n">
        <v>2671587</v>
      </c>
      <c r="AB1029" s="29" t="n">
        <v>34.682</v>
      </c>
      <c r="AC1029" s="29" t="n">
        <v>32.751</v>
      </c>
      <c r="AD1029" s="24" t="n">
        <f aca="false">IFERROR(AA1029/AC1029,0)</f>
        <v>81572.6848035175</v>
      </c>
      <c r="AE1029" s="25" t="n">
        <f aca="false">K1029-Q1029-X1029</f>
        <v>0</v>
      </c>
      <c r="AF1029" s="25" t="n">
        <f aca="false">Q1029-AA1029</f>
        <v>0</v>
      </c>
      <c r="AG1029" s="19" t="n">
        <v>2124463.52236295</v>
      </c>
      <c r="AH1029" s="26" t="n">
        <f aca="false">IFERROR(AG1029/Q1029,0)</f>
        <v>0.795206565372173</v>
      </c>
      <c r="AI1029" s="27" t="n">
        <v>424441178.248848</v>
      </c>
      <c r="AJ1029" s="26" t="n">
        <f aca="false">IF(AI1029&gt;0,AprCoef/SQRT(AI1029),0)</f>
        <v>0.023007508224249</v>
      </c>
      <c r="AK1029" s="24" t="n">
        <f aca="false">AI1029*AJ1029/365</f>
        <v>26754.3394500557</v>
      </c>
      <c r="AL1029" s="24" t="n">
        <f aca="false">AD1029</f>
        <v>81572.6848035175</v>
      </c>
      <c r="AM1029" s="24" t="n">
        <f aca="false">AK1029-AL1029</f>
        <v>-54818.3453534618</v>
      </c>
      <c r="AN1029" s="28" t="str">
        <f aca="false">IF(A1029&gt;=Hip3LaunchDate,"YES","")</f>
        <v>YES</v>
      </c>
      <c r="AO1029" s="28" t="str">
        <f aca="false">IF(A1029&lt;Hip4LaunchDate,"pre-launch","live (zero-fee)")</f>
        <v>pre-launch</v>
      </c>
      <c r="AP1029" s="30" t="n">
        <v>112</v>
      </c>
      <c r="AQ1029" s="30" t="n">
        <v>82</v>
      </c>
      <c r="AR1029" s="19" t="n">
        <v>145180.89626791</v>
      </c>
    </row>
    <row r="1030" customFormat="false" ht="15" hidden="false" customHeight="false" outlineLevel="0" collapsed="false">
      <c r="A1030" s="18" t="n">
        <v>46091</v>
      </c>
      <c r="B1030" s="19" t="n">
        <v>5305133316.71</v>
      </c>
      <c r="C1030" s="19" t="n">
        <v>2699625399.39</v>
      </c>
      <c r="D1030" s="19" t="n">
        <v>138168410</v>
      </c>
      <c r="E1030" s="21" t="n">
        <f aca="false">B1030+C1030</f>
        <v>8004758716.1</v>
      </c>
      <c r="F1030" s="21" t="n">
        <f aca="false">E1030+D1030</f>
        <v>8142927126.1</v>
      </c>
      <c r="G1030" s="22" t="n">
        <f aca="false">IFERROR(C1030/E1030,0)</f>
        <v>0.337252563773126</v>
      </c>
      <c r="H1030" s="19" t="n">
        <v>2569896</v>
      </c>
      <c r="I1030" s="19" t="n">
        <v>65840</v>
      </c>
      <c r="J1030" s="19" t="n">
        <v>23581</v>
      </c>
      <c r="K1030" s="21" t="n">
        <f aca="false">H1030+I1030</f>
        <v>2635736</v>
      </c>
      <c r="L1030" s="19" t="n">
        <v>114842.244049441</v>
      </c>
      <c r="M1030" s="21" t="n">
        <f aca="false">H1030-L1030</f>
        <v>2455053.75595056</v>
      </c>
      <c r="N1030" s="23" t="n">
        <f aca="false">IFERROR(M1030/B1030*10000,0)</f>
        <v>4.62769474278371</v>
      </c>
      <c r="O1030" s="19" t="n">
        <v>2283759</v>
      </c>
      <c r="P1030" s="19" t="n">
        <v>50782</v>
      </c>
      <c r="Q1030" s="21" t="n">
        <f aca="false">O1030+P1030</f>
        <v>2334541</v>
      </c>
      <c r="R1030" s="22" t="n">
        <f aca="false">IF(A1030&lt;HlpChangeDate,HlpSharePre,HlpSharePost)</f>
        <v>0.01</v>
      </c>
      <c r="S1030" s="21" t="n">
        <f aca="false">Q1030*R1030/(1-R1030)</f>
        <v>23581.2222222222</v>
      </c>
      <c r="T1030" s="19" t="n">
        <v>23581</v>
      </c>
      <c r="U1030" s="21" t="n">
        <f aca="false">S1030-T1030</f>
        <v>0.222222222222626</v>
      </c>
      <c r="V1030" s="21" t="n">
        <f aca="false">Y1030-O1030*R1030/(1-R1030)</f>
        <v>263067.727272727</v>
      </c>
      <c r="W1030" s="21" t="n">
        <f aca="false">Z1030-P1030*R1030/(1-R1030)</f>
        <v>14545.0505050505</v>
      </c>
      <c r="X1030" s="21" t="n">
        <f aca="false">S1030+V1030+W1030</f>
        <v>301194</v>
      </c>
      <c r="Y1030" s="19" t="n">
        <v>286136</v>
      </c>
      <c r="Z1030" s="19" t="n">
        <v>15058</v>
      </c>
      <c r="AA1030" s="19" t="n">
        <v>2334541</v>
      </c>
      <c r="AB1030" s="29" t="n">
        <v>34.191</v>
      </c>
      <c r="AC1030" s="29" t="n">
        <v>34.389</v>
      </c>
      <c r="AD1030" s="24" t="n">
        <f aca="false">IFERROR(AA1030/AC1030,0)</f>
        <v>67886.2717729506</v>
      </c>
      <c r="AE1030" s="25" t="n">
        <f aca="false">K1030-Q1030-X1030</f>
        <v>0.999999999941792</v>
      </c>
      <c r="AF1030" s="25" t="n">
        <f aca="false">Q1030-AA1030</f>
        <v>0</v>
      </c>
      <c r="AG1030" s="19" t="n">
        <v>1811573.92176795</v>
      </c>
      <c r="AH1030" s="26" t="n">
        <f aca="false">IFERROR(AG1030/Q1030,0)</f>
        <v>0.775987194813863</v>
      </c>
      <c r="AI1030" s="27" t="n">
        <v>424595944.995392</v>
      </c>
      <c r="AJ1030" s="26" t="n">
        <f aca="false">IF(AI1030&gt;0,AprCoef/SQRT(AI1030),0)</f>
        <v>0.0230033146823937</v>
      </c>
      <c r="AK1030" s="24" t="n">
        <f aca="false">AI1030*AJ1030/365</f>
        <v>26759.2168098556</v>
      </c>
      <c r="AL1030" s="24" t="n">
        <f aca="false">AD1030</f>
        <v>67886.2717729506</v>
      </c>
      <c r="AM1030" s="24" t="n">
        <f aca="false">AK1030-AL1030</f>
        <v>-41127.054963095</v>
      </c>
      <c r="AN1030" s="28" t="str">
        <f aca="false">IF(A1030&gt;=Hip3LaunchDate,"YES","")</f>
        <v>YES</v>
      </c>
      <c r="AO1030" s="28" t="str">
        <f aca="false">IF(A1030&lt;Hip4LaunchDate,"pre-launch","live (zero-fee)")</f>
        <v>pre-launch</v>
      </c>
      <c r="AP1030" s="30" t="n">
        <v>114</v>
      </c>
      <c r="AQ1030" s="30" t="n">
        <v>84</v>
      </c>
      <c r="AR1030" s="19" t="n">
        <v>103412.687577632</v>
      </c>
    </row>
    <row r="1031" customFormat="false" ht="15" hidden="false" customHeight="false" outlineLevel="0" collapsed="false">
      <c r="A1031" s="18" t="n">
        <v>46092</v>
      </c>
      <c r="B1031" s="19" t="n">
        <v>4413251988.94</v>
      </c>
      <c r="C1031" s="19" t="n">
        <v>2321195729.17</v>
      </c>
      <c r="D1031" s="19" t="n">
        <v>153775554</v>
      </c>
      <c r="E1031" s="21" t="n">
        <f aca="false">B1031+C1031</f>
        <v>6734447718.11</v>
      </c>
      <c r="F1031" s="21" t="n">
        <f aca="false">E1031+D1031</f>
        <v>6888223272.11</v>
      </c>
      <c r="G1031" s="22" t="n">
        <f aca="false">IFERROR(C1031/E1031,0)</f>
        <v>0.34467499434704</v>
      </c>
      <c r="H1031" s="19" t="n">
        <v>1946525</v>
      </c>
      <c r="I1031" s="19" t="n">
        <v>79918</v>
      </c>
      <c r="J1031" s="19" t="n">
        <v>18307</v>
      </c>
      <c r="K1031" s="21" t="n">
        <f aca="false">H1031+I1031</f>
        <v>2026443</v>
      </c>
      <c r="L1031" s="19" t="n">
        <v>95374.9213192903</v>
      </c>
      <c r="M1031" s="21" t="n">
        <f aca="false">H1031-L1031</f>
        <v>1851150.07868071</v>
      </c>
      <c r="N1031" s="23" t="n">
        <f aca="false">IFERROR(M1031/B1031*10000,0)</f>
        <v>4.19452613020932</v>
      </c>
      <c r="O1031" s="19" t="n">
        <v>1748526</v>
      </c>
      <c r="P1031" s="19" t="n">
        <v>63829</v>
      </c>
      <c r="Q1031" s="21" t="n">
        <f aca="false">O1031+P1031</f>
        <v>1812355</v>
      </c>
      <c r="R1031" s="22" t="n">
        <f aca="false">IF(A1031&lt;HlpChangeDate,HlpSharePre,HlpSharePost)</f>
        <v>0.01</v>
      </c>
      <c r="S1031" s="21" t="n">
        <f aca="false">Q1031*R1031/(1-R1031)</f>
        <v>18306.6161616162</v>
      </c>
      <c r="T1031" s="19" t="n">
        <v>18307</v>
      </c>
      <c r="U1031" s="21" t="n">
        <f aca="false">S1031-T1031</f>
        <v>-0.383838383837428</v>
      </c>
      <c r="V1031" s="21" t="n">
        <f aca="false">Y1031-O1031*R1031/(1-R1031)</f>
        <v>180338.121212121</v>
      </c>
      <c r="W1031" s="21" t="n">
        <f aca="false">Z1031-P1031*R1031/(1-R1031)</f>
        <v>15445.2626262626</v>
      </c>
      <c r="X1031" s="21" t="n">
        <f aca="false">S1031+V1031+W1031</f>
        <v>214090</v>
      </c>
      <c r="Y1031" s="19" t="n">
        <v>198000</v>
      </c>
      <c r="Z1031" s="19" t="n">
        <v>16090</v>
      </c>
      <c r="AA1031" s="19" t="n">
        <v>1812355</v>
      </c>
      <c r="AB1031" s="29" t="n">
        <v>36.22</v>
      </c>
      <c r="AC1031" s="29" t="n">
        <v>35.37175</v>
      </c>
      <c r="AD1031" s="24" t="n">
        <f aca="false">IFERROR(AA1031/AC1031,0)</f>
        <v>51237.3574957417</v>
      </c>
      <c r="AE1031" s="25" t="n">
        <f aca="false">K1031-Q1031-X1031</f>
        <v>-2</v>
      </c>
      <c r="AF1031" s="25" t="n">
        <f aca="false">Q1031-AA1031</f>
        <v>0</v>
      </c>
      <c r="AG1031" s="19" t="n">
        <v>1451958.98818612</v>
      </c>
      <c r="AH1031" s="26" t="n">
        <f aca="false">IFERROR(AG1031/Q1031,0)</f>
        <v>0.801144912661218</v>
      </c>
      <c r="AI1031" s="27" t="n">
        <v>424750711.741936</v>
      </c>
      <c r="AJ1031" s="26" t="n">
        <f aca="false">IF(AI1031&gt;0,AprCoef/SQRT(AI1031),0)</f>
        <v>0.0229991234327532</v>
      </c>
      <c r="AK1031" s="24" t="n">
        <f aca="false">AI1031*AJ1031/365</f>
        <v>26764.093280829</v>
      </c>
      <c r="AL1031" s="24" t="n">
        <f aca="false">AD1031</f>
        <v>51237.3574957417</v>
      </c>
      <c r="AM1031" s="24" t="n">
        <f aca="false">AK1031-AL1031</f>
        <v>-24473.2642149127</v>
      </c>
      <c r="AN1031" s="28" t="str">
        <f aca="false">IF(A1031&gt;=Hip3LaunchDate,"YES","")</f>
        <v>YES</v>
      </c>
      <c r="AO1031" s="28" t="str">
        <f aca="false">IF(A1031&lt;Hip4LaunchDate,"pre-launch","live (zero-fee)")</f>
        <v>pre-launch</v>
      </c>
      <c r="AP1031" s="30" t="n">
        <v>115</v>
      </c>
      <c r="AQ1031" s="30" t="n">
        <v>85</v>
      </c>
      <c r="AR1031" s="19" t="n">
        <v>86385.4594062521</v>
      </c>
    </row>
    <row r="1032" customFormat="false" ht="15" hidden="false" customHeight="false" outlineLevel="0" collapsed="false">
      <c r="A1032" s="18" t="n">
        <v>46093</v>
      </c>
      <c r="B1032" s="19" t="n">
        <v>4232718804.17</v>
      </c>
      <c r="C1032" s="19" t="n">
        <v>2718505715.42</v>
      </c>
      <c r="D1032" s="19" t="n">
        <v>157881742</v>
      </c>
      <c r="E1032" s="21" t="n">
        <f aca="false">B1032+C1032</f>
        <v>6951224519.59</v>
      </c>
      <c r="F1032" s="21" t="n">
        <f aca="false">E1032+D1032</f>
        <v>7109106261.59</v>
      </c>
      <c r="G1032" s="22" t="n">
        <f aca="false">IFERROR(C1032/E1032,0)</f>
        <v>0.39108299663731</v>
      </c>
      <c r="H1032" s="19" t="n">
        <v>1963750</v>
      </c>
      <c r="I1032" s="19" t="n">
        <v>74559</v>
      </c>
      <c r="J1032" s="19" t="n">
        <v>18215</v>
      </c>
      <c r="K1032" s="21" t="n">
        <f aca="false">H1032+I1032</f>
        <v>2038309</v>
      </c>
      <c r="L1032" s="19" t="n">
        <v>110968.9976731</v>
      </c>
      <c r="M1032" s="21" t="n">
        <f aca="false">H1032-L1032</f>
        <v>1852781.0023269</v>
      </c>
      <c r="N1032" s="23" t="n">
        <f aca="false">IFERROR(M1032/B1032*10000,0)</f>
        <v>4.37728346258573</v>
      </c>
      <c r="O1032" s="19" t="n">
        <v>1748647</v>
      </c>
      <c r="P1032" s="19" t="n">
        <v>54617</v>
      </c>
      <c r="Q1032" s="21" t="n">
        <f aca="false">O1032+P1032</f>
        <v>1803264</v>
      </c>
      <c r="R1032" s="22" t="n">
        <f aca="false">IF(A1032&lt;HlpChangeDate,HlpSharePre,HlpSharePost)</f>
        <v>0.01</v>
      </c>
      <c r="S1032" s="21" t="n">
        <f aca="false">Q1032*R1032/(1-R1032)</f>
        <v>18214.7878787879</v>
      </c>
      <c r="T1032" s="19" t="n">
        <v>18215</v>
      </c>
      <c r="U1032" s="21" t="n">
        <f aca="false">S1032-T1032</f>
        <v>-0.21212121212011</v>
      </c>
      <c r="V1032" s="21" t="n">
        <f aca="false">Y1032-O1032*R1032/(1-R1032)</f>
        <v>197438.898989899</v>
      </c>
      <c r="W1032" s="21" t="n">
        <f aca="false">Z1032-P1032*R1032/(1-R1032)</f>
        <v>19390.3131313131</v>
      </c>
      <c r="X1032" s="21" t="n">
        <f aca="false">S1032+V1032+W1032</f>
        <v>235044</v>
      </c>
      <c r="Y1032" s="19" t="n">
        <v>215102</v>
      </c>
      <c r="Z1032" s="19" t="n">
        <v>19942</v>
      </c>
      <c r="AA1032" s="19" t="n">
        <v>1803264</v>
      </c>
      <c r="AB1032" s="29" t="n">
        <v>37.281</v>
      </c>
      <c r="AC1032" s="29" t="n">
        <v>36.83425</v>
      </c>
      <c r="AD1032" s="24" t="n">
        <f aca="false">IFERROR(AA1032/AC1032,0)</f>
        <v>48956.1752988048</v>
      </c>
      <c r="AE1032" s="25" t="n">
        <f aca="false">K1032-Q1032-X1032</f>
        <v>1</v>
      </c>
      <c r="AF1032" s="25" t="n">
        <f aca="false">Q1032-AA1032</f>
        <v>0</v>
      </c>
      <c r="AG1032" s="19" t="n">
        <v>1466620.43007684</v>
      </c>
      <c r="AH1032" s="26" t="n">
        <f aca="false">IFERROR(AG1032/Q1032,0)</f>
        <v>0.813314317857418</v>
      </c>
      <c r="AI1032" s="27" t="n">
        <v>424905478.488479</v>
      </c>
      <c r="AJ1032" s="26" t="n">
        <f aca="false">IF(AI1032&gt;0,AprCoef/SQRT(AI1032),0)</f>
        <v>0.0229949344732404</v>
      </c>
      <c r="AK1032" s="24" t="n">
        <f aca="false">AI1032*AJ1032/365</f>
        <v>26768.9688634614</v>
      </c>
      <c r="AL1032" s="24" t="n">
        <f aca="false">AD1032</f>
        <v>48956.1752988048</v>
      </c>
      <c r="AM1032" s="24" t="n">
        <f aca="false">AK1032-AL1032</f>
        <v>-22187.2064353434</v>
      </c>
      <c r="AN1032" s="28" t="str">
        <f aca="false">IF(A1032&gt;=Hip3LaunchDate,"YES","")</f>
        <v>YES</v>
      </c>
      <c r="AO1032" s="28" t="str">
        <f aca="false">IF(A1032&lt;Hip4LaunchDate,"pre-launch","live (zero-fee)")</f>
        <v>pre-launch</v>
      </c>
      <c r="AP1032" s="30" t="n">
        <v>116</v>
      </c>
      <c r="AQ1032" s="30" t="n">
        <v>85</v>
      </c>
      <c r="AR1032" s="19" t="n">
        <v>102820.472983955</v>
      </c>
    </row>
    <row r="1033" customFormat="false" ht="15" hidden="false" customHeight="false" outlineLevel="0" collapsed="false">
      <c r="A1033" s="18" t="n">
        <v>46094</v>
      </c>
      <c r="B1033" s="19" t="n">
        <v>5911524982.12</v>
      </c>
      <c r="C1033" s="19" t="n">
        <v>2101414975.84</v>
      </c>
      <c r="D1033" s="19" t="n">
        <v>182728315</v>
      </c>
      <c r="E1033" s="21" t="n">
        <f aca="false">B1033+C1033</f>
        <v>8012939957.96</v>
      </c>
      <c r="F1033" s="21" t="n">
        <f aca="false">E1033+D1033</f>
        <v>8195668272.96</v>
      </c>
      <c r="G1033" s="22" t="n">
        <f aca="false">IFERROR(C1033/E1033,0)</f>
        <v>0.262252679648806</v>
      </c>
      <c r="H1033" s="19" t="n">
        <v>2653568</v>
      </c>
      <c r="I1033" s="19" t="n">
        <v>81922</v>
      </c>
      <c r="J1033" s="19" t="n">
        <v>24678</v>
      </c>
      <c r="K1033" s="21" t="n">
        <f aca="false">H1033+I1033</f>
        <v>2735490</v>
      </c>
      <c r="L1033" s="19" t="n">
        <v>104112.78517422</v>
      </c>
      <c r="M1033" s="21" t="n">
        <f aca="false">H1033-L1033</f>
        <v>2549455.21482578</v>
      </c>
      <c r="N1033" s="23" t="n">
        <f aca="false">IFERROR(M1033/B1033*10000,0)</f>
        <v>4.31268618932824</v>
      </c>
      <c r="O1033" s="19" t="n">
        <v>2377525</v>
      </c>
      <c r="P1033" s="19" t="n">
        <v>65639</v>
      </c>
      <c r="Q1033" s="21" t="n">
        <f aca="false">O1033+P1033</f>
        <v>2443164</v>
      </c>
      <c r="R1033" s="22" t="n">
        <f aca="false">IF(A1033&lt;HlpChangeDate,HlpSharePre,HlpSharePost)</f>
        <v>0.01</v>
      </c>
      <c r="S1033" s="21" t="n">
        <f aca="false">Q1033*R1033/(1-R1033)</f>
        <v>24678.4242424242</v>
      </c>
      <c r="T1033" s="19" t="n">
        <v>24678</v>
      </c>
      <c r="U1033" s="21" t="n">
        <f aca="false">S1033-T1033</f>
        <v>0.424242424243857</v>
      </c>
      <c r="V1033" s="21" t="n">
        <f aca="false">Y1033-O1033*R1033/(1-R1033)</f>
        <v>252027.595959596</v>
      </c>
      <c r="W1033" s="21" t="n">
        <f aca="false">Z1033-P1033*R1033/(1-R1033)</f>
        <v>15619.9797979798</v>
      </c>
      <c r="X1033" s="21" t="n">
        <f aca="false">S1033+V1033+W1033</f>
        <v>292326</v>
      </c>
      <c r="Y1033" s="19" t="n">
        <v>276043</v>
      </c>
      <c r="Z1033" s="19" t="n">
        <v>16283</v>
      </c>
      <c r="AA1033" s="19" t="n">
        <v>2443164</v>
      </c>
      <c r="AB1033" s="29" t="n">
        <v>36.461</v>
      </c>
      <c r="AC1033" s="29" t="n">
        <v>37.064</v>
      </c>
      <c r="AD1033" s="24" t="n">
        <f aca="false">IFERROR(AA1033/AC1033,0)</f>
        <v>65917.4401036046</v>
      </c>
      <c r="AE1033" s="25" t="n">
        <f aca="false">K1033-Q1033-X1033</f>
        <v>0</v>
      </c>
      <c r="AF1033" s="25" t="n">
        <f aca="false">Q1033-AA1033</f>
        <v>0</v>
      </c>
      <c r="AG1033" s="19" t="n">
        <v>1956157.01508713</v>
      </c>
      <c r="AH1033" s="26" t="n">
        <f aca="false">IFERROR(AG1033/Q1033,0)</f>
        <v>0.800665454749304</v>
      </c>
      <c r="AI1033" s="27" t="n">
        <v>425060245.235023</v>
      </c>
      <c r="AJ1033" s="26" t="n">
        <f aca="false">IF(AI1033&gt;0,AprCoef/SQRT(AI1033),0)</f>
        <v>0.0229907478017702</v>
      </c>
      <c r="AK1033" s="24" t="n">
        <f aca="false">AI1033*AJ1033/365</f>
        <v>26773.8435582383</v>
      </c>
      <c r="AL1033" s="24" t="n">
        <f aca="false">AD1033</f>
        <v>65917.4401036046</v>
      </c>
      <c r="AM1033" s="24" t="n">
        <f aca="false">AK1033-AL1033</f>
        <v>-39143.5965453662</v>
      </c>
      <c r="AN1033" s="28" t="str">
        <f aca="false">IF(A1033&gt;=Hip3LaunchDate,"YES","")</f>
        <v>YES</v>
      </c>
      <c r="AO1033" s="28" t="str">
        <f aca="false">IF(A1033&lt;Hip4LaunchDate,"pre-launch","live (zero-fee)")</f>
        <v>pre-launch</v>
      </c>
      <c r="AP1033" s="30" t="n">
        <v>116</v>
      </c>
      <c r="AQ1033" s="30" t="n">
        <v>85</v>
      </c>
      <c r="AR1033" s="19" t="n">
        <v>93466.1087552629</v>
      </c>
    </row>
    <row r="1034" customFormat="false" ht="15" hidden="false" customHeight="false" outlineLevel="0" collapsed="false">
      <c r="A1034" s="18" t="n">
        <v>46095</v>
      </c>
      <c r="B1034" s="19" t="n">
        <v>1960683156.58</v>
      </c>
      <c r="C1034" s="19" t="n">
        <v>631763413.64</v>
      </c>
      <c r="D1034" s="19" t="n">
        <v>81103244</v>
      </c>
      <c r="E1034" s="21" t="n">
        <f aca="false">B1034+C1034</f>
        <v>2592446570.22</v>
      </c>
      <c r="F1034" s="21" t="n">
        <f aca="false">E1034+D1034</f>
        <v>2673549814.22</v>
      </c>
      <c r="G1034" s="22" t="n">
        <f aca="false">IFERROR(C1034/E1034,0)</f>
        <v>0.243693899383387</v>
      </c>
      <c r="H1034" s="19" t="n">
        <v>899107</v>
      </c>
      <c r="I1034" s="19" t="n">
        <v>42502</v>
      </c>
      <c r="J1034" s="19" t="n">
        <v>8250</v>
      </c>
      <c r="K1034" s="21" t="n">
        <f aca="false">H1034+I1034</f>
        <v>941609</v>
      </c>
      <c r="L1034" s="19" t="n">
        <v>25805.2585777911</v>
      </c>
      <c r="M1034" s="21" t="n">
        <f aca="false">H1034-L1034</f>
        <v>873301.741422209</v>
      </c>
      <c r="N1034" s="23" t="n">
        <f aca="false">IFERROR(M1034/B1034*10000,0)</f>
        <v>4.45406866729809</v>
      </c>
      <c r="O1034" s="19" t="n">
        <v>782588</v>
      </c>
      <c r="P1034" s="19" t="n">
        <v>34134</v>
      </c>
      <c r="Q1034" s="21" t="n">
        <f aca="false">O1034+P1034</f>
        <v>816722</v>
      </c>
      <c r="R1034" s="22" t="n">
        <f aca="false">IF(A1034&lt;HlpChangeDate,HlpSharePre,HlpSharePost)</f>
        <v>0.01</v>
      </c>
      <c r="S1034" s="21" t="n">
        <f aca="false">Q1034*R1034/(1-R1034)</f>
        <v>8249.71717171717</v>
      </c>
      <c r="T1034" s="19" t="n">
        <v>8250</v>
      </c>
      <c r="U1034" s="21" t="n">
        <f aca="false">S1034-T1034</f>
        <v>-0.282828282828632</v>
      </c>
      <c r="V1034" s="21" t="n">
        <f aca="false">Y1034-O1034*R1034/(1-R1034)</f>
        <v>108613.070707071</v>
      </c>
      <c r="W1034" s="21" t="n">
        <f aca="false">Z1034-P1034*R1034/(1-R1034)</f>
        <v>8022.21212121212</v>
      </c>
      <c r="X1034" s="21" t="n">
        <f aca="false">S1034+V1034+W1034</f>
        <v>124885</v>
      </c>
      <c r="Y1034" s="19" t="n">
        <v>116518</v>
      </c>
      <c r="Z1034" s="19" t="n">
        <v>8367</v>
      </c>
      <c r="AA1034" s="19" t="n">
        <v>816722</v>
      </c>
      <c r="AB1034" s="29" t="n">
        <v>37.826</v>
      </c>
      <c r="AC1034" s="29" t="n">
        <v>37.37125</v>
      </c>
      <c r="AD1034" s="24" t="n">
        <f aca="false">IFERROR(AA1034/AC1034,0)</f>
        <v>21854.2863832492</v>
      </c>
      <c r="AE1034" s="25" t="n">
        <f aca="false">K1034-Q1034-X1034</f>
        <v>2</v>
      </c>
      <c r="AF1034" s="25" t="n">
        <f aca="false">Q1034-AA1034</f>
        <v>0</v>
      </c>
      <c r="AG1034" s="19" t="n">
        <v>639637.616796017</v>
      </c>
      <c r="AH1034" s="26" t="n">
        <f aca="false">IFERROR(AG1034/Q1034,0)</f>
        <v>0.78317667063703</v>
      </c>
      <c r="AI1034" s="27" t="n">
        <v>425215011.981567</v>
      </c>
      <c r="AJ1034" s="26" t="n">
        <f aca="false">IF(AI1034&gt;0,AprCoef/SQRT(AI1034),0)</f>
        <v>0.0229865634162605</v>
      </c>
      <c r="AK1034" s="24" t="n">
        <f aca="false">AI1034*AJ1034/365</f>
        <v>26778.7173656446</v>
      </c>
      <c r="AL1034" s="24" t="n">
        <f aca="false">AD1034</f>
        <v>21854.2863832492</v>
      </c>
      <c r="AM1034" s="24" t="n">
        <f aca="false">AK1034-AL1034</f>
        <v>4924.43098239543</v>
      </c>
      <c r="AN1034" s="28" t="str">
        <f aca="false">IF(A1034&gt;=Hip3LaunchDate,"YES","")</f>
        <v>YES</v>
      </c>
      <c r="AO1034" s="28" t="str">
        <f aca="false">IF(A1034&lt;Hip4LaunchDate,"pre-launch","live (zero-fee)")</f>
        <v>pre-launch</v>
      </c>
      <c r="AP1034" s="30" t="n">
        <v>116</v>
      </c>
      <c r="AQ1034" s="30" t="n">
        <v>85</v>
      </c>
      <c r="AR1034" s="19" t="n">
        <v>22554.5993735417</v>
      </c>
    </row>
    <row r="1035" customFormat="false" ht="15" hidden="false" customHeight="false" outlineLevel="0" collapsed="false">
      <c r="A1035" s="18" t="n">
        <v>46096</v>
      </c>
      <c r="B1035" s="19" t="n">
        <v>2957907186.08</v>
      </c>
      <c r="C1035" s="19" t="n">
        <v>963730907.56</v>
      </c>
      <c r="D1035" s="19" t="n">
        <v>70648682</v>
      </c>
      <c r="E1035" s="21" t="n">
        <f aca="false">B1035+C1035</f>
        <v>3921638093.64</v>
      </c>
      <c r="F1035" s="21" t="n">
        <f aca="false">E1035+D1035</f>
        <v>3992286775.64</v>
      </c>
      <c r="G1035" s="22" t="n">
        <f aca="false">IFERROR(C1035/E1035,0)</f>
        <v>0.245747028294873</v>
      </c>
      <c r="H1035" s="19" t="n">
        <v>1401696</v>
      </c>
      <c r="I1035" s="19" t="n">
        <v>31407</v>
      </c>
      <c r="J1035" s="19" t="n">
        <v>12798</v>
      </c>
      <c r="K1035" s="21" t="n">
        <f aca="false">H1035+I1035</f>
        <v>1433103</v>
      </c>
      <c r="L1035" s="19" t="n">
        <v>45513.6391451959</v>
      </c>
      <c r="M1035" s="21" t="n">
        <f aca="false">H1035-L1035</f>
        <v>1356182.3608548</v>
      </c>
      <c r="N1035" s="23" t="n">
        <f aca="false">IFERROR(M1035/B1035*10000,0)</f>
        <v>4.58493886230454</v>
      </c>
      <c r="O1035" s="19" t="n">
        <v>1244657</v>
      </c>
      <c r="P1035" s="19" t="n">
        <v>22322</v>
      </c>
      <c r="Q1035" s="21" t="n">
        <f aca="false">O1035+P1035</f>
        <v>1266979</v>
      </c>
      <c r="R1035" s="22" t="n">
        <f aca="false">IF(A1035&lt;HlpChangeDate,HlpSharePre,HlpSharePost)</f>
        <v>0.01</v>
      </c>
      <c r="S1035" s="21" t="n">
        <f aca="false">Q1035*R1035/(1-R1035)</f>
        <v>12797.7676767677</v>
      </c>
      <c r="T1035" s="19" t="n">
        <v>12798</v>
      </c>
      <c r="U1035" s="21" t="n">
        <f aca="false">S1035-T1035</f>
        <v>-0.232323232321505</v>
      </c>
      <c r="V1035" s="21" t="n">
        <f aca="false">Y1035-O1035*R1035/(1-R1035)</f>
        <v>144466.707070707</v>
      </c>
      <c r="W1035" s="21" t="n">
        <f aca="false">Z1035-P1035*R1035/(1-R1035)</f>
        <v>8859.52525252525</v>
      </c>
      <c r="X1035" s="21" t="n">
        <f aca="false">S1035+V1035+W1035</f>
        <v>166124</v>
      </c>
      <c r="Y1035" s="19" t="n">
        <v>157039</v>
      </c>
      <c r="Z1035" s="19" t="n">
        <v>9085</v>
      </c>
      <c r="AA1035" s="19" t="n">
        <v>1266979</v>
      </c>
      <c r="AB1035" s="29" t="n">
        <v>37.27</v>
      </c>
      <c r="AC1035" s="29" t="n">
        <v>37.53975</v>
      </c>
      <c r="AD1035" s="24" t="n">
        <f aca="false">IFERROR(AA1035/AC1035,0)</f>
        <v>33750.3313154723</v>
      </c>
      <c r="AE1035" s="25" t="n">
        <f aca="false">K1035-Q1035-X1035</f>
        <v>0</v>
      </c>
      <c r="AF1035" s="25" t="n">
        <f aca="false">Q1035-AA1035</f>
        <v>0</v>
      </c>
      <c r="AG1035" s="19" t="n">
        <v>982229.152921915</v>
      </c>
      <c r="AH1035" s="26" t="n">
        <f aca="false">IFERROR(AG1035/Q1035,0)</f>
        <v>0.775252907050484</v>
      </c>
      <c r="AI1035" s="27" t="n">
        <v>425369778.728111</v>
      </c>
      <c r="AJ1035" s="26" t="n">
        <f aca="false">IF(AI1035&gt;0,AprCoef/SQRT(AI1035),0)</f>
        <v>0.022982381314632</v>
      </c>
      <c r="AK1035" s="24" t="n">
        <f aca="false">AI1035*AJ1035/365</f>
        <v>26783.5902861646</v>
      </c>
      <c r="AL1035" s="24" t="n">
        <f aca="false">AD1035</f>
        <v>33750.3313154723</v>
      </c>
      <c r="AM1035" s="24" t="n">
        <f aca="false">AK1035-AL1035</f>
        <v>-6966.74102930771</v>
      </c>
      <c r="AN1035" s="28" t="str">
        <f aca="false">IF(A1035&gt;=Hip3LaunchDate,"YES","")</f>
        <v>YES</v>
      </c>
      <c r="AO1035" s="28" t="str">
        <f aca="false">IF(A1035&lt;Hip4LaunchDate,"pre-launch","live (zero-fee)")</f>
        <v>pre-launch</v>
      </c>
      <c r="AP1035" s="30" t="n">
        <v>116</v>
      </c>
      <c r="AQ1035" s="30" t="n">
        <v>85</v>
      </c>
      <c r="AR1035" s="19" t="n">
        <v>40312.2474899168</v>
      </c>
    </row>
    <row r="1036" customFormat="false" ht="15" hidden="false" customHeight="false" outlineLevel="0" collapsed="false">
      <c r="A1036" s="18" t="n">
        <v>46097</v>
      </c>
      <c r="B1036" s="19" t="n">
        <v>6531047568.44</v>
      </c>
      <c r="C1036" s="19" t="n">
        <v>2059851992.09</v>
      </c>
      <c r="D1036" s="19" t="n">
        <v>184912298</v>
      </c>
      <c r="E1036" s="21" t="n">
        <f aca="false">B1036+C1036</f>
        <v>8590899560.53</v>
      </c>
      <c r="F1036" s="21" t="n">
        <f aca="false">E1036+D1036</f>
        <v>8775811858.53</v>
      </c>
      <c r="G1036" s="22" t="n">
        <f aca="false">IFERROR(C1036/E1036,0)</f>
        <v>0.239771397346301</v>
      </c>
      <c r="H1036" s="19" t="n">
        <v>2864970</v>
      </c>
      <c r="I1036" s="19" t="n">
        <v>90856</v>
      </c>
      <c r="J1036" s="19" t="n">
        <v>27025</v>
      </c>
      <c r="K1036" s="21" t="n">
        <f aca="false">H1036+I1036</f>
        <v>2955826</v>
      </c>
      <c r="L1036" s="19" t="n">
        <v>95419.7835976593</v>
      </c>
      <c r="M1036" s="21" t="n">
        <f aca="false">H1036-L1036</f>
        <v>2769550.21640234</v>
      </c>
      <c r="N1036" s="23" t="n">
        <f aca="false">IFERROR(M1036/B1036*10000,0)</f>
        <v>4.24059109565462</v>
      </c>
      <c r="O1036" s="19" t="n">
        <v>2606001</v>
      </c>
      <c r="P1036" s="19" t="n">
        <v>69669</v>
      </c>
      <c r="Q1036" s="21" t="n">
        <f aca="false">O1036+P1036</f>
        <v>2675670</v>
      </c>
      <c r="R1036" s="22" t="n">
        <f aca="false">IF(A1036&lt;HlpChangeDate,HlpSharePre,HlpSharePost)</f>
        <v>0.01</v>
      </c>
      <c r="S1036" s="21" t="n">
        <f aca="false">Q1036*R1036/(1-R1036)</f>
        <v>27026.9696969697</v>
      </c>
      <c r="T1036" s="19" t="n">
        <v>27025</v>
      </c>
      <c r="U1036" s="21" t="n">
        <f aca="false">S1036-T1036</f>
        <v>1.96969696969973</v>
      </c>
      <c r="V1036" s="21" t="n">
        <f aca="false">Y1036-O1036*R1036/(1-R1036)</f>
        <v>232645.757575758</v>
      </c>
      <c r="W1036" s="21" t="n">
        <f aca="false">Z1036-P1036*R1036/(1-R1036)</f>
        <v>20483.2727272727</v>
      </c>
      <c r="X1036" s="21" t="n">
        <f aca="false">S1036+V1036+W1036</f>
        <v>280156</v>
      </c>
      <c r="Y1036" s="19" t="n">
        <v>258969</v>
      </c>
      <c r="Z1036" s="19" t="n">
        <v>21187</v>
      </c>
      <c r="AA1036" s="19" t="n">
        <v>2675670</v>
      </c>
      <c r="AB1036" s="29" t="n">
        <v>40.794</v>
      </c>
      <c r="AC1036" s="29" t="n">
        <v>39.1795</v>
      </c>
      <c r="AD1036" s="24" t="n">
        <f aca="false">IFERROR(AA1036/AC1036,0)</f>
        <v>68292.6019984941</v>
      </c>
      <c r="AE1036" s="25" t="n">
        <f aca="false">K1036-Q1036-X1036</f>
        <v>0</v>
      </c>
      <c r="AF1036" s="25" t="n">
        <f aca="false">Q1036-AA1036</f>
        <v>0</v>
      </c>
      <c r="AG1036" s="19" t="n">
        <v>2121058.90913105</v>
      </c>
      <c r="AH1036" s="26" t="n">
        <f aca="false">IFERROR(AG1036/Q1036,0)</f>
        <v>0.792720667769587</v>
      </c>
      <c r="AI1036" s="27" t="n">
        <v>425524545.474654</v>
      </c>
      <c r="AJ1036" s="26" t="n">
        <f aca="false">IF(AI1036&gt;0,AprCoef/SQRT(AI1036),0)</f>
        <v>0.0229782014948076</v>
      </c>
      <c r="AK1036" s="24" t="n">
        <f aca="false">AI1036*AJ1036/365</f>
        <v>26788.4623202823</v>
      </c>
      <c r="AL1036" s="24" t="n">
        <f aca="false">AD1036</f>
        <v>68292.6019984941</v>
      </c>
      <c r="AM1036" s="24" t="n">
        <f aca="false">AK1036-AL1036</f>
        <v>-41504.1396782119</v>
      </c>
      <c r="AN1036" s="28" t="str">
        <f aca="false">IF(A1036&gt;=Hip3LaunchDate,"YES","")</f>
        <v>YES</v>
      </c>
      <c r="AO1036" s="28" t="str">
        <f aca="false">IF(A1036&lt;Hip4LaunchDate,"pre-launch","live (zero-fee)")</f>
        <v>pre-launch</v>
      </c>
      <c r="AP1036" s="30" t="n">
        <v>116</v>
      </c>
      <c r="AQ1036" s="30" t="n">
        <v>85</v>
      </c>
      <c r="AR1036" s="19" t="n">
        <v>78571.4438174083</v>
      </c>
    </row>
    <row r="1037" customFormat="false" ht="15" hidden="false" customHeight="false" outlineLevel="0" collapsed="false">
      <c r="A1037" s="18" t="n">
        <v>46098</v>
      </c>
      <c r="B1037" s="19" t="n">
        <v>5637136890.53</v>
      </c>
      <c r="C1037" s="19" t="n">
        <v>1418430243.02</v>
      </c>
      <c r="D1037" s="19" t="n">
        <v>150934969</v>
      </c>
      <c r="E1037" s="21" t="n">
        <f aca="false">B1037+C1037</f>
        <v>7055567133.55</v>
      </c>
      <c r="F1037" s="21" t="n">
        <f aca="false">E1037+D1037</f>
        <v>7206502102.55</v>
      </c>
      <c r="G1037" s="22" t="n">
        <f aca="false">IFERROR(C1037/E1037,0)</f>
        <v>0.20103702738157</v>
      </c>
      <c r="H1037" s="19" t="n">
        <v>2383712</v>
      </c>
      <c r="I1037" s="19" t="n">
        <v>71225</v>
      </c>
      <c r="J1037" s="19" t="n">
        <v>22259</v>
      </c>
      <c r="K1037" s="21" t="n">
        <f aca="false">H1037+I1037</f>
        <v>2454937</v>
      </c>
      <c r="L1037" s="19" t="n">
        <v>64040.0637089664</v>
      </c>
      <c r="M1037" s="21" t="n">
        <f aca="false">H1037-L1037</f>
        <v>2319671.93629103</v>
      </c>
      <c r="N1037" s="23" t="n">
        <f aca="false">IFERROR(M1037/B1037*10000,0)</f>
        <v>4.11498244824943</v>
      </c>
      <c r="O1037" s="19" t="n">
        <v>2149345</v>
      </c>
      <c r="P1037" s="19" t="n">
        <v>54316</v>
      </c>
      <c r="Q1037" s="21" t="n">
        <f aca="false">O1037+P1037</f>
        <v>2203661</v>
      </c>
      <c r="R1037" s="22" t="n">
        <f aca="false">IF(A1037&lt;HlpChangeDate,HlpSharePre,HlpSharePost)</f>
        <v>0.01</v>
      </c>
      <c r="S1037" s="21" t="n">
        <f aca="false">Q1037*R1037/(1-R1037)</f>
        <v>22259.202020202</v>
      </c>
      <c r="T1037" s="19" t="n">
        <v>22259</v>
      </c>
      <c r="U1037" s="21" t="n">
        <f aca="false">S1037-T1037</f>
        <v>0.202020202021231</v>
      </c>
      <c r="V1037" s="21" t="n">
        <f aca="false">Y1037-O1037*R1037/(1-R1037)</f>
        <v>212656.444444444</v>
      </c>
      <c r="W1037" s="21" t="n">
        <f aca="false">Z1037-P1037*R1037/(1-R1037)</f>
        <v>16359.3535353535</v>
      </c>
      <c r="X1037" s="21" t="n">
        <f aca="false">S1037+V1037+W1037</f>
        <v>251275</v>
      </c>
      <c r="Y1037" s="19" t="n">
        <v>234367</v>
      </c>
      <c r="Z1037" s="19" t="n">
        <v>16908</v>
      </c>
      <c r="AA1037" s="19" t="n">
        <v>2203661</v>
      </c>
      <c r="AB1037" s="29" t="n">
        <v>41.174</v>
      </c>
      <c r="AC1037" s="29" t="n">
        <v>40.9365</v>
      </c>
      <c r="AD1037" s="24" t="n">
        <f aca="false">IFERROR(AA1037/AC1037,0)</f>
        <v>53831.2019835599</v>
      </c>
      <c r="AE1037" s="25" t="n">
        <f aca="false">K1037-Q1037-X1037</f>
        <v>1.0000000000291</v>
      </c>
      <c r="AF1037" s="25" t="n">
        <f aca="false">Q1037-AA1037</f>
        <v>0</v>
      </c>
      <c r="AG1037" s="19" t="n">
        <v>1822405.25558996</v>
      </c>
      <c r="AH1037" s="26" t="n">
        <f aca="false">IFERROR(AG1037/Q1037,0)</f>
        <v>0.826989838995182</v>
      </c>
      <c r="AI1037" s="27" t="n">
        <v>425679312.221198</v>
      </c>
      <c r="AJ1037" s="26" t="n">
        <f aca="false">IF(AI1037&gt;0,AprCoef/SQRT(AI1037),0)</f>
        <v>0.0229740239547132</v>
      </c>
      <c r="AK1037" s="24" t="n">
        <f aca="false">AI1037*AJ1037/365</f>
        <v>26793.3334684812</v>
      </c>
      <c r="AL1037" s="24" t="n">
        <f aca="false">AD1037</f>
        <v>53831.2019835599</v>
      </c>
      <c r="AM1037" s="24" t="n">
        <f aca="false">AK1037-AL1037</f>
        <v>-27037.8685150787</v>
      </c>
      <c r="AN1037" s="28" t="str">
        <f aca="false">IF(A1037&gt;=Hip3LaunchDate,"YES","")</f>
        <v>YES</v>
      </c>
      <c r="AO1037" s="28" t="str">
        <f aca="false">IF(A1037&lt;Hip4LaunchDate,"pre-launch","live (zero-fee)")</f>
        <v>pre-launch</v>
      </c>
      <c r="AP1037" s="30" t="n">
        <v>116</v>
      </c>
      <c r="AQ1037" s="30" t="n">
        <v>85</v>
      </c>
      <c r="AR1037" s="19" t="n">
        <v>53815.2082848716</v>
      </c>
    </row>
    <row r="1038" customFormat="false" ht="15" hidden="false" customHeight="false" outlineLevel="0" collapsed="false">
      <c r="A1038" s="18" t="n">
        <v>46099</v>
      </c>
      <c r="B1038" s="19" t="n">
        <v>6125236903.61</v>
      </c>
      <c r="C1038" s="19" t="n">
        <v>2452609457.7</v>
      </c>
      <c r="D1038" s="19" t="n">
        <v>201452297</v>
      </c>
      <c r="E1038" s="21" t="n">
        <f aca="false">B1038+C1038</f>
        <v>8577846361.31</v>
      </c>
      <c r="F1038" s="21" t="n">
        <f aca="false">E1038+D1038</f>
        <v>8779298658.31</v>
      </c>
      <c r="G1038" s="22" t="n">
        <f aca="false">IFERROR(C1038/E1038,0)</f>
        <v>0.285923686948088</v>
      </c>
      <c r="H1038" s="19" t="n">
        <v>2752355</v>
      </c>
      <c r="I1038" s="19" t="n">
        <v>100923</v>
      </c>
      <c r="J1038" s="19" t="n">
        <v>26272</v>
      </c>
      <c r="K1038" s="21" t="n">
        <f aca="false">H1038+I1038</f>
        <v>2853278</v>
      </c>
      <c r="L1038" s="19" t="n">
        <v>108156.256029183</v>
      </c>
      <c r="M1038" s="21" t="n">
        <f aca="false">H1038-L1038</f>
        <v>2644198.74397082</v>
      </c>
      <c r="N1038" s="23" t="n">
        <f aca="false">IFERROR(M1038/B1038*10000,0)</f>
        <v>4.31689220446709</v>
      </c>
      <c r="O1038" s="19" t="n">
        <v>2514986</v>
      </c>
      <c r="P1038" s="19" t="n">
        <v>85894</v>
      </c>
      <c r="Q1038" s="21" t="n">
        <f aca="false">O1038+P1038</f>
        <v>2600880</v>
      </c>
      <c r="R1038" s="22" t="n">
        <f aca="false">IF(A1038&lt;HlpChangeDate,HlpSharePre,HlpSharePost)</f>
        <v>0.01</v>
      </c>
      <c r="S1038" s="21" t="n">
        <f aca="false">Q1038*R1038/(1-R1038)</f>
        <v>26271.5151515152</v>
      </c>
      <c r="T1038" s="19" t="n">
        <v>26272</v>
      </c>
      <c r="U1038" s="21" t="n">
        <f aca="false">S1038-T1038</f>
        <v>-0.484848484848044</v>
      </c>
      <c r="V1038" s="21" t="n">
        <f aca="false">Y1038-O1038*R1038/(1-R1038)</f>
        <v>211965.101010101</v>
      </c>
      <c r="W1038" s="21" t="n">
        <f aca="false">Z1038-P1038*R1038/(1-R1038)</f>
        <v>14161.3838383838</v>
      </c>
      <c r="X1038" s="21" t="n">
        <f aca="false">S1038+V1038+W1038</f>
        <v>252398</v>
      </c>
      <c r="Y1038" s="19" t="n">
        <v>237369</v>
      </c>
      <c r="Z1038" s="19" t="n">
        <v>15029</v>
      </c>
      <c r="AA1038" s="19" t="n">
        <v>2600880</v>
      </c>
      <c r="AB1038" s="29" t="n">
        <v>42.1</v>
      </c>
      <c r="AC1038" s="29" t="n">
        <v>41.81325</v>
      </c>
      <c r="AD1038" s="24" t="n">
        <f aca="false">IFERROR(AA1038/AC1038,0)</f>
        <v>62202.2923355635</v>
      </c>
      <c r="AE1038" s="25" t="n">
        <f aca="false">K1038-Q1038-X1038</f>
        <v>0</v>
      </c>
      <c r="AF1038" s="25" t="n">
        <f aca="false">Q1038-AA1038</f>
        <v>0</v>
      </c>
      <c r="AG1038" s="19" t="n">
        <v>2064325.83102799</v>
      </c>
      <c r="AH1038" s="26" t="n">
        <f aca="false">IFERROR(AG1038/Q1038,0)</f>
        <v>0.793702835589487</v>
      </c>
      <c r="AI1038" s="27" t="n">
        <v>425834078.967742</v>
      </c>
      <c r="AJ1038" s="26" t="n">
        <f aca="false">IF(AI1038&gt;0,AprCoef/SQRT(AI1038),0)</f>
        <v>0.0229698486922772</v>
      </c>
      <c r="AK1038" s="24" t="n">
        <f aca="false">AI1038*AJ1038/365</f>
        <v>26798.2037312446</v>
      </c>
      <c r="AL1038" s="24" t="n">
        <f aca="false">AD1038</f>
        <v>62202.2923355635</v>
      </c>
      <c r="AM1038" s="24" t="n">
        <f aca="false">AK1038-AL1038</f>
        <v>-35404.0886043189</v>
      </c>
      <c r="AN1038" s="28" t="str">
        <f aca="false">IF(A1038&gt;=Hip3LaunchDate,"YES","")</f>
        <v>YES</v>
      </c>
      <c r="AO1038" s="28" t="str">
        <f aca="false">IF(A1038&lt;Hip4LaunchDate,"pre-launch","live (zero-fee)")</f>
        <v>pre-launch</v>
      </c>
      <c r="AP1038" s="30" t="n">
        <v>118</v>
      </c>
      <c r="AQ1038" s="30" t="n">
        <v>87</v>
      </c>
      <c r="AR1038" s="19" t="n">
        <v>96750.5523614841</v>
      </c>
    </row>
    <row r="1039" customFormat="false" ht="15" hidden="false" customHeight="false" outlineLevel="0" collapsed="false">
      <c r="A1039" s="18" t="n">
        <v>46100</v>
      </c>
      <c r="B1039" s="19" t="n">
        <v>5811944336.33</v>
      </c>
      <c r="C1039" s="19" t="n">
        <v>3946538604.35</v>
      </c>
      <c r="D1039" s="19" t="n">
        <v>172378544</v>
      </c>
      <c r="E1039" s="21" t="n">
        <f aca="false">B1039+C1039</f>
        <v>9758482940.68</v>
      </c>
      <c r="F1039" s="21" t="n">
        <f aca="false">E1039+D1039</f>
        <v>9930861484.68</v>
      </c>
      <c r="G1039" s="22" t="n">
        <f aca="false">IFERROR(C1039/E1039,0)</f>
        <v>0.404421325357668</v>
      </c>
      <c r="H1039" s="19" t="n">
        <v>2709227</v>
      </c>
      <c r="I1039" s="19" t="n">
        <v>85429</v>
      </c>
      <c r="J1039" s="19" t="n">
        <v>25691</v>
      </c>
      <c r="K1039" s="21" t="n">
        <f aca="false">H1039+I1039</f>
        <v>2794656</v>
      </c>
      <c r="L1039" s="19" t="n">
        <v>198183.486714778</v>
      </c>
      <c r="M1039" s="21" t="n">
        <f aca="false">H1039-L1039</f>
        <v>2511043.51328522</v>
      </c>
      <c r="N1039" s="23" t="n">
        <f aca="false">IFERROR(M1039/B1039*10000,0)</f>
        <v>4.32048789178673</v>
      </c>
      <c r="O1039" s="19" t="n">
        <v>2470527</v>
      </c>
      <c r="P1039" s="19" t="n">
        <v>72863</v>
      </c>
      <c r="Q1039" s="21" t="n">
        <f aca="false">O1039+P1039</f>
        <v>2543390</v>
      </c>
      <c r="R1039" s="22" t="n">
        <f aca="false">IF(A1039&lt;HlpChangeDate,HlpSharePre,HlpSharePost)</f>
        <v>0.01</v>
      </c>
      <c r="S1039" s="21" t="n">
        <f aca="false">Q1039*R1039/(1-R1039)</f>
        <v>25690.8080808081</v>
      </c>
      <c r="T1039" s="19" t="n">
        <v>25691</v>
      </c>
      <c r="U1039" s="21" t="n">
        <f aca="false">S1039-T1039</f>
        <v>-0.191919191918714</v>
      </c>
      <c r="V1039" s="21" t="n">
        <f aca="false">Y1039-O1039*R1039/(1-R1039)</f>
        <v>213745.181818182</v>
      </c>
      <c r="W1039" s="21" t="n">
        <f aca="false">Z1039-P1039*R1039/(1-R1039)</f>
        <v>11829.0101010101</v>
      </c>
      <c r="X1039" s="21" t="n">
        <f aca="false">S1039+V1039+W1039</f>
        <v>251265</v>
      </c>
      <c r="Y1039" s="19" t="n">
        <v>238700</v>
      </c>
      <c r="Z1039" s="19" t="n">
        <v>12565</v>
      </c>
      <c r="AA1039" s="19" t="n">
        <v>2543390</v>
      </c>
      <c r="AB1039" s="29" t="n">
        <v>39.335</v>
      </c>
      <c r="AC1039" s="29" t="n">
        <v>40.54125</v>
      </c>
      <c r="AD1039" s="24" t="n">
        <f aca="false">IFERROR(AA1039/AC1039,0)</f>
        <v>62735.8554558629</v>
      </c>
      <c r="AE1039" s="25" t="n">
        <f aca="false">K1039-Q1039-X1039</f>
        <v>1</v>
      </c>
      <c r="AF1039" s="25" t="n">
        <f aca="false">Q1039-AA1039</f>
        <v>0</v>
      </c>
      <c r="AG1039" s="19" t="n">
        <v>2092068.46619511</v>
      </c>
      <c r="AH1039" s="26" t="n">
        <f aca="false">IFERROR(AG1039/Q1039,0)</f>
        <v>0.822551188058106</v>
      </c>
      <c r="AI1039" s="27" t="n">
        <v>425988845.714286</v>
      </c>
      <c r="AJ1039" s="26" t="n">
        <f aca="false">IF(AI1039&gt;0,AprCoef/SQRT(AI1039),0)</f>
        <v>0.0229656757054307</v>
      </c>
      <c r="AK1039" s="24" t="n">
        <f aca="false">AI1039*AJ1039/365</f>
        <v>26803.0731090549</v>
      </c>
      <c r="AL1039" s="24" t="n">
        <f aca="false">AD1039</f>
        <v>62735.8554558629</v>
      </c>
      <c r="AM1039" s="24" t="n">
        <f aca="false">AK1039-AL1039</f>
        <v>-35932.7823468079</v>
      </c>
      <c r="AN1039" s="28" t="str">
        <f aca="false">IF(A1039&gt;=Hip3LaunchDate,"YES","")</f>
        <v>YES</v>
      </c>
      <c r="AO1039" s="28" t="str">
        <f aca="false">IF(A1039&lt;Hip4LaunchDate,"pre-launch","live (zero-fee)")</f>
        <v>pre-launch</v>
      </c>
      <c r="AP1039" s="30" t="n">
        <v>118</v>
      </c>
      <c r="AQ1039" s="30" t="n">
        <v>87</v>
      </c>
      <c r="AR1039" s="19" t="n">
        <v>188553.288362718</v>
      </c>
    </row>
    <row r="1040" customFormat="false" ht="15" hidden="false" customHeight="false" outlineLevel="0" collapsed="false">
      <c r="A1040" s="18" t="n">
        <v>46101</v>
      </c>
      <c r="B1040" s="19" t="n">
        <v>4389707256.65</v>
      </c>
      <c r="C1040" s="19" t="n">
        <v>2324820773.99</v>
      </c>
      <c r="D1040" s="19" t="n">
        <v>115811184</v>
      </c>
      <c r="E1040" s="21" t="n">
        <f aca="false">B1040+C1040</f>
        <v>6714528030.64</v>
      </c>
      <c r="F1040" s="21" t="n">
        <f aca="false">E1040+D1040</f>
        <v>6830339214.64</v>
      </c>
      <c r="G1040" s="22" t="n">
        <f aca="false">IFERROR(C1040/E1040,0)</f>
        <v>0.346237406915465</v>
      </c>
      <c r="H1040" s="19" t="n">
        <v>2041365</v>
      </c>
      <c r="I1040" s="19" t="n">
        <v>55418</v>
      </c>
      <c r="J1040" s="19" t="n">
        <v>19137</v>
      </c>
      <c r="K1040" s="21" t="n">
        <f aca="false">H1040+I1040</f>
        <v>2096783</v>
      </c>
      <c r="L1040" s="19" t="n">
        <v>122440.812336466</v>
      </c>
      <c r="M1040" s="21" t="n">
        <f aca="false">H1040-L1040</f>
        <v>1918924.18766353</v>
      </c>
      <c r="N1040" s="23" t="n">
        <f aca="false">IFERROR(M1040/B1040*10000,0)</f>
        <v>4.37141721639078</v>
      </c>
      <c r="O1040" s="19" t="n">
        <v>1849593</v>
      </c>
      <c r="P1040" s="19" t="n">
        <v>44927</v>
      </c>
      <c r="Q1040" s="21" t="n">
        <f aca="false">O1040+P1040</f>
        <v>1894520</v>
      </c>
      <c r="R1040" s="22" t="n">
        <f aca="false">IF(A1040&lt;HlpChangeDate,HlpSharePre,HlpSharePost)</f>
        <v>0.01</v>
      </c>
      <c r="S1040" s="21" t="n">
        <f aca="false">Q1040*R1040/(1-R1040)</f>
        <v>19136.5656565657</v>
      </c>
      <c r="T1040" s="19" t="n">
        <v>19137</v>
      </c>
      <c r="U1040" s="21" t="n">
        <f aca="false">S1040-T1040</f>
        <v>-0.434343434342736</v>
      </c>
      <c r="V1040" s="21" t="n">
        <f aca="false">Y1040-O1040*R1040/(1-R1040)</f>
        <v>173089.242424242</v>
      </c>
      <c r="W1040" s="21" t="n">
        <f aca="false">Z1040-P1040*R1040/(1-R1040)</f>
        <v>10037.1919191919</v>
      </c>
      <c r="X1040" s="21" t="n">
        <f aca="false">S1040+V1040+W1040</f>
        <v>202263</v>
      </c>
      <c r="Y1040" s="19" t="n">
        <v>191772</v>
      </c>
      <c r="Z1040" s="19" t="n">
        <v>10491</v>
      </c>
      <c r="AA1040" s="19" t="n">
        <v>1894520</v>
      </c>
      <c r="AB1040" s="29" t="n">
        <v>39.542</v>
      </c>
      <c r="AC1040" s="29" t="n">
        <v>39.49775</v>
      </c>
      <c r="AD1040" s="24" t="n">
        <f aca="false">IFERROR(AA1040/AC1040,0)</f>
        <v>47965.263844143</v>
      </c>
      <c r="AE1040" s="25" t="n">
        <f aca="false">K1040-Q1040-X1040</f>
        <v>0</v>
      </c>
      <c r="AF1040" s="25" t="n">
        <f aca="false">Q1040-AA1040</f>
        <v>0</v>
      </c>
      <c r="AG1040" s="19" t="n">
        <v>1532475.05652285</v>
      </c>
      <c r="AH1040" s="26" t="n">
        <f aca="false">IFERROR(AG1040/Q1040,0)</f>
        <v>0.808898853811438</v>
      </c>
      <c r="AI1040" s="27" t="n">
        <v>426143612.46083</v>
      </c>
      <c r="AJ1040" s="26" t="n">
        <f aca="false">IF(AI1040&gt;0,AprCoef/SQRT(AI1040),0)</f>
        <v>0.0229615049921074</v>
      </c>
      <c r="AK1040" s="24" t="n">
        <f aca="false">AI1040*AJ1040/365</f>
        <v>26807.9416023946</v>
      </c>
      <c r="AL1040" s="24" t="n">
        <f aca="false">AD1040</f>
        <v>47965.263844143</v>
      </c>
      <c r="AM1040" s="24" t="n">
        <f aca="false">AK1040-AL1040</f>
        <v>-21157.3222417484</v>
      </c>
      <c r="AN1040" s="28" t="str">
        <f aca="false">IF(A1040&gt;=Hip3LaunchDate,"YES","")</f>
        <v>YES</v>
      </c>
      <c r="AO1040" s="28" t="str">
        <f aca="false">IF(A1040&lt;Hip4LaunchDate,"pre-launch","live (zero-fee)")</f>
        <v>pre-launch</v>
      </c>
      <c r="AP1040" s="30" t="n">
        <v>118</v>
      </c>
      <c r="AQ1040" s="30" t="n">
        <v>87</v>
      </c>
      <c r="AR1040" s="19" t="n">
        <v>115221.189704978</v>
      </c>
    </row>
    <row r="1041" customFormat="false" ht="15" hidden="false" customHeight="false" outlineLevel="0" collapsed="false">
      <c r="A1041" s="18" t="n">
        <v>46102</v>
      </c>
      <c r="B1041" s="19" t="n">
        <v>1817402958.32</v>
      </c>
      <c r="C1041" s="19" t="n">
        <v>386899671.9</v>
      </c>
      <c r="D1041" s="19" t="n">
        <v>50810059</v>
      </c>
      <c r="E1041" s="21" t="n">
        <f aca="false">B1041+C1041</f>
        <v>2204302630.22</v>
      </c>
      <c r="F1041" s="21" t="n">
        <f aca="false">E1041+D1041</f>
        <v>2255112689.22</v>
      </c>
      <c r="G1041" s="22" t="n">
        <f aca="false">IFERROR(C1041/E1041,0)</f>
        <v>0.17552021514459</v>
      </c>
      <c r="H1041" s="19" t="n">
        <v>844325</v>
      </c>
      <c r="I1041" s="19" t="n">
        <v>25527</v>
      </c>
      <c r="J1041" s="19" t="n">
        <v>7720</v>
      </c>
      <c r="K1041" s="21" t="n">
        <f aca="false">H1041+I1041</f>
        <v>869852</v>
      </c>
      <c r="L1041" s="19" t="n">
        <v>24032.6098071027</v>
      </c>
      <c r="M1041" s="21" t="n">
        <f aca="false">H1041-L1041</f>
        <v>820292.390192897</v>
      </c>
      <c r="N1041" s="23" t="n">
        <f aca="false">IFERROR(M1041/B1041*10000,0)</f>
        <v>4.51354162508447</v>
      </c>
      <c r="O1041" s="19" t="n">
        <v>743654</v>
      </c>
      <c r="P1041" s="19" t="n">
        <v>20586</v>
      </c>
      <c r="Q1041" s="21" t="n">
        <f aca="false">O1041+P1041</f>
        <v>764240</v>
      </c>
      <c r="R1041" s="22" t="n">
        <f aca="false">IF(A1041&lt;HlpChangeDate,HlpSharePre,HlpSharePost)</f>
        <v>0.01</v>
      </c>
      <c r="S1041" s="21" t="n">
        <f aca="false">Q1041*R1041/(1-R1041)</f>
        <v>7719.59595959596</v>
      </c>
      <c r="T1041" s="19" t="n">
        <v>7720</v>
      </c>
      <c r="U1041" s="21" t="n">
        <f aca="false">S1041-T1041</f>
        <v>-0.404040404039733</v>
      </c>
      <c r="V1041" s="21" t="n">
        <f aca="false">Y1041-O1041*R1041/(1-R1041)</f>
        <v>93160.3434343434</v>
      </c>
      <c r="W1041" s="21" t="n">
        <f aca="false">Z1041-P1041*R1041/(1-R1041)</f>
        <v>4733.06060606061</v>
      </c>
      <c r="X1041" s="21" t="n">
        <f aca="false">S1041+V1041+W1041</f>
        <v>105613</v>
      </c>
      <c r="Y1041" s="19" t="n">
        <v>100672</v>
      </c>
      <c r="Z1041" s="19" t="n">
        <v>4941</v>
      </c>
      <c r="AA1041" s="19" t="n">
        <v>764240</v>
      </c>
      <c r="AB1041" s="29" t="n">
        <v>39.14</v>
      </c>
      <c r="AC1041" s="29" t="n">
        <v>39.51775</v>
      </c>
      <c r="AD1041" s="24" t="n">
        <f aca="false">IFERROR(AA1041/AC1041,0)</f>
        <v>19339.1577202649</v>
      </c>
      <c r="AE1041" s="25" t="n">
        <f aca="false">K1041-Q1041-X1041</f>
        <v>-1</v>
      </c>
      <c r="AF1041" s="25" t="n">
        <f aca="false">Q1041-AA1041</f>
        <v>0</v>
      </c>
      <c r="AG1041" s="19" t="n">
        <v>496496.160377026</v>
      </c>
      <c r="AH1041" s="26" t="n">
        <f aca="false">IFERROR(AG1041/Q1041,0)</f>
        <v>0.649660002586917</v>
      </c>
      <c r="AI1041" s="27" t="n">
        <v>426298379.207373</v>
      </c>
      <c r="AJ1041" s="26" t="n">
        <f aca="false">IF(AI1041&gt;0,AprCoef/SQRT(AI1041),0)</f>
        <v>0.0229573365502436</v>
      </c>
      <c r="AK1041" s="24" t="n">
        <f aca="false">AI1041*AJ1041/365</f>
        <v>26812.8092117453</v>
      </c>
      <c r="AL1041" s="24" t="n">
        <f aca="false">AD1041</f>
        <v>19339.1577202649</v>
      </c>
      <c r="AM1041" s="24" t="n">
        <f aca="false">AK1041-AL1041</f>
        <v>7473.65149148032</v>
      </c>
      <c r="AN1041" s="28" t="str">
        <f aca="false">IF(A1041&gt;=Hip3LaunchDate,"YES","")</f>
        <v>YES</v>
      </c>
      <c r="AO1041" s="28" t="str">
        <f aca="false">IF(A1041&lt;Hip4LaunchDate,"pre-launch","live (zero-fee)")</f>
        <v>pre-launch</v>
      </c>
      <c r="AP1041" s="30" t="n">
        <v>118</v>
      </c>
      <c r="AQ1041" s="30" t="n">
        <v>87</v>
      </c>
      <c r="AR1041" s="19" t="n">
        <v>21339.3591176762</v>
      </c>
    </row>
    <row r="1042" customFormat="false" ht="15" hidden="false" customHeight="false" outlineLevel="0" collapsed="false">
      <c r="A1042" s="18" t="n">
        <v>46103</v>
      </c>
      <c r="B1042" s="19" t="n">
        <v>4118695064.14</v>
      </c>
      <c r="C1042" s="19" t="n">
        <v>931723061.23</v>
      </c>
      <c r="D1042" s="19" t="n">
        <v>98254347</v>
      </c>
      <c r="E1042" s="21" t="n">
        <f aca="false">B1042+C1042</f>
        <v>5050418125.37</v>
      </c>
      <c r="F1042" s="21" t="n">
        <f aca="false">E1042+D1042</f>
        <v>5148672472.37</v>
      </c>
      <c r="G1042" s="22" t="n">
        <f aca="false">IFERROR(C1042/E1042,0)</f>
        <v>0.184484341316144</v>
      </c>
      <c r="H1042" s="19" t="n">
        <v>1761091</v>
      </c>
      <c r="I1042" s="19" t="n">
        <v>46563</v>
      </c>
      <c r="J1042" s="19" t="n">
        <v>16365</v>
      </c>
      <c r="K1042" s="21" t="n">
        <f aca="false">H1042+I1042</f>
        <v>1807654</v>
      </c>
      <c r="L1042" s="19" t="n">
        <v>53337.5497138739</v>
      </c>
      <c r="M1042" s="21" t="n">
        <f aca="false">H1042-L1042</f>
        <v>1707753.45028613</v>
      </c>
      <c r="N1042" s="23" t="n">
        <f aca="false">IFERROR(M1042/B1042*10000,0)</f>
        <v>4.14634592678376</v>
      </c>
      <c r="O1042" s="19" t="n">
        <v>1585172</v>
      </c>
      <c r="P1042" s="19" t="n">
        <v>34921</v>
      </c>
      <c r="Q1042" s="21" t="n">
        <f aca="false">O1042+P1042</f>
        <v>1620093</v>
      </c>
      <c r="R1042" s="22" t="n">
        <f aca="false">IF(A1042&lt;HlpChangeDate,HlpSharePre,HlpSharePost)</f>
        <v>0.01</v>
      </c>
      <c r="S1042" s="21" t="n">
        <f aca="false">Q1042*R1042/(1-R1042)</f>
        <v>16364.5757575758</v>
      </c>
      <c r="T1042" s="19" t="n">
        <v>16365</v>
      </c>
      <c r="U1042" s="21" t="n">
        <f aca="false">S1042-T1042</f>
        <v>-0.424242424242038</v>
      </c>
      <c r="V1042" s="21" t="n">
        <f aca="false">Y1042-O1042*R1042/(1-R1042)</f>
        <v>159907.161616162</v>
      </c>
      <c r="W1042" s="21" t="n">
        <f aca="false">Z1042-P1042*R1042/(1-R1042)</f>
        <v>11289.2626262626</v>
      </c>
      <c r="X1042" s="21" t="n">
        <f aca="false">S1042+V1042+W1042</f>
        <v>187561</v>
      </c>
      <c r="Y1042" s="19" t="n">
        <v>175919</v>
      </c>
      <c r="Z1042" s="19" t="n">
        <v>11642</v>
      </c>
      <c r="AA1042" s="19" t="n">
        <v>1620093</v>
      </c>
      <c r="AB1042" s="29" t="n">
        <v>38.349</v>
      </c>
      <c r="AC1042" s="29" t="n">
        <v>38.616</v>
      </c>
      <c r="AD1042" s="24" t="n">
        <f aca="false">IFERROR(AA1042/AC1042,0)</f>
        <v>41953.9310130516</v>
      </c>
      <c r="AE1042" s="25" t="n">
        <f aca="false">K1042-Q1042-X1042</f>
        <v>0</v>
      </c>
      <c r="AF1042" s="25" t="n">
        <f aca="false">Q1042-AA1042</f>
        <v>0</v>
      </c>
      <c r="AG1042" s="19" t="n">
        <v>1365298.01013804</v>
      </c>
      <c r="AH1042" s="26" t="n">
        <f aca="false">IFERROR(AG1042/Q1042,0)</f>
        <v>0.842728170628498</v>
      </c>
      <c r="AI1042" s="27" t="n">
        <v>426453145.953917</v>
      </c>
      <c r="AJ1042" s="26" t="n">
        <f aca="false">IF(AI1042&gt;0,AprCoef/SQRT(AI1042),0)</f>
        <v>0.0229531703777782</v>
      </c>
      <c r="AK1042" s="24" t="n">
        <f aca="false">AI1042*AJ1042/365</f>
        <v>26817.6759375884</v>
      </c>
      <c r="AL1042" s="24" t="n">
        <f aca="false">AD1042</f>
        <v>41953.9310130516</v>
      </c>
      <c r="AM1042" s="24" t="n">
        <f aca="false">AK1042-AL1042</f>
        <v>-15136.2550754632</v>
      </c>
      <c r="AN1042" s="28" t="str">
        <f aca="false">IF(A1042&gt;=Hip3LaunchDate,"YES","")</f>
        <v>YES</v>
      </c>
      <c r="AO1042" s="28" t="str">
        <f aca="false">IF(A1042&lt;Hip4LaunchDate,"pre-launch","live (zero-fee)")</f>
        <v>pre-launch</v>
      </c>
      <c r="AP1042" s="30" t="n">
        <v>118</v>
      </c>
      <c r="AQ1042" s="30" t="n">
        <v>87</v>
      </c>
      <c r="AR1042" s="19" t="n">
        <v>48497.663912343</v>
      </c>
    </row>
    <row r="1043" customFormat="false" ht="15" hidden="false" customHeight="false" outlineLevel="0" collapsed="false">
      <c r="A1043" s="18" t="n">
        <v>46104</v>
      </c>
      <c r="B1043" s="19" t="n">
        <v>6523699526.44</v>
      </c>
      <c r="C1043" s="19" t="n">
        <v>5961410742.85</v>
      </c>
      <c r="D1043" s="19" t="n">
        <v>238315622</v>
      </c>
      <c r="E1043" s="21" t="n">
        <f aca="false">B1043+C1043</f>
        <v>12485110269.29</v>
      </c>
      <c r="F1043" s="21" t="n">
        <f aca="false">E1043+D1043</f>
        <v>12723425891.29</v>
      </c>
      <c r="G1043" s="22" t="n">
        <f aca="false">IFERROR(C1043/E1043,0)</f>
        <v>0.47748162525352</v>
      </c>
      <c r="H1043" s="19" t="n">
        <v>3375694</v>
      </c>
      <c r="I1043" s="19" t="n">
        <v>112724</v>
      </c>
      <c r="J1043" s="19" t="n">
        <v>32061</v>
      </c>
      <c r="K1043" s="21" t="n">
        <f aca="false">H1043+I1043</f>
        <v>3488418</v>
      </c>
      <c r="L1043" s="19" t="n">
        <v>342486.33284711</v>
      </c>
      <c r="M1043" s="21" t="n">
        <f aca="false">H1043-L1043</f>
        <v>3033207.66715289</v>
      </c>
      <c r="N1043" s="23" t="n">
        <f aca="false">IFERROR(M1043/B1043*10000,0)</f>
        <v>4.64952080465932</v>
      </c>
      <c r="O1043" s="19" t="n">
        <v>3081818</v>
      </c>
      <c r="P1043" s="19" t="n">
        <v>92233</v>
      </c>
      <c r="Q1043" s="21" t="n">
        <f aca="false">O1043+P1043</f>
        <v>3174051</v>
      </c>
      <c r="R1043" s="22" t="n">
        <f aca="false">IF(A1043&lt;HlpChangeDate,HlpSharePre,HlpSharePost)</f>
        <v>0.01</v>
      </c>
      <c r="S1043" s="21" t="n">
        <f aca="false">Q1043*R1043/(1-R1043)</f>
        <v>32061.1212121212</v>
      </c>
      <c r="T1043" s="19" t="n">
        <v>32061</v>
      </c>
      <c r="U1043" s="21" t="n">
        <f aca="false">S1043-T1043</f>
        <v>0.121212121215649</v>
      </c>
      <c r="V1043" s="21" t="n">
        <f aca="false">Y1043-O1043*R1043/(1-R1043)</f>
        <v>262746.525252525</v>
      </c>
      <c r="W1043" s="21" t="n">
        <f aca="false">Z1043-P1043*R1043/(1-R1043)</f>
        <v>19559.3535353535</v>
      </c>
      <c r="X1043" s="21" t="n">
        <f aca="false">S1043+V1043+W1043</f>
        <v>314367</v>
      </c>
      <c r="Y1043" s="19" t="n">
        <v>293876</v>
      </c>
      <c r="Z1043" s="19" t="n">
        <v>20491</v>
      </c>
      <c r="AA1043" s="19" t="n">
        <v>3174051</v>
      </c>
      <c r="AB1043" s="29" t="n">
        <v>37.347</v>
      </c>
      <c r="AC1043" s="29" t="n">
        <v>38.00775</v>
      </c>
      <c r="AD1043" s="24" t="n">
        <f aca="false">IFERROR(AA1043/AC1043,0)</f>
        <v>83510.626122304</v>
      </c>
      <c r="AE1043" s="25" t="n">
        <f aca="false">K1043-Q1043-X1043</f>
        <v>0</v>
      </c>
      <c r="AF1043" s="25" t="n">
        <f aca="false">Q1043-AA1043</f>
        <v>0</v>
      </c>
      <c r="AG1043" s="19" t="n">
        <v>2688579.721066</v>
      </c>
      <c r="AH1043" s="26" t="n">
        <f aca="false">IFERROR(AG1043/Q1043,0)</f>
        <v>0.847049943767759</v>
      </c>
      <c r="AI1043" s="27" t="n">
        <v>426607912.700461</v>
      </c>
      <c r="AJ1043" s="26" t="n">
        <f aca="false">IF(AI1043&gt;0,AprCoef/SQRT(AI1043),0)</f>
        <v>0.0229490064726527</v>
      </c>
      <c r="AK1043" s="24" t="n">
        <f aca="false">AI1043*AJ1043/365</f>
        <v>26822.5417804048</v>
      </c>
      <c r="AL1043" s="24" t="n">
        <f aca="false">AD1043</f>
        <v>83510.626122304</v>
      </c>
      <c r="AM1043" s="24" t="n">
        <f aca="false">AK1043-AL1043</f>
        <v>-56688.0843418992</v>
      </c>
      <c r="AN1043" s="28" t="str">
        <f aca="false">IF(A1043&gt;=Hip3LaunchDate,"YES","")</f>
        <v>YES</v>
      </c>
      <c r="AO1043" s="28" t="str">
        <f aca="false">IF(A1043&lt;Hip4LaunchDate,"pre-launch","live (zero-fee)")</f>
        <v>pre-launch</v>
      </c>
      <c r="AP1043" s="30" t="n">
        <v>118</v>
      </c>
      <c r="AQ1043" s="30" t="n">
        <v>87</v>
      </c>
      <c r="AR1043" s="19" t="n">
        <v>332731.799888852</v>
      </c>
    </row>
    <row r="1044" customFormat="false" ht="15" hidden="false" customHeight="false" outlineLevel="0" collapsed="false">
      <c r="A1044" s="18" t="n">
        <v>46105</v>
      </c>
      <c r="B1044" s="19" t="n">
        <v>4661942955.94</v>
      </c>
      <c r="C1044" s="19" t="n">
        <v>3482831917.29</v>
      </c>
      <c r="D1044" s="19" t="n">
        <v>115812748</v>
      </c>
      <c r="E1044" s="21" t="n">
        <f aca="false">B1044+C1044</f>
        <v>8144774873.23</v>
      </c>
      <c r="F1044" s="21" t="n">
        <f aca="false">E1044+D1044</f>
        <v>8260587621.23</v>
      </c>
      <c r="G1044" s="22" t="n">
        <f aca="false">IFERROR(C1044/E1044,0)</f>
        <v>0.427615492324689</v>
      </c>
      <c r="H1044" s="19" t="n">
        <v>2223736</v>
      </c>
      <c r="I1044" s="19" t="n">
        <v>57914</v>
      </c>
      <c r="J1044" s="19" t="n">
        <v>20970</v>
      </c>
      <c r="K1044" s="21" t="n">
        <f aca="false">H1044+I1044</f>
        <v>2281650</v>
      </c>
      <c r="L1044" s="19" t="n">
        <v>172098.423156627</v>
      </c>
      <c r="M1044" s="21" t="n">
        <f aca="false">H1044-L1044</f>
        <v>2051637.57684337</v>
      </c>
      <c r="N1044" s="23" t="n">
        <f aca="false">IFERROR(M1044/B1044*10000,0)</f>
        <v>4.40082085137761</v>
      </c>
      <c r="O1044" s="19" t="n">
        <v>2029349</v>
      </c>
      <c r="P1044" s="19" t="n">
        <v>46696</v>
      </c>
      <c r="Q1044" s="21" t="n">
        <f aca="false">O1044+P1044</f>
        <v>2076045</v>
      </c>
      <c r="R1044" s="22" t="n">
        <f aca="false">IF(A1044&lt;HlpChangeDate,HlpSharePre,HlpSharePost)</f>
        <v>0.01</v>
      </c>
      <c r="S1044" s="21" t="n">
        <f aca="false">Q1044*R1044/(1-R1044)</f>
        <v>20970.1515151515</v>
      </c>
      <c r="T1044" s="19" t="n">
        <v>20970</v>
      </c>
      <c r="U1044" s="21" t="n">
        <f aca="false">S1044-T1044</f>
        <v>0.151515151515923</v>
      </c>
      <c r="V1044" s="21" t="n">
        <f aca="false">Y1044-O1044*R1044/(1-R1044)</f>
        <v>173887.525252525</v>
      </c>
      <c r="W1044" s="21" t="n">
        <f aca="false">Z1044-P1044*R1044/(1-R1044)</f>
        <v>10746.3232323232</v>
      </c>
      <c r="X1044" s="21" t="n">
        <f aca="false">S1044+V1044+W1044</f>
        <v>205604</v>
      </c>
      <c r="Y1044" s="19" t="n">
        <v>194386</v>
      </c>
      <c r="Z1044" s="19" t="n">
        <v>11218</v>
      </c>
      <c r="AA1044" s="19" t="n">
        <v>2076045</v>
      </c>
      <c r="AB1044" s="29" t="n">
        <v>40.338</v>
      </c>
      <c r="AC1044" s="29" t="n">
        <v>38.84825</v>
      </c>
      <c r="AD1044" s="24" t="n">
        <f aca="false">IFERROR(AA1044/AC1044,0)</f>
        <v>53439.8589383048</v>
      </c>
      <c r="AE1044" s="25" t="n">
        <f aca="false">K1044-Q1044-X1044</f>
        <v>1</v>
      </c>
      <c r="AF1044" s="25" t="n">
        <f aca="false">Q1044-AA1044</f>
        <v>0</v>
      </c>
      <c r="AG1044" s="19" t="n">
        <v>1705365.36302805</v>
      </c>
      <c r="AH1044" s="26" t="n">
        <f aca="false">IFERROR(AG1044/Q1044,0)</f>
        <v>0.82144913189649</v>
      </c>
      <c r="AI1044" s="27" t="n">
        <v>426762679.447005</v>
      </c>
      <c r="AJ1044" s="26" t="n">
        <f aca="false">IF(AI1044&gt;0,AprCoef/SQRT(AI1044),0)</f>
        <v>0.0229448448328114</v>
      </c>
      <c r="AK1044" s="24" t="n">
        <f aca="false">AI1044*AJ1044/365</f>
        <v>26827.406740675</v>
      </c>
      <c r="AL1044" s="24" t="n">
        <f aca="false">AD1044</f>
        <v>53439.8589383048</v>
      </c>
      <c r="AM1044" s="24" t="n">
        <f aca="false">AK1044-AL1044</f>
        <v>-26612.4521976298</v>
      </c>
      <c r="AN1044" s="28" t="str">
        <f aca="false">IF(A1044&gt;=Hip3LaunchDate,"YES","")</f>
        <v>YES</v>
      </c>
      <c r="AO1044" s="28" t="str">
        <f aca="false">IF(A1044&lt;Hip4LaunchDate,"pre-launch","live (zero-fee)")</f>
        <v>pre-launch</v>
      </c>
      <c r="AP1044" s="30" t="n">
        <v>118</v>
      </c>
      <c r="AQ1044" s="30" t="n">
        <v>87</v>
      </c>
      <c r="AR1044" s="19" t="n">
        <v>165475.291903918</v>
      </c>
    </row>
    <row r="1045" customFormat="false" ht="15" hidden="false" customHeight="false" outlineLevel="0" collapsed="false">
      <c r="A1045" s="18" t="n">
        <v>46106</v>
      </c>
      <c r="B1045" s="19" t="n">
        <v>4584129064.8</v>
      </c>
      <c r="C1045" s="19" t="n">
        <v>2546300862.7</v>
      </c>
      <c r="D1045" s="19" t="n">
        <v>91591642</v>
      </c>
      <c r="E1045" s="21" t="n">
        <f aca="false">B1045+C1045</f>
        <v>7130429927.5</v>
      </c>
      <c r="F1045" s="21" t="n">
        <f aca="false">E1045+D1045</f>
        <v>7222021569.5</v>
      </c>
      <c r="G1045" s="22" t="n">
        <f aca="false">IFERROR(C1045/E1045,0)</f>
        <v>0.357103412920399</v>
      </c>
      <c r="H1045" s="19" t="n">
        <v>2052280</v>
      </c>
      <c r="I1045" s="19" t="n">
        <v>46508</v>
      </c>
      <c r="J1045" s="19" t="n">
        <v>19244</v>
      </c>
      <c r="K1045" s="21" t="n">
        <f aca="false">H1045+I1045</f>
        <v>2098788</v>
      </c>
      <c r="L1045" s="19" t="n">
        <v>120026.382998251</v>
      </c>
      <c r="M1045" s="21" t="n">
        <f aca="false">H1045-L1045</f>
        <v>1932253.61700175</v>
      </c>
      <c r="N1045" s="23" t="n">
        <f aca="false">IFERROR(M1045/B1045*10000,0)</f>
        <v>4.21509427349871</v>
      </c>
      <c r="O1045" s="19" t="n">
        <v>1866987</v>
      </c>
      <c r="P1045" s="19" t="n">
        <v>38141</v>
      </c>
      <c r="Q1045" s="21" t="n">
        <f aca="false">O1045+P1045</f>
        <v>1905128</v>
      </c>
      <c r="R1045" s="22" t="n">
        <f aca="false">IF(A1045&lt;HlpChangeDate,HlpSharePre,HlpSharePost)</f>
        <v>0.01</v>
      </c>
      <c r="S1045" s="21" t="n">
        <f aca="false">Q1045*R1045/(1-R1045)</f>
        <v>19243.7171717172</v>
      </c>
      <c r="T1045" s="19" t="n">
        <v>19244</v>
      </c>
      <c r="U1045" s="21" t="n">
        <f aca="false">S1045-T1045</f>
        <v>-0.282828282830451</v>
      </c>
      <c r="V1045" s="21" t="n">
        <f aca="false">Y1045-O1045*R1045/(1-R1045)</f>
        <v>166434.545454545</v>
      </c>
      <c r="W1045" s="21" t="n">
        <f aca="false">Z1045-P1045*R1045/(1-R1045)</f>
        <v>7982.73737373737</v>
      </c>
      <c r="X1045" s="21" t="n">
        <f aca="false">S1045+V1045+W1045</f>
        <v>193661</v>
      </c>
      <c r="Y1045" s="19" t="n">
        <v>185293</v>
      </c>
      <c r="Z1045" s="19" t="n">
        <v>8368</v>
      </c>
      <c r="AA1045" s="19" t="n">
        <v>1905128</v>
      </c>
      <c r="AB1045" s="29" t="n">
        <v>40.332</v>
      </c>
      <c r="AC1045" s="29" t="n">
        <v>40.49</v>
      </c>
      <c r="AD1045" s="24" t="n">
        <f aca="false">IFERROR(AA1045/AC1045,0)</f>
        <v>47051.8152630279</v>
      </c>
      <c r="AE1045" s="25" t="n">
        <f aca="false">K1045-Q1045-X1045</f>
        <v>-1.0000000000291</v>
      </c>
      <c r="AF1045" s="25" t="n">
        <f aca="false">Q1045-AA1045</f>
        <v>0</v>
      </c>
      <c r="AG1045" s="19" t="n">
        <v>1537685.13141394</v>
      </c>
      <c r="AH1045" s="26" t="n">
        <f aca="false">IFERROR(AG1045/Q1045,0)</f>
        <v>0.807129563690176</v>
      </c>
      <c r="AI1045" s="27" t="n">
        <v>426917446.193548</v>
      </c>
      <c r="AJ1045" s="26" t="n">
        <f aca="false">IF(AI1045&gt;0,AprCoef/SQRT(AI1045),0)</f>
        <v>0.0229406854562011</v>
      </c>
      <c r="AK1045" s="24" t="n">
        <f aca="false">AI1045*AJ1045/365</f>
        <v>26832.270818879</v>
      </c>
      <c r="AL1045" s="24" t="n">
        <f aca="false">AD1045</f>
        <v>47051.8152630279</v>
      </c>
      <c r="AM1045" s="24" t="n">
        <f aca="false">AK1045-AL1045</f>
        <v>-20219.5444441489</v>
      </c>
      <c r="AN1045" s="28" t="str">
        <f aca="false">IF(A1045&gt;=Hip3LaunchDate,"YES","")</f>
        <v>YES</v>
      </c>
      <c r="AO1045" s="28" t="str">
        <f aca="false">IF(A1045&lt;Hip4LaunchDate,"pre-launch","live (zero-fee)")</f>
        <v>pre-launch</v>
      </c>
      <c r="AP1045" s="30" t="n">
        <v>122</v>
      </c>
      <c r="AQ1045" s="30" t="n">
        <v>91</v>
      </c>
      <c r="AR1045" s="19" t="n">
        <v>113645.703888438</v>
      </c>
    </row>
    <row r="1046" customFormat="false" ht="15" hidden="false" customHeight="false" outlineLevel="0" collapsed="false">
      <c r="A1046" s="18" t="n">
        <v>46107</v>
      </c>
      <c r="B1046" s="19" t="n">
        <v>4504998235.42</v>
      </c>
      <c r="C1046" s="19" t="n">
        <v>2417392546.06</v>
      </c>
      <c r="D1046" s="19" t="n">
        <v>101819543</v>
      </c>
      <c r="E1046" s="21" t="n">
        <f aca="false">B1046+C1046</f>
        <v>6922390781.48</v>
      </c>
      <c r="F1046" s="21" t="n">
        <f aca="false">E1046+D1046</f>
        <v>7024210324.48</v>
      </c>
      <c r="G1046" s="22" t="n">
        <f aca="false">IFERROR(C1046/E1046,0)</f>
        <v>0.349213533643237</v>
      </c>
      <c r="H1046" s="19" t="n">
        <v>2071055</v>
      </c>
      <c r="I1046" s="19" t="n">
        <v>52042</v>
      </c>
      <c r="J1046" s="19" t="n">
        <v>19080</v>
      </c>
      <c r="K1046" s="21" t="n">
        <f aca="false">H1046+I1046</f>
        <v>2123097</v>
      </c>
      <c r="L1046" s="19" t="n">
        <v>111518.620443989</v>
      </c>
      <c r="M1046" s="21" t="n">
        <f aca="false">H1046-L1046</f>
        <v>1959536.37955601</v>
      </c>
      <c r="N1046" s="23" t="n">
        <f aca="false">IFERROR(M1046/B1046*10000,0)</f>
        <v>4.34969400020936</v>
      </c>
      <c r="O1046" s="19" t="n">
        <v>1850748</v>
      </c>
      <c r="P1046" s="19" t="n">
        <v>38198</v>
      </c>
      <c r="Q1046" s="21" t="n">
        <f aca="false">O1046+P1046</f>
        <v>1888946</v>
      </c>
      <c r="R1046" s="22" t="n">
        <f aca="false">IF(A1046&lt;HlpChangeDate,HlpSharePre,HlpSharePost)</f>
        <v>0.01</v>
      </c>
      <c r="S1046" s="21" t="n">
        <f aca="false">Q1046*R1046/(1-R1046)</f>
        <v>19080.2626262626</v>
      </c>
      <c r="T1046" s="19" t="n">
        <v>19080</v>
      </c>
      <c r="U1046" s="21" t="n">
        <f aca="false">S1046-T1046</f>
        <v>0.262626262625417</v>
      </c>
      <c r="V1046" s="21" t="n">
        <f aca="false">Y1046-O1046*R1046/(1-R1046)</f>
        <v>201612.575757576</v>
      </c>
      <c r="W1046" s="21" t="n">
        <f aca="false">Z1046-P1046*R1046/(1-R1046)</f>
        <v>13458.1616161616</v>
      </c>
      <c r="X1046" s="21" t="n">
        <f aca="false">S1046+V1046+W1046</f>
        <v>234151</v>
      </c>
      <c r="Y1046" s="19" t="n">
        <v>220307</v>
      </c>
      <c r="Z1046" s="19" t="n">
        <v>13844</v>
      </c>
      <c r="AA1046" s="19" t="n">
        <v>1888946</v>
      </c>
      <c r="AB1046" s="29" t="n">
        <v>39.132</v>
      </c>
      <c r="AC1046" s="29" t="n">
        <v>39.528</v>
      </c>
      <c r="AD1046" s="24" t="n">
        <f aca="false">IFERROR(AA1046/AC1046,0)</f>
        <v>47787.5430074884</v>
      </c>
      <c r="AE1046" s="25" t="n">
        <f aca="false">K1046-Q1046-X1046</f>
        <v>0</v>
      </c>
      <c r="AF1046" s="25" t="n">
        <f aca="false">Q1046-AA1046</f>
        <v>0</v>
      </c>
      <c r="AG1046" s="19" t="n">
        <v>1506412.33815908</v>
      </c>
      <c r="AH1046" s="26" t="n">
        <f aca="false">IFERROR(AG1046/Q1046,0)</f>
        <v>0.797488302026148</v>
      </c>
      <c r="AI1046" s="27" t="n">
        <v>427072212.940092</v>
      </c>
      <c r="AJ1046" s="26" t="n">
        <f aca="false">IF(AI1046&gt;0,AprCoef/SQRT(AI1046),0)</f>
        <v>0.0229365283407711</v>
      </c>
      <c r="AK1046" s="24" t="n">
        <f aca="false">AI1046*AJ1046/365</f>
        <v>26837.1340154965</v>
      </c>
      <c r="AL1046" s="24" t="n">
        <f aca="false">AD1046</f>
        <v>47787.5430074884</v>
      </c>
      <c r="AM1046" s="24" t="n">
        <f aca="false">AK1046-AL1046</f>
        <v>-20950.4089919918</v>
      </c>
      <c r="AN1046" s="28" t="str">
        <f aca="false">IF(A1046&gt;=Hip3LaunchDate,"YES","")</f>
        <v>YES</v>
      </c>
      <c r="AO1046" s="28" t="str">
        <f aca="false">IF(A1046&lt;Hip4LaunchDate,"pre-launch","live (zero-fee)")</f>
        <v>pre-launch</v>
      </c>
      <c r="AP1046" s="30" t="n">
        <v>122</v>
      </c>
      <c r="AQ1046" s="30" t="n">
        <v>91</v>
      </c>
      <c r="AR1046" s="19" t="n">
        <v>105736.534638097</v>
      </c>
    </row>
    <row r="1047" customFormat="false" ht="15" hidden="false" customHeight="false" outlineLevel="0" collapsed="false">
      <c r="A1047" s="18" t="n">
        <v>46108</v>
      </c>
      <c r="B1047" s="19" t="n">
        <v>4108634204.38</v>
      </c>
      <c r="C1047" s="19" t="n">
        <v>2332432540.58</v>
      </c>
      <c r="D1047" s="19" t="n">
        <v>120863991</v>
      </c>
      <c r="E1047" s="21" t="n">
        <f aca="false">B1047+C1047</f>
        <v>6441066744.96</v>
      </c>
      <c r="F1047" s="21" t="n">
        <f aca="false">E1047+D1047</f>
        <v>6561930735.96</v>
      </c>
      <c r="G1047" s="22" t="n">
        <f aca="false">IFERROR(C1047/E1047,0)</f>
        <v>0.362118983226665</v>
      </c>
      <c r="H1047" s="19" t="n">
        <v>2035185</v>
      </c>
      <c r="I1047" s="19" t="n">
        <v>56514</v>
      </c>
      <c r="J1047" s="19" t="n">
        <v>18509</v>
      </c>
      <c r="K1047" s="21" t="n">
        <f aca="false">H1047+I1047</f>
        <v>2091699</v>
      </c>
      <c r="L1047" s="19" t="n">
        <v>115315.478409727</v>
      </c>
      <c r="M1047" s="21" t="n">
        <f aca="false">H1047-L1047</f>
        <v>1919869.52159027</v>
      </c>
      <c r="N1047" s="23" t="n">
        <f aca="false">IFERROR(M1047/B1047*10000,0)</f>
        <v>4.67276819032369</v>
      </c>
      <c r="O1047" s="19" t="n">
        <v>1791762</v>
      </c>
      <c r="P1047" s="19" t="n">
        <v>40677</v>
      </c>
      <c r="Q1047" s="21" t="n">
        <f aca="false">O1047+P1047</f>
        <v>1832439</v>
      </c>
      <c r="R1047" s="22" t="n">
        <f aca="false">IF(A1047&lt;HlpChangeDate,HlpSharePre,HlpSharePost)</f>
        <v>0.01</v>
      </c>
      <c r="S1047" s="21" t="n">
        <f aca="false">Q1047*R1047/(1-R1047)</f>
        <v>18509.4848484848</v>
      </c>
      <c r="T1047" s="19" t="n">
        <v>18509</v>
      </c>
      <c r="U1047" s="21" t="n">
        <f aca="false">S1047-T1047</f>
        <v>0.484848484848044</v>
      </c>
      <c r="V1047" s="21" t="n">
        <f aca="false">Y1047-O1047*R1047/(1-R1047)</f>
        <v>225324.393939394</v>
      </c>
      <c r="W1047" s="21" t="n">
        <f aca="false">Z1047-P1047*R1047/(1-R1047)</f>
        <v>15426.1212121212</v>
      </c>
      <c r="X1047" s="21" t="n">
        <f aca="false">S1047+V1047+W1047</f>
        <v>259260</v>
      </c>
      <c r="Y1047" s="19" t="n">
        <v>243423</v>
      </c>
      <c r="Z1047" s="19" t="n">
        <v>15837</v>
      </c>
      <c r="AA1047" s="19" t="n">
        <v>1832439</v>
      </c>
      <c r="AB1047" s="29" t="n">
        <v>38.657</v>
      </c>
      <c r="AC1047" s="29" t="n">
        <v>38.7765</v>
      </c>
      <c r="AD1047" s="24" t="n">
        <f aca="false">IFERROR(AA1047/AC1047,0)</f>
        <v>47256.4310858381</v>
      </c>
      <c r="AE1047" s="25" t="n">
        <f aca="false">K1047-Q1047-X1047</f>
        <v>0</v>
      </c>
      <c r="AF1047" s="25" t="n">
        <f aca="false">Q1047-AA1047</f>
        <v>0</v>
      </c>
      <c r="AG1047" s="19" t="n">
        <v>1430888.31713986</v>
      </c>
      <c r="AH1047" s="26" t="n">
        <f aca="false">IFERROR(AG1047/Q1047,0)</f>
        <v>0.780865456989217</v>
      </c>
      <c r="AI1047" s="27" t="n">
        <v>427226979.686636</v>
      </c>
      <c r="AJ1047" s="26" t="n">
        <f aca="false">IF(AI1047&gt;0,AprCoef/SQRT(AI1047),0)</f>
        <v>0.0229323734844733</v>
      </c>
      <c r="AK1047" s="24" t="n">
        <f aca="false">AI1047*AJ1047/365</f>
        <v>26841.9963310067</v>
      </c>
      <c r="AL1047" s="24" t="n">
        <f aca="false">AD1047</f>
        <v>47256.4310858381</v>
      </c>
      <c r="AM1047" s="24" t="n">
        <f aca="false">AK1047-AL1047</f>
        <v>-20414.4347548314</v>
      </c>
      <c r="AN1047" s="28" t="str">
        <f aca="false">IF(A1047&gt;=Hip3LaunchDate,"YES","")</f>
        <v>YES</v>
      </c>
      <c r="AO1047" s="28" t="str">
        <f aca="false">IF(A1047&lt;Hip4LaunchDate,"pre-launch","live (zero-fee)")</f>
        <v>pre-launch</v>
      </c>
      <c r="AP1047" s="30" t="n">
        <v>122</v>
      </c>
      <c r="AQ1047" s="30" t="n">
        <v>91</v>
      </c>
      <c r="AR1047" s="19" t="n">
        <v>109235.73918669</v>
      </c>
    </row>
    <row r="1048" customFormat="false" ht="15" hidden="false" customHeight="false" outlineLevel="0" collapsed="false">
      <c r="A1048" s="18" t="n">
        <v>46109</v>
      </c>
      <c r="B1048" s="19" t="n">
        <v>2008402372.05</v>
      </c>
      <c r="C1048" s="19" t="n">
        <v>387184913.1</v>
      </c>
      <c r="D1048" s="19" t="n">
        <v>74599473</v>
      </c>
      <c r="E1048" s="21" t="n">
        <f aca="false">B1048+C1048</f>
        <v>2395587285.15</v>
      </c>
      <c r="F1048" s="21" t="n">
        <f aca="false">E1048+D1048</f>
        <v>2470186758.15</v>
      </c>
      <c r="G1048" s="22" t="n">
        <f aca="false">IFERROR(C1048/E1048,0)</f>
        <v>0.161624214446336</v>
      </c>
      <c r="H1048" s="19" t="n">
        <v>889966</v>
      </c>
      <c r="I1048" s="19" t="n">
        <v>36535</v>
      </c>
      <c r="J1048" s="19" t="n">
        <v>8225</v>
      </c>
      <c r="K1048" s="21" t="n">
        <f aca="false">H1048+I1048</f>
        <v>926501</v>
      </c>
      <c r="L1048" s="19" t="n">
        <v>17356.9260627069</v>
      </c>
      <c r="M1048" s="21" t="n">
        <f aca="false">H1048-L1048</f>
        <v>872609.073937293</v>
      </c>
      <c r="N1048" s="23" t="n">
        <f aca="false">IFERROR(M1048/B1048*10000,0)</f>
        <v>4.34479208987694</v>
      </c>
      <c r="O1048" s="19" t="n">
        <v>785984</v>
      </c>
      <c r="P1048" s="19" t="n">
        <v>28275</v>
      </c>
      <c r="Q1048" s="21" t="n">
        <f aca="false">O1048+P1048</f>
        <v>814259</v>
      </c>
      <c r="R1048" s="22" t="n">
        <f aca="false">IF(A1048&lt;HlpChangeDate,HlpSharePre,HlpSharePost)</f>
        <v>0.01</v>
      </c>
      <c r="S1048" s="21" t="n">
        <f aca="false">Q1048*R1048/(1-R1048)</f>
        <v>8224.83838383838</v>
      </c>
      <c r="T1048" s="19" t="n">
        <v>8225</v>
      </c>
      <c r="U1048" s="21" t="n">
        <f aca="false">S1048-T1048</f>
        <v>-0.161616161616621</v>
      </c>
      <c r="V1048" s="21" t="n">
        <f aca="false">Y1048-O1048*R1048/(1-R1048)</f>
        <v>96042.7676767677</v>
      </c>
      <c r="W1048" s="21" t="n">
        <f aca="false">Z1048-P1048*R1048/(1-R1048)</f>
        <v>7974.39393939394</v>
      </c>
      <c r="X1048" s="21" t="n">
        <f aca="false">S1048+V1048+W1048</f>
        <v>112242</v>
      </c>
      <c r="Y1048" s="19" t="n">
        <v>103982</v>
      </c>
      <c r="Z1048" s="19" t="n">
        <v>8260</v>
      </c>
      <c r="AA1048" s="19" t="n">
        <v>814259</v>
      </c>
      <c r="AB1048" s="29" t="n">
        <v>39.466</v>
      </c>
      <c r="AC1048" s="29" t="n">
        <v>39.098</v>
      </c>
      <c r="AD1048" s="24" t="n">
        <f aca="false">IFERROR(AA1048/AC1048,0)</f>
        <v>20826.1036370147</v>
      </c>
      <c r="AE1048" s="25" t="n">
        <f aca="false">K1048-Q1048-X1048</f>
        <v>0</v>
      </c>
      <c r="AF1048" s="25" t="n">
        <f aca="false">Q1048-AA1048</f>
        <v>0</v>
      </c>
      <c r="AG1048" s="19" t="n">
        <v>657862.011506081</v>
      </c>
      <c r="AH1048" s="26" t="n">
        <f aca="false">IFERROR(AG1048/Q1048,0)</f>
        <v>0.807927221567193</v>
      </c>
      <c r="AI1048" s="27" t="n">
        <v>427381746.43318</v>
      </c>
      <c r="AJ1048" s="26" t="n">
        <f aca="false">IF(AI1048&gt;0,AprCoef/SQRT(AI1048),0)</f>
        <v>0.0229282208852625</v>
      </c>
      <c r="AK1048" s="24" t="n">
        <f aca="false">AI1048*AJ1048/365</f>
        <v>26846.8577658881</v>
      </c>
      <c r="AL1048" s="24" t="n">
        <f aca="false">AD1048</f>
        <v>20826.1036370147</v>
      </c>
      <c r="AM1048" s="24" t="n">
        <f aca="false">AK1048-AL1048</f>
        <v>6020.75412887346</v>
      </c>
      <c r="AN1048" s="28" t="str">
        <f aca="false">IF(A1048&gt;=Hip3LaunchDate,"YES","")</f>
        <v>YES</v>
      </c>
      <c r="AO1048" s="28" t="str">
        <f aca="false">IF(A1048&lt;Hip4LaunchDate,"pre-launch","live (zero-fee)")</f>
        <v>pre-launch</v>
      </c>
      <c r="AP1048" s="30" t="n">
        <v>122</v>
      </c>
      <c r="AQ1048" s="30" t="n">
        <v>91</v>
      </c>
      <c r="AR1048" s="19" t="n">
        <v>14377.5351577316</v>
      </c>
    </row>
    <row r="1049" customFormat="false" ht="15" hidden="false" customHeight="false" outlineLevel="0" collapsed="false">
      <c r="A1049" s="18" t="n">
        <v>46110</v>
      </c>
      <c r="B1049" s="19" t="n">
        <v>2199415237.1</v>
      </c>
      <c r="C1049" s="19" t="n">
        <v>643844781.62</v>
      </c>
      <c r="D1049" s="19" t="n">
        <v>68340801</v>
      </c>
      <c r="E1049" s="21" t="n">
        <f aca="false">B1049+C1049</f>
        <v>2843260018.72</v>
      </c>
      <c r="F1049" s="21" t="n">
        <f aca="false">E1049+D1049</f>
        <v>2911600819.72</v>
      </c>
      <c r="G1049" s="22" t="n">
        <f aca="false">IFERROR(C1049/E1049,0)</f>
        <v>0.226445973066456</v>
      </c>
      <c r="H1049" s="19" t="n">
        <v>1030715</v>
      </c>
      <c r="I1049" s="19" t="n">
        <v>31483</v>
      </c>
      <c r="J1049" s="19" t="n">
        <v>9462</v>
      </c>
      <c r="K1049" s="21" t="n">
        <f aca="false">H1049+I1049</f>
        <v>1062198</v>
      </c>
      <c r="L1049" s="19" t="n">
        <v>31829.8402590854</v>
      </c>
      <c r="M1049" s="21" t="n">
        <f aca="false">H1049-L1049</f>
        <v>998885.159740915</v>
      </c>
      <c r="N1049" s="23" t="n">
        <f aca="false">IFERROR(M1049/B1049*10000,0)</f>
        <v>4.54159425147012</v>
      </c>
      <c r="O1049" s="19" t="n">
        <v>912372</v>
      </c>
      <c r="P1049" s="19" t="n">
        <v>24415</v>
      </c>
      <c r="Q1049" s="21" t="n">
        <f aca="false">O1049+P1049</f>
        <v>936787</v>
      </c>
      <c r="R1049" s="22" t="n">
        <f aca="false">IF(A1049&lt;HlpChangeDate,HlpSharePre,HlpSharePost)</f>
        <v>0.01</v>
      </c>
      <c r="S1049" s="21" t="n">
        <f aca="false">Q1049*R1049/(1-R1049)</f>
        <v>9462.49494949495</v>
      </c>
      <c r="T1049" s="19" t="n">
        <v>9462</v>
      </c>
      <c r="U1049" s="21" t="n">
        <f aca="false">S1049-T1049</f>
        <v>0.494949494950561</v>
      </c>
      <c r="V1049" s="21" t="n">
        <f aca="false">Y1049-O1049*R1049/(1-R1049)</f>
        <v>109128.121212121</v>
      </c>
      <c r="W1049" s="21" t="n">
        <f aca="false">Z1049-P1049*R1049/(1-R1049)</f>
        <v>6821.38383838384</v>
      </c>
      <c r="X1049" s="21" t="n">
        <f aca="false">S1049+V1049+W1049</f>
        <v>125412</v>
      </c>
      <c r="Y1049" s="19" t="n">
        <v>118344</v>
      </c>
      <c r="Z1049" s="19" t="n">
        <v>7068</v>
      </c>
      <c r="AA1049" s="19" t="n">
        <v>936787</v>
      </c>
      <c r="AB1049" s="29" t="n">
        <v>37.807</v>
      </c>
      <c r="AC1049" s="29" t="n">
        <v>38.76</v>
      </c>
      <c r="AD1049" s="24" t="n">
        <f aca="false">IFERROR(AA1049/AC1049,0)</f>
        <v>24168.91124871</v>
      </c>
      <c r="AE1049" s="25" t="n">
        <f aca="false">K1049-Q1049-X1049</f>
        <v>-1.00000000001455</v>
      </c>
      <c r="AF1049" s="25" t="n">
        <f aca="false">Q1049-AA1049</f>
        <v>0</v>
      </c>
      <c r="AG1049" s="19" t="n">
        <v>710679.999527931</v>
      </c>
      <c r="AH1049" s="26" t="n">
        <f aca="false">IFERROR(AG1049/Q1049,0)</f>
        <v>0.758635633850525</v>
      </c>
      <c r="AI1049" s="27" t="n">
        <v>427536513.179724</v>
      </c>
      <c r="AJ1049" s="26" t="n">
        <f aca="false">IF(AI1049&gt;0,AprCoef/SQRT(AI1049),0)</f>
        <v>0.0229240705410956</v>
      </c>
      <c r="AK1049" s="24" t="n">
        <f aca="false">AI1049*AJ1049/365</f>
        <v>26851.7183206193</v>
      </c>
      <c r="AL1049" s="24" t="n">
        <f aca="false">AD1049</f>
        <v>24168.91124871</v>
      </c>
      <c r="AM1049" s="24" t="n">
        <f aca="false">AK1049-AL1049</f>
        <v>2682.80707190929</v>
      </c>
      <c r="AN1049" s="28" t="str">
        <f aca="false">IF(A1049&gt;=Hip3LaunchDate,"YES","")</f>
        <v>YES</v>
      </c>
      <c r="AO1049" s="28" t="str">
        <f aca="false">IF(A1049&lt;Hip4LaunchDate,"pre-launch","live (zero-fee)")</f>
        <v>pre-launch</v>
      </c>
      <c r="AP1049" s="30" t="n">
        <v>122</v>
      </c>
      <c r="AQ1049" s="30" t="n">
        <v>91</v>
      </c>
      <c r="AR1049" s="19" t="n">
        <v>28005.0616101129</v>
      </c>
    </row>
    <row r="1050" customFormat="false" ht="15" hidden="false" customHeight="false" outlineLevel="0" collapsed="false">
      <c r="A1050" s="18" t="n">
        <v>46111</v>
      </c>
      <c r="B1050" s="19" t="n">
        <v>3825866607.06</v>
      </c>
      <c r="C1050" s="19" t="n">
        <v>2298306018.07</v>
      </c>
      <c r="D1050" s="19" t="n">
        <v>110827708</v>
      </c>
      <c r="E1050" s="21" t="n">
        <f aca="false">B1050+C1050</f>
        <v>6124172625.13</v>
      </c>
      <c r="F1050" s="21" t="n">
        <f aca="false">E1050+D1050</f>
        <v>6235000333.13</v>
      </c>
      <c r="G1050" s="22" t="n">
        <f aca="false">IFERROR(C1050/E1050,0)</f>
        <v>0.375284329615254</v>
      </c>
      <c r="H1050" s="19" t="n">
        <v>1827243</v>
      </c>
      <c r="I1050" s="19" t="n">
        <v>54539</v>
      </c>
      <c r="J1050" s="19" t="n">
        <v>17059</v>
      </c>
      <c r="K1050" s="21" t="n">
        <f aca="false">H1050+I1050</f>
        <v>1881782</v>
      </c>
      <c r="L1050" s="19" t="n">
        <v>99353.5788973262</v>
      </c>
      <c r="M1050" s="21" t="n">
        <f aca="false">H1050-L1050</f>
        <v>1727889.42110267</v>
      </c>
      <c r="N1050" s="23" t="n">
        <f aca="false">IFERROR(M1050/B1050*10000,0)</f>
        <v>4.51633472508984</v>
      </c>
      <c r="O1050" s="19" t="n">
        <v>1641794</v>
      </c>
      <c r="P1050" s="19" t="n">
        <v>47024</v>
      </c>
      <c r="Q1050" s="21" t="n">
        <f aca="false">O1050+P1050</f>
        <v>1688818</v>
      </c>
      <c r="R1050" s="22" t="n">
        <f aca="false">IF(A1050&lt;HlpChangeDate,HlpSharePre,HlpSharePost)</f>
        <v>0.01</v>
      </c>
      <c r="S1050" s="21" t="n">
        <f aca="false">Q1050*R1050/(1-R1050)</f>
        <v>17058.7676767677</v>
      </c>
      <c r="T1050" s="19" t="n">
        <v>17059</v>
      </c>
      <c r="U1050" s="21" t="n">
        <f aca="false">S1050-T1050</f>
        <v>-0.232323232321505</v>
      </c>
      <c r="V1050" s="21" t="n">
        <f aca="false">Y1050-O1050*R1050/(1-R1050)</f>
        <v>168865.222222222</v>
      </c>
      <c r="W1050" s="21" t="n">
        <f aca="false">Z1050-P1050*R1050/(1-R1050)</f>
        <v>7040.0101010101</v>
      </c>
      <c r="X1050" s="21" t="n">
        <f aca="false">S1050+V1050+W1050</f>
        <v>192964</v>
      </c>
      <c r="Y1050" s="19" t="n">
        <v>185449</v>
      </c>
      <c r="Z1050" s="19" t="n">
        <v>7515</v>
      </c>
      <c r="AA1050" s="19" t="n">
        <v>1688818</v>
      </c>
      <c r="AB1050" s="29" t="n">
        <v>36.846</v>
      </c>
      <c r="AC1050" s="29" t="n">
        <v>37.49</v>
      </c>
      <c r="AD1050" s="24" t="n">
        <f aca="false">IFERROR(AA1050/AC1050,0)</f>
        <v>45047.1592424647</v>
      </c>
      <c r="AE1050" s="25" t="n">
        <f aca="false">K1050-Q1050-X1050</f>
        <v>0</v>
      </c>
      <c r="AF1050" s="25" t="n">
        <f aca="false">Q1050-AA1050</f>
        <v>0</v>
      </c>
      <c r="AG1050" s="19" t="n">
        <v>1355017.74190211</v>
      </c>
      <c r="AH1050" s="26" t="n">
        <f aca="false">IFERROR(AG1050/Q1050,0)</f>
        <v>0.80234681410437</v>
      </c>
      <c r="AI1050" s="27" t="n">
        <v>427691279.926267</v>
      </c>
      <c r="AJ1050" s="26" t="n">
        <f aca="false">IF(AI1050&gt;0,AprCoef/SQRT(AI1050),0)</f>
        <v>0.0229199224499326</v>
      </c>
      <c r="AK1050" s="24" t="n">
        <f aca="false">AI1050*AJ1050/365</f>
        <v>26856.577995678</v>
      </c>
      <c r="AL1050" s="24" t="n">
        <f aca="false">AD1050</f>
        <v>45047.1592424647</v>
      </c>
      <c r="AM1050" s="24" t="n">
        <f aca="false">AK1050-AL1050</f>
        <v>-18190.5812467866</v>
      </c>
      <c r="AN1050" s="28" t="str">
        <f aca="false">IF(A1050&gt;=Hip3LaunchDate,"YES","")</f>
        <v>YES</v>
      </c>
      <c r="AO1050" s="28" t="str">
        <f aca="false">IF(A1050&lt;Hip4LaunchDate,"pre-launch","live (zero-fee)")</f>
        <v>pre-launch</v>
      </c>
      <c r="AP1050" s="30" t="n">
        <v>123</v>
      </c>
      <c r="AQ1050" s="30" t="n">
        <v>92</v>
      </c>
      <c r="AR1050" s="19" t="n">
        <v>93418.0843166089</v>
      </c>
    </row>
    <row r="1051" customFormat="false" ht="15" hidden="false" customHeight="false" outlineLevel="0" collapsed="false">
      <c r="A1051" s="18" t="n">
        <v>46112</v>
      </c>
      <c r="B1051" s="19" t="n">
        <v>6145403430.05</v>
      </c>
      <c r="C1051" s="19" t="n">
        <v>3635530094.15</v>
      </c>
      <c r="D1051" s="19" t="n">
        <v>133363888</v>
      </c>
      <c r="E1051" s="21" t="n">
        <f aca="false">B1051+C1051</f>
        <v>9780933524.2</v>
      </c>
      <c r="F1051" s="21" t="n">
        <f aca="false">E1051+D1051</f>
        <v>9914297412.2</v>
      </c>
      <c r="G1051" s="22" t="n">
        <f aca="false">IFERROR(C1051/E1051,0)</f>
        <v>0.371695614243259</v>
      </c>
      <c r="H1051" s="19" t="n">
        <v>2717385</v>
      </c>
      <c r="I1051" s="19" t="n">
        <v>62621</v>
      </c>
      <c r="J1051" s="19" t="n">
        <v>25529</v>
      </c>
      <c r="K1051" s="21" t="n">
        <f aca="false">H1051+I1051</f>
        <v>2780006</v>
      </c>
      <c r="L1051" s="19" t="n">
        <v>155566.129102521</v>
      </c>
      <c r="M1051" s="21" t="n">
        <f aca="false">H1051-L1051</f>
        <v>2561818.87089748</v>
      </c>
      <c r="N1051" s="23" t="n">
        <f aca="false">IFERROR(M1051/B1051*10000,0)</f>
        <v>4.16867484788812</v>
      </c>
      <c r="O1051" s="19" t="n">
        <v>2475250</v>
      </c>
      <c r="P1051" s="19" t="n">
        <v>52106</v>
      </c>
      <c r="Q1051" s="21" t="n">
        <f aca="false">O1051+P1051</f>
        <v>2527356</v>
      </c>
      <c r="R1051" s="22" t="n">
        <f aca="false">IF(A1051&lt;HlpChangeDate,HlpSharePre,HlpSharePost)</f>
        <v>0.01</v>
      </c>
      <c r="S1051" s="21" t="n">
        <f aca="false">Q1051*R1051/(1-R1051)</f>
        <v>25528.8484848485</v>
      </c>
      <c r="T1051" s="19" t="n">
        <v>25529</v>
      </c>
      <c r="U1051" s="21" t="n">
        <f aca="false">S1051-T1051</f>
        <v>-0.151515151512285</v>
      </c>
      <c r="V1051" s="21" t="n">
        <f aca="false">Y1051-O1051*R1051/(1-R1051)</f>
        <v>217132.474747475</v>
      </c>
      <c r="W1051" s="21" t="n">
        <f aca="false">Z1051-P1051*R1051/(1-R1051)</f>
        <v>9988.67676767677</v>
      </c>
      <c r="X1051" s="21" t="n">
        <f aca="false">S1051+V1051+W1051</f>
        <v>252650</v>
      </c>
      <c r="Y1051" s="19" t="n">
        <v>242135</v>
      </c>
      <c r="Z1051" s="19" t="n">
        <v>10515</v>
      </c>
      <c r="AA1051" s="19" t="n">
        <v>2527356</v>
      </c>
      <c r="AB1051" s="29" t="n">
        <v>36.594</v>
      </c>
      <c r="AC1051" s="29" t="n">
        <v>36.678</v>
      </c>
      <c r="AD1051" s="24" t="n">
        <f aca="false">IFERROR(AA1051/AC1051,0)</f>
        <v>68906.5925077703</v>
      </c>
      <c r="AE1051" s="25" t="n">
        <f aca="false">K1051-Q1051-X1051</f>
        <v>0</v>
      </c>
      <c r="AF1051" s="25" t="n">
        <f aca="false">Q1051-AA1051</f>
        <v>0</v>
      </c>
      <c r="AG1051" s="19" t="n">
        <v>2019073.85503006</v>
      </c>
      <c r="AH1051" s="26" t="n">
        <f aca="false">IFERROR(AG1051/Q1051,0)</f>
        <v>0.79888779223428</v>
      </c>
      <c r="AI1051" s="27" t="n">
        <v>427846046.672811</v>
      </c>
      <c r="AJ1051" s="26" t="n">
        <f aca="false">IF(AI1051&gt;0,AprCoef/SQRT(AI1051),0)</f>
        <v>0.0229157766097358</v>
      </c>
      <c r="AK1051" s="24" t="n">
        <f aca="false">AI1051*AJ1051/365</f>
        <v>26861.4367915417</v>
      </c>
      <c r="AL1051" s="24" t="n">
        <f aca="false">AD1051</f>
        <v>68906.5925077703</v>
      </c>
      <c r="AM1051" s="24" t="n">
        <f aca="false">AK1051-AL1051</f>
        <v>-42045.1557162286</v>
      </c>
      <c r="AN1051" s="28" t="str">
        <f aca="false">IF(A1051&gt;=Hip3LaunchDate,"YES","")</f>
        <v>YES</v>
      </c>
      <c r="AO1051" s="28" t="str">
        <f aca="false">IF(A1051&lt;Hip4LaunchDate,"pre-launch","live (zero-fee)")</f>
        <v>pre-launch</v>
      </c>
      <c r="AP1051" s="30" t="n">
        <v>124</v>
      </c>
      <c r="AQ1051" s="30" t="n">
        <v>93</v>
      </c>
      <c r="AR1051" s="19" t="n">
        <v>147539.756752385</v>
      </c>
    </row>
    <row r="1052" customFormat="false" ht="15" hidden="false" customHeight="false" outlineLevel="0" collapsed="false">
      <c r="A1052" s="18" t="n">
        <v>46113</v>
      </c>
      <c r="B1052" s="19" t="n">
        <v>4987928250.75</v>
      </c>
      <c r="C1052" s="19" t="n">
        <v>3221732947.56</v>
      </c>
      <c r="D1052" s="19" t="n">
        <v>96719004</v>
      </c>
      <c r="E1052" s="21" t="n">
        <f aca="false">B1052+C1052</f>
        <v>8209661198.31</v>
      </c>
      <c r="F1052" s="21" t="n">
        <f aca="false">E1052+D1052</f>
        <v>8306380202.31</v>
      </c>
      <c r="G1052" s="22" t="n">
        <f aca="false">IFERROR(C1052/E1052,0)</f>
        <v>0.392431900627423</v>
      </c>
      <c r="H1052" s="19" t="n">
        <v>2321769</v>
      </c>
      <c r="I1052" s="19" t="n">
        <v>47354</v>
      </c>
      <c r="J1052" s="19" t="n">
        <v>21523</v>
      </c>
      <c r="K1052" s="21" t="n">
        <f aca="false">H1052+I1052</f>
        <v>2369123</v>
      </c>
      <c r="L1052" s="19" t="n">
        <v>127357.549397993</v>
      </c>
      <c r="M1052" s="21" t="n">
        <f aca="false">H1052-L1052</f>
        <v>2194411.45060201</v>
      </c>
      <c r="N1052" s="23" t="n">
        <f aca="false">IFERROR(M1052/B1052*10000,0)</f>
        <v>4.39944469985519</v>
      </c>
      <c r="O1052" s="19" t="n">
        <v>2096278</v>
      </c>
      <c r="P1052" s="19" t="n">
        <v>34405</v>
      </c>
      <c r="Q1052" s="21" t="n">
        <f aca="false">O1052+P1052</f>
        <v>2130683</v>
      </c>
      <c r="R1052" s="22" t="n">
        <f aca="false">IF(A1052&lt;HlpChangeDate,HlpSharePre,HlpSharePost)</f>
        <v>0.01</v>
      </c>
      <c r="S1052" s="21" t="n">
        <f aca="false">Q1052*R1052/(1-R1052)</f>
        <v>21522.0505050505</v>
      </c>
      <c r="T1052" s="19" t="n">
        <v>21523</v>
      </c>
      <c r="U1052" s="21" t="n">
        <f aca="false">S1052-T1052</f>
        <v>-0.949494949494692</v>
      </c>
      <c r="V1052" s="21" t="n">
        <f aca="false">Y1052-O1052*R1052/(1-R1052)</f>
        <v>204316.474747475</v>
      </c>
      <c r="W1052" s="21" t="n">
        <f aca="false">Z1052-P1052*R1052/(1-R1052)</f>
        <v>12601.4747474747</v>
      </c>
      <c r="X1052" s="21" t="n">
        <f aca="false">S1052+V1052+W1052</f>
        <v>238440</v>
      </c>
      <c r="Y1052" s="19" t="n">
        <v>225491</v>
      </c>
      <c r="Z1052" s="19" t="n">
        <v>12949</v>
      </c>
      <c r="AA1052" s="19" t="n">
        <v>2130683</v>
      </c>
      <c r="AB1052" s="29" t="n">
        <v>36.019</v>
      </c>
      <c r="AC1052" s="29" t="n">
        <v>36.5685</v>
      </c>
      <c r="AD1052" s="24" t="n">
        <f aca="false">IFERROR(AA1052/AC1052,0)</f>
        <v>58265.5290755705</v>
      </c>
      <c r="AE1052" s="25" t="n">
        <f aca="false">K1052-Q1052-X1052</f>
        <v>0</v>
      </c>
      <c r="AF1052" s="25" t="n">
        <f aca="false">Q1052-AA1052</f>
        <v>0</v>
      </c>
      <c r="AG1052" s="19" t="n">
        <v>1709518.1823318</v>
      </c>
      <c r="AH1052" s="26" t="n">
        <f aca="false">IFERROR(AG1052/Q1052,0)</f>
        <v>0.80233342188012</v>
      </c>
      <c r="AI1052" s="27" t="n">
        <v>428000813.419355</v>
      </c>
      <c r="AJ1052" s="26" t="n">
        <f aca="false">IF(AI1052&gt;0,AprCoef/SQRT(AI1052),0)</f>
        <v>0.02291163301847</v>
      </c>
      <c r="AK1052" s="24" t="n">
        <f aca="false">AI1052*AJ1052/365</f>
        <v>26866.2947086874</v>
      </c>
      <c r="AL1052" s="24" t="n">
        <f aca="false">AD1052</f>
        <v>58265.5290755705</v>
      </c>
      <c r="AM1052" s="24" t="n">
        <f aca="false">AK1052-AL1052</f>
        <v>-31399.2343668831</v>
      </c>
      <c r="AN1052" s="28" t="str">
        <f aca="false">IF(A1052&gt;=Hip3LaunchDate,"YES","")</f>
        <v>YES</v>
      </c>
      <c r="AO1052" s="28" t="str">
        <f aca="false">IF(A1052&lt;Hip4LaunchDate,"pre-launch","live (zero-fee)")</f>
        <v>pre-launch</v>
      </c>
      <c r="AP1052" s="30" t="n">
        <v>127</v>
      </c>
      <c r="AQ1052" s="30" t="n">
        <v>93</v>
      </c>
      <c r="AR1052" s="19" t="n">
        <v>122785.617289241</v>
      </c>
    </row>
    <row r="1053" customFormat="false" ht="15" hidden="false" customHeight="false" outlineLevel="0" collapsed="false">
      <c r="A1053" s="18" t="n">
        <v>46114</v>
      </c>
      <c r="B1053" s="19" t="n">
        <v>5289345653.89</v>
      </c>
      <c r="C1053" s="19" t="n">
        <v>4257436050.6</v>
      </c>
      <c r="D1053" s="19" t="n">
        <v>119770724</v>
      </c>
      <c r="E1053" s="21" t="n">
        <f aca="false">B1053+C1053</f>
        <v>9546781704.49</v>
      </c>
      <c r="F1053" s="21" t="n">
        <f aca="false">E1053+D1053</f>
        <v>9666552428.49</v>
      </c>
      <c r="G1053" s="22" t="n">
        <f aca="false">IFERROR(C1053/E1053,0)</f>
        <v>0.445955106378693</v>
      </c>
      <c r="H1053" s="19" t="n">
        <v>2683884</v>
      </c>
      <c r="I1053" s="19" t="n">
        <v>58823</v>
      </c>
      <c r="J1053" s="19" t="n">
        <v>24620</v>
      </c>
      <c r="K1053" s="21" t="n">
        <f aca="false">H1053+I1053</f>
        <v>2742707</v>
      </c>
      <c r="L1053" s="19" t="n">
        <v>189338.772293009</v>
      </c>
      <c r="M1053" s="21" t="n">
        <f aca="false">H1053-L1053</f>
        <v>2494545.22770699</v>
      </c>
      <c r="N1053" s="23" t="n">
        <f aca="false">IFERROR(M1053/B1053*10000,0)</f>
        <v>4.71616980802229</v>
      </c>
      <c r="O1053" s="19" t="n">
        <v>2388486</v>
      </c>
      <c r="P1053" s="19" t="n">
        <v>49147</v>
      </c>
      <c r="Q1053" s="21" t="n">
        <f aca="false">O1053+P1053</f>
        <v>2437633</v>
      </c>
      <c r="R1053" s="22" t="n">
        <f aca="false">IF(A1053&lt;HlpChangeDate,HlpSharePre,HlpSharePost)</f>
        <v>0.01</v>
      </c>
      <c r="S1053" s="21" t="n">
        <f aca="false">Q1053*R1053/(1-R1053)</f>
        <v>24622.5555555556</v>
      </c>
      <c r="T1053" s="19" t="n">
        <v>24620</v>
      </c>
      <c r="U1053" s="21" t="n">
        <f aca="false">S1053-T1053</f>
        <v>2.55555555555839</v>
      </c>
      <c r="V1053" s="21" t="n">
        <f aca="false">Y1053-O1053*R1053/(1-R1053)</f>
        <v>271272.878787879</v>
      </c>
      <c r="W1053" s="21" t="n">
        <f aca="false">Z1053-P1053*R1053/(1-R1053)</f>
        <v>9179.56565656566</v>
      </c>
      <c r="X1053" s="21" t="n">
        <f aca="false">S1053+V1053+W1053</f>
        <v>305075</v>
      </c>
      <c r="Y1053" s="19" t="n">
        <v>295399</v>
      </c>
      <c r="Z1053" s="19" t="n">
        <v>9676</v>
      </c>
      <c r="AA1053" s="19" t="n">
        <v>2437633</v>
      </c>
      <c r="AB1053" s="29" t="n">
        <v>35.203</v>
      </c>
      <c r="AC1053" s="29" t="n">
        <v>35.488</v>
      </c>
      <c r="AD1053" s="24" t="n">
        <f aca="false">IFERROR(AA1053/AC1053,0)</f>
        <v>68688.9371055004</v>
      </c>
      <c r="AE1053" s="25" t="n">
        <f aca="false">K1053-Q1053-X1053</f>
        <v>-1</v>
      </c>
      <c r="AF1053" s="25" t="n">
        <f aca="false">Q1053-AA1053</f>
        <v>0</v>
      </c>
      <c r="AG1053" s="19" t="n">
        <v>1938463.3020401</v>
      </c>
      <c r="AH1053" s="26" t="n">
        <f aca="false">IFERROR(AG1053/Q1053,0)</f>
        <v>0.795223605046412</v>
      </c>
      <c r="AI1053" s="27" t="n">
        <v>428155580.165899</v>
      </c>
      <c r="AJ1053" s="26" t="n">
        <f aca="false">IF(AI1053&gt;0,AprCoef/SQRT(AI1053),0)</f>
        <v>0.0229074916741027</v>
      </c>
      <c r="AK1053" s="24" t="n">
        <f aca="false">AI1053*AJ1053/365</f>
        <v>26871.1517475916</v>
      </c>
      <c r="AL1053" s="24" t="n">
        <f aca="false">AD1053</f>
        <v>68688.9371055004</v>
      </c>
      <c r="AM1053" s="24" t="n">
        <f aca="false">AK1053-AL1053</f>
        <v>-41817.7853579088</v>
      </c>
      <c r="AN1053" s="28" t="str">
        <f aca="false">IF(A1053&gt;=Hip3LaunchDate,"YES","")</f>
        <v>YES</v>
      </c>
      <c r="AO1053" s="28" t="str">
        <f aca="false">IF(A1053&lt;Hip4LaunchDate,"pre-launch","live (zero-fee)")</f>
        <v>pre-launch</v>
      </c>
      <c r="AP1053" s="30" t="n">
        <v>128</v>
      </c>
      <c r="AQ1053" s="30" t="n">
        <v>93</v>
      </c>
      <c r="AR1053" s="19" t="n">
        <v>182898.814167028</v>
      </c>
    </row>
    <row r="1054" customFormat="false" ht="15" hidden="false" customHeight="false" outlineLevel="0" collapsed="false">
      <c r="A1054" s="18" t="n">
        <v>46115</v>
      </c>
      <c r="B1054" s="19" t="n">
        <v>2436403173.14</v>
      </c>
      <c r="C1054" s="19" t="n">
        <v>475343463.98</v>
      </c>
      <c r="D1054" s="19" t="n">
        <v>60250905</v>
      </c>
      <c r="E1054" s="21" t="n">
        <f aca="false">B1054+C1054</f>
        <v>2911746637.12</v>
      </c>
      <c r="F1054" s="21" t="n">
        <f aca="false">E1054+D1054</f>
        <v>2971997542.12</v>
      </c>
      <c r="G1054" s="22" t="n">
        <f aca="false">IFERROR(C1054/E1054,0)</f>
        <v>0.163250283496562</v>
      </c>
      <c r="H1054" s="19" t="n">
        <v>1037285</v>
      </c>
      <c r="I1054" s="19" t="n">
        <v>28451</v>
      </c>
      <c r="J1054" s="19" t="n">
        <v>9673</v>
      </c>
      <c r="K1054" s="21" t="n">
        <f aca="false">H1054+I1054</f>
        <v>1065736</v>
      </c>
      <c r="L1054" s="19" t="n">
        <v>22384.1230772</v>
      </c>
      <c r="M1054" s="21" t="n">
        <f aca="false">H1054-L1054</f>
        <v>1014900.8769228</v>
      </c>
      <c r="N1054" s="23" t="n">
        <f aca="false">IFERROR(M1054/B1054*10000,0)</f>
        <v>4.16557032970373</v>
      </c>
      <c r="O1054" s="19" t="n">
        <v>934810</v>
      </c>
      <c r="P1054" s="19" t="n">
        <v>22768</v>
      </c>
      <c r="Q1054" s="21" t="n">
        <f aca="false">O1054+P1054</f>
        <v>957578</v>
      </c>
      <c r="R1054" s="22" t="n">
        <f aca="false">IF(A1054&lt;HlpChangeDate,HlpSharePre,HlpSharePost)</f>
        <v>0.01</v>
      </c>
      <c r="S1054" s="21" t="n">
        <f aca="false">Q1054*R1054/(1-R1054)</f>
        <v>9672.50505050505</v>
      </c>
      <c r="T1054" s="19" t="n">
        <v>9673</v>
      </c>
      <c r="U1054" s="21" t="n">
        <f aca="false">S1054-T1054</f>
        <v>-0.494949494948742</v>
      </c>
      <c r="V1054" s="21" t="n">
        <f aca="false">Y1054-O1054*R1054/(1-R1054)</f>
        <v>93032.4747474747</v>
      </c>
      <c r="W1054" s="21" t="n">
        <f aca="false">Z1054-P1054*R1054/(1-R1054)</f>
        <v>5453.0202020202</v>
      </c>
      <c r="X1054" s="21" t="n">
        <f aca="false">S1054+V1054+W1054</f>
        <v>108158</v>
      </c>
      <c r="Y1054" s="19" t="n">
        <v>102475</v>
      </c>
      <c r="Z1054" s="19" t="n">
        <v>5683</v>
      </c>
      <c r="AA1054" s="19" t="n">
        <v>957578</v>
      </c>
      <c r="AB1054" s="29" t="n">
        <v>35.606</v>
      </c>
      <c r="AC1054" s="29" t="n">
        <v>35.5095</v>
      </c>
      <c r="AD1054" s="24" t="n">
        <f aca="false">IFERROR(AA1054/AC1054,0)</f>
        <v>26966.8116982779</v>
      </c>
      <c r="AE1054" s="25" t="n">
        <f aca="false">K1054-Q1054-X1054</f>
        <v>0</v>
      </c>
      <c r="AF1054" s="25" t="n">
        <f aca="false">Q1054-AA1054</f>
        <v>0</v>
      </c>
      <c r="AG1054" s="19" t="n">
        <v>774617.797722101</v>
      </c>
      <c r="AH1054" s="26" t="n">
        <f aca="false">IFERROR(AG1054/Q1054,0)</f>
        <v>0.808934413407682</v>
      </c>
      <c r="AI1054" s="27" t="n">
        <v>428310346.912442</v>
      </c>
      <c r="AJ1054" s="26" t="n">
        <f aca="false">IF(AI1054&gt;0,AprCoef/SQRT(AI1054),0)</f>
        <v>0.0229033525746041</v>
      </c>
      <c r="AK1054" s="24" t="n">
        <f aca="false">AI1054*AJ1054/365</f>
        <v>26876.0079087306</v>
      </c>
      <c r="AL1054" s="24" t="n">
        <f aca="false">AD1054</f>
        <v>26966.8116982779</v>
      </c>
      <c r="AM1054" s="24" t="n">
        <f aca="false">AK1054-AL1054</f>
        <v>-90.803789547299</v>
      </c>
      <c r="AN1054" s="28" t="str">
        <f aca="false">IF(A1054&gt;=Hip3LaunchDate,"YES","")</f>
        <v>YES</v>
      </c>
      <c r="AO1054" s="28" t="str">
        <f aca="false">IF(A1054&lt;Hip4LaunchDate,"pre-launch","live (zero-fee)")</f>
        <v>pre-launch</v>
      </c>
      <c r="AP1054" s="30" t="n">
        <v>128</v>
      </c>
      <c r="AQ1054" s="30" t="n">
        <v>93</v>
      </c>
      <c r="AR1054" s="19" t="n">
        <v>19583.6123208314</v>
      </c>
    </row>
    <row r="1055" customFormat="false" ht="15" hidden="false" customHeight="false" outlineLevel="0" collapsed="false">
      <c r="A1055" s="18" t="n">
        <v>46116</v>
      </c>
      <c r="B1055" s="19" t="n">
        <v>1228125067.76</v>
      </c>
      <c r="C1055" s="19" t="n">
        <v>213778772.59</v>
      </c>
      <c r="D1055" s="19" t="n">
        <v>40329525</v>
      </c>
      <c r="E1055" s="21" t="n">
        <f aca="false">B1055+C1055</f>
        <v>1441903840.35</v>
      </c>
      <c r="F1055" s="21" t="n">
        <f aca="false">E1055+D1055</f>
        <v>1482233365.35</v>
      </c>
      <c r="G1055" s="22" t="n">
        <f aca="false">IFERROR(C1055/E1055,0)</f>
        <v>0.148261462801922</v>
      </c>
      <c r="H1055" s="19" t="n">
        <v>589751</v>
      </c>
      <c r="I1055" s="19" t="n">
        <v>23303</v>
      </c>
      <c r="J1055" s="19" t="n">
        <v>5333</v>
      </c>
      <c r="K1055" s="21" t="n">
        <f aca="false">H1055+I1055</f>
        <v>613054</v>
      </c>
      <c r="L1055" s="19" t="n">
        <v>9360.49383330644</v>
      </c>
      <c r="M1055" s="21" t="n">
        <f aca="false">H1055-L1055</f>
        <v>580390.506166694</v>
      </c>
      <c r="N1055" s="23" t="n">
        <f aca="false">IFERROR(M1055/B1055*10000,0)</f>
        <v>4.72582574367022</v>
      </c>
      <c r="O1055" s="19" t="n">
        <v>511015</v>
      </c>
      <c r="P1055" s="19" t="n">
        <v>16977</v>
      </c>
      <c r="Q1055" s="21" t="n">
        <f aca="false">O1055+P1055</f>
        <v>527992</v>
      </c>
      <c r="R1055" s="22" t="n">
        <f aca="false">IF(A1055&lt;HlpChangeDate,HlpSharePre,HlpSharePost)</f>
        <v>0.01</v>
      </c>
      <c r="S1055" s="21" t="n">
        <f aca="false">Q1055*R1055/(1-R1055)</f>
        <v>5333.25252525253</v>
      </c>
      <c r="T1055" s="19" t="n">
        <v>5333</v>
      </c>
      <c r="U1055" s="21" t="n">
        <f aca="false">S1055-T1055</f>
        <v>0.252525252525629</v>
      </c>
      <c r="V1055" s="21" t="n">
        <f aca="false">Y1055-O1055*R1055/(1-R1055)</f>
        <v>73574.2323232323</v>
      </c>
      <c r="W1055" s="21" t="n">
        <f aca="false">Z1055-P1055*R1055/(1-R1055)</f>
        <v>6154.51515151515</v>
      </c>
      <c r="X1055" s="21" t="n">
        <f aca="false">S1055+V1055+W1055</f>
        <v>85062</v>
      </c>
      <c r="Y1055" s="19" t="n">
        <v>78736</v>
      </c>
      <c r="Z1055" s="19" t="n">
        <v>6326</v>
      </c>
      <c r="AA1055" s="19" t="n">
        <v>527992</v>
      </c>
      <c r="AB1055" s="29" t="n">
        <v>36.388</v>
      </c>
      <c r="AC1055" s="29" t="n">
        <v>36.0155</v>
      </c>
      <c r="AD1055" s="24" t="n">
        <f aca="false">IFERROR(AA1055/AC1055,0)</f>
        <v>14660.1324429759</v>
      </c>
      <c r="AE1055" s="25" t="n">
        <f aca="false">K1055-Q1055-X1055</f>
        <v>0</v>
      </c>
      <c r="AF1055" s="25" t="n">
        <f aca="false">Q1055-AA1055</f>
        <v>0</v>
      </c>
      <c r="AG1055" s="19" t="n">
        <v>407079.126011848</v>
      </c>
      <c r="AH1055" s="26" t="n">
        <f aca="false">IFERROR(AG1055/Q1055,0)</f>
        <v>0.770994874944788</v>
      </c>
      <c r="AI1055" s="27" t="n">
        <v>428465113.658986</v>
      </c>
      <c r="AJ1055" s="26" t="n">
        <f aca="false">IF(AI1055&gt;0,AprCoef/SQRT(AI1055),0)</f>
        <v>0.0228992157179468</v>
      </c>
      <c r="AK1055" s="24" t="n">
        <f aca="false">AI1055*AJ1055/365</f>
        <v>26880.8631925801</v>
      </c>
      <c r="AL1055" s="24" t="n">
        <f aca="false">AD1055</f>
        <v>14660.1324429759</v>
      </c>
      <c r="AM1055" s="24" t="n">
        <f aca="false">AK1055-AL1055</f>
        <v>12220.7307496041</v>
      </c>
      <c r="AN1055" s="28" t="str">
        <f aca="false">IF(A1055&gt;=Hip3LaunchDate,"YES","")</f>
        <v>YES</v>
      </c>
      <c r="AO1055" s="28" t="str">
        <f aca="false">IF(A1055&lt;Hip4LaunchDate,"pre-launch","live (zero-fee)")</f>
        <v>pre-launch</v>
      </c>
      <c r="AP1055" s="30" t="n">
        <v>128</v>
      </c>
      <c r="AQ1055" s="30" t="n">
        <v>93</v>
      </c>
      <c r="AR1055" s="19" t="n">
        <v>7553.08725064324</v>
      </c>
    </row>
    <row r="1056" customFormat="false" ht="15" hidden="false" customHeight="false" outlineLevel="0" collapsed="false">
      <c r="A1056" s="18" t="n">
        <v>46117</v>
      </c>
      <c r="B1056" s="19" t="n">
        <v>2483587092.32</v>
      </c>
      <c r="C1056" s="19" t="n">
        <v>760617550.82</v>
      </c>
      <c r="D1056" s="19" t="n">
        <v>57508417</v>
      </c>
      <c r="E1056" s="21" t="n">
        <f aca="false">B1056+C1056</f>
        <v>3244204643.14</v>
      </c>
      <c r="F1056" s="21" t="n">
        <f aca="false">E1056+D1056</f>
        <v>3301713060.14</v>
      </c>
      <c r="G1056" s="22" t="n">
        <f aca="false">IFERROR(C1056/E1056,0)</f>
        <v>0.234454245180974</v>
      </c>
      <c r="H1056" s="19" t="n">
        <v>1153294</v>
      </c>
      <c r="I1056" s="19" t="n">
        <v>33119</v>
      </c>
      <c r="J1056" s="19" t="n">
        <v>10642</v>
      </c>
      <c r="K1056" s="21" t="n">
        <f aca="false">H1056+I1056</f>
        <v>1186413</v>
      </c>
      <c r="L1056" s="19" t="n">
        <v>36364.0233577484</v>
      </c>
      <c r="M1056" s="21" t="n">
        <f aca="false">H1056-L1056</f>
        <v>1116929.97664225</v>
      </c>
      <c r="N1056" s="23" t="n">
        <f aca="false">IFERROR(M1056/B1056*10000,0)</f>
        <v>4.49724505372143</v>
      </c>
      <c r="O1056" s="19" t="n">
        <v>1027751</v>
      </c>
      <c r="P1056" s="19" t="n">
        <v>25904</v>
      </c>
      <c r="Q1056" s="21" t="n">
        <f aca="false">O1056+P1056</f>
        <v>1053655</v>
      </c>
      <c r="R1056" s="22" t="n">
        <f aca="false">IF(A1056&lt;HlpChangeDate,HlpSharePre,HlpSharePost)</f>
        <v>0.01</v>
      </c>
      <c r="S1056" s="21" t="n">
        <f aca="false">Q1056*R1056/(1-R1056)</f>
        <v>10642.9797979798</v>
      </c>
      <c r="T1056" s="19" t="n">
        <v>10642</v>
      </c>
      <c r="U1056" s="21" t="n">
        <f aca="false">S1056-T1056</f>
        <v>0.979797979798605</v>
      </c>
      <c r="V1056" s="21" t="n">
        <f aca="false">Y1056-O1056*R1056/(1-R1056)</f>
        <v>115161.676767677</v>
      </c>
      <c r="W1056" s="21" t="n">
        <f aca="false">Z1056-P1056*R1056/(1-R1056)</f>
        <v>6954.34343434344</v>
      </c>
      <c r="X1056" s="21" t="n">
        <f aca="false">S1056+V1056+W1056</f>
        <v>132759</v>
      </c>
      <c r="Y1056" s="19" t="n">
        <v>125543</v>
      </c>
      <c r="Z1056" s="19" t="n">
        <v>7216</v>
      </c>
      <c r="AA1056" s="19" t="n">
        <v>1053655</v>
      </c>
      <c r="AB1056" s="29" t="n">
        <v>36.843</v>
      </c>
      <c r="AC1056" s="29" t="n">
        <v>36.3505</v>
      </c>
      <c r="AD1056" s="24" t="n">
        <f aca="false">IFERROR(AA1056/AC1056,0)</f>
        <v>28985.9836866068</v>
      </c>
      <c r="AE1056" s="25" t="n">
        <f aca="false">K1056-Q1056-X1056</f>
        <v>-1</v>
      </c>
      <c r="AF1056" s="25" t="n">
        <f aca="false">Q1056-AA1056</f>
        <v>0</v>
      </c>
      <c r="AG1056" s="19" t="n">
        <v>806074.251584053</v>
      </c>
      <c r="AH1056" s="26" t="n">
        <f aca="false">IFERROR(AG1056/Q1056,0)</f>
        <v>0.765026741755179</v>
      </c>
      <c r="AI1056" s="27" t="n">
        <v>428619880.40553</v>
      </c>
      <c r="AJ1056" s="26" t="n">
        <f aca="false">IF(AI1056&gt;0,AprCoef/SQRT(AI1056),0)</f>
        <v>0.0228950811021059</v>
      </c>
      <c r="AK1056" s="24" t="n">
        <f aca="false">AI1056*AJ1056/365</f>
        <v>26885.7175996152</v>
      </c>
      <c r="AL1056" s="24" t="n">
        <f aca="false">AD1056</f>
        <v>28985.9836866068</v>
      </c>
      <c r="AM1056" s="24" t="n">
        <f aca="false">AK1056-AL1056</f>
        <v>-2100.26608699158</v>
      </c>
      <c r="AN1056" s="28" t="str">
        <f aca="false">IF(A1056&gt;=Hip3LaunchDate,"YES","")</f>
        <v>YES</v>
      </c>
      <c r="AO1056" s="28" t="str">
        <f aca="false">IF(A1056&lt;Hip4LaunchDate,"pre-launch","live (zero-fee)")</f>
        <v>pre-launch</v>
      </c>
      <c r="AP1056" s="30" t="n">
        <v>128</v>
      </c>
      <c r="AQ1056" s="30" t="n">
        <v>93</v>
      </c>
      <c r="AR1056" s="19" t="n">
        <v>33283.3578678041</v>
      </c>
    </row>
    <row r="1057" customFormat="false" ht="15" hidden="false" customHeight="false" outlineLevel="0" collapsed="false">
      <c r="A1057" s="18" t="n">
        <v>46118</v>
      </c>
      <c r="B1057" s="19" t="n">
        <v>4595306827.6</v>
      </c>
      <c r="C1057" s="19" t="n">
        <v>2690260514.22</v>
      </c>
      <c r="D1057" s="19" t="n">
        <v>92885393</v>
      </c>
      <c r="E1057" s="21" t="n">
        <f aca="false">B1057+C1057</f>
        <v>7285567341.82</v>
      </c>
      <c r="F1057" s="21" t="n">
        <f aca="false">E1057+D1057</f>
        <v>7378452734.82</v>
      </c>
      <c r="G1057" s="22" t="n">
        <f aca="false">IFERROR(C1057/E1057,0)</f>
        <v>0.369258890625798</v>
      </c>
      <c r="H1057" s="19" t="n">
        <v>2110359</v>
      </c>
      <c r="I1057" s="19" t="n">
        <v>47287</v>
      </c>
      <c r="J1057" s="19" t="n">
        <v>19771</v>
      </c>
      <c r="K1057" s="21" t="n">
        <f aca="false">H1057+I1057</f>
        <v>2157646</v>
      </c>
      <c r="L1057" s="19" t="n">
        <v>103943.847915537</v>
      </c>
      <c r="M1057" s="21" t="n">
        <f aca="false">H1057-L1057</f>
        <v>2006415.15208446</v>
      </c>
      <c r="N1057" s="23" t="n">
        <f aca="false">IFERROR(M1057/B1057*10000,0)</f>
        <v>4.36622673383565</v>
      </c>
      <c r="O1057" s="19" t="n">
        <v>1923100</v>
      </c>
      <c r="P1057" s="19" t="n">
        <v>34608</v>
      </c>
      <c r="Q1057" s="21" t="n">
        <f aca="false">O1057+P1057</f>
        <v>1957708</v>
      </c>
      <c r="R1057" s="22" t="n">
        <f aca="false">IF(A1057&lt;HlpChangeDate,HlpSharePre,HlpSharePost)</f>
        <v>0.01</v>
      </c>
      <c r="S1057" s="21" t="n">
        <f aca="false">Q1057*R1057/(1-R1057)</f>
        <v>19774.8282828283</v>
      </c>
      <c r="T1057" s="19" t="n">
        <v>19771</v>
      </c>
      <c r="U1057" s="21" t="n">
        <f aca="false">S1057-T1057</f>
        <v>3.82828282828632</v>
      </c>
      <c r="V1057" s="21" t="n">
        <f aca="false">Y1057-O1057*R1057/(1-R1057)</f>
        <v>167833.747474747</v>
      </c>
      <c r="W1057" s="21" t="n">
        <f aca="false">Z1057-P1057*R1057/(1-R1057)</f>
        <v>12329.4242424242</v>
      </c>
      <c r="X1057" s="21" t="n">
        <f aca="false">S1057+V1057+W1057</f>
        <v>199938</v>
      </c>
      <c r="Y1057" s="19" t="n">
        <v>187259</v>
      </c>
      <c r="Z1057" s="19" t="n">
        <v>12679</v>
      </c>
      <c r="AA1057" s="19" t="n">
        <v>1957708</v>
      </c>
      <c r="AB1057" s="29" t="n">
        <v>36.296</v>
      </c>
      <c r="AC1057" s="29" t="n">
        <v>36.73725</v>
      </c>
      <c r="AD1057" s="24" t="n">
        <f aca="false">IFERROR(AA1057/AC1057,0)</f>
        <v>53289.45416437</v>
      </c>
      <c r="AE1057" s="25" t="n">
        <f aca="false">K1057-Q1057-X1057</f>
        <v>0</v>
      </c>
      <c r="AF1057" s="25" t="n">
        <f aca="false">Q1057-AA1057</f>
        <v>0</v>
      </c>
      <c r="AG1057" s="19" t="n">
        <v>1607073.69766808</v>
      </c>
      <c r="AH1057" s="26" t="n">
        <f aca="false">IFERROR(AG1057/Q1057,0)</f>
        <v>0.820895505186716</v>
      </c>
      <c r="AI1057" s="27" t="n">
        <v>428774647.152074</v>
      </c>
      <c r="AJ1057" s="26" t="n">
        <f aca="false">IF(AI1057&gt;0,AprCoef/SQRT(AI1057),0)</f>
        <v>0.0228909487250593</v>
      </c>
      <c r="AK1057" s="24" t="n">
        <f aca="false">AI1057*AJ1057/365</f>
        <v>26890.571130311</v>
      </c>
      <c r="AL1057" s="24" t="n">
        <f aca="false">AD1057</f>
        <v>53289.45416437</v>
      </c>
      <c r="AM1057" s="24" t="n">
        <f aca="false">AK1057-AL1057</f>
        <v>-26398.883034059</v>
      </c>
      <c r="AN1057" s="28" t="str">
        <f aca="false">IF(A1057&gt;=Hip3LaunchDate,"YES","")</f>
        <v>YES</v>
      </c>
      <c r="AO1057" s="28" t="str">
        <f aca="false">IF(A1057&lt;Hip4LaunchDate,"pre-launch","live (zero-fee)")</f>
        <v>pre-launch</v>
      </c>
      <c r="AP1057" s="30" t="n">
        <v>128</v>
      </c>
      <c r="AQ1057" s="30" t="n">
        <v>93</v>
      </c>
      <c r="AR1057" s="19" t="n">
        <v>99086.3370824231</v>
      </c>
    </row>
    <row r="1058" customFormat="false" ht="15" hidden="false" customHeight="false" outlineLevel="0" collapsed="false">
      <c r="A1058" s="18" t="n">
        <v>46119</v>
      </c>
      <c r="B1058" s="19" t="n">
        <v>6460062931.72</v>
      </c>
      <c r="C1058" s="19" t="n">
        <v>5469209347.11</v>
      </c>
      <c r="D1058" s="19" t="n">
        <v>156937806</v>
      </c>
      <c r="E1058" s="21" t="n">
        <f aca="false">B1058+C1058</f>
        <v>11929272278.83</v>
      </c>
      <c r="F1058" s="21" t="n">
        <f aca="false">E1058+D1058</f>
        <v>12086210084.83</v>
      </c>
      <c r="G1058" s="22" t="n">
        <f aca="false">IFERROR(C1058/E1058,0)</f>
        <v>0.458469655086656</v>
      </c>
      <c r="H1058" s="19" t="n">
        <v>3160539</v>
      </c>
      <c r="I1058" s="19" t="n">
        <v>75695</v>
      </c>
      <c r="J1058" s="19" t="n">
        <v>29015</v>
      </c>
      <c r="K1058" s="21" t="n">
        <f aca="false">H1058+I1058</f>
        <v>3236234</v>
      </c>
      <c r="L1058" s="19" t="n">
        <v>197006.120578527</v>
      </c>
      <c r="M1058" s="21" t="n">
        <f aca="false">H1058-L1058</f>
        <v>2963532.87942147</v>
      </c>
      <c r="N1058" s="23" t="n">
        <f aca="false">IFERROR(M1058/B1058*10000,0)</f>
        <v>4.58746750727462</v>
      </c>
      <c r="O1058" s="19" t="n">
        <v>2818840</v>
      </c>
      <c r="P1058" s="19" t="n">
        <v>53908</v>
      </c>
      <c r="Q1058" s="21" t="n">
        <f aca="false">O1058+P1058</f>
        <v>2872748</v>
      </c>
      <c r="R1058" s="22" t="n">
        <f aca="false">IF(A1058&lt;HlpChangeDate,HlpSharePre,HlpSharePost)</f>
        <v>0.01</v>
      </c>
      <c r="S1058" s="21" t="n">
        <f aca="false">Q1058*R1058/(1-R1058)</f>
        <v>29017.6565656566</v>
      </c>
      <c r="T1058" s="19" t="n">
        <v>29015</v>
      </c>
      <c r="U1058" s="21" t="n">
        <f aca="false">S1058-T1058</f>
        <v>2.65656565656536</v>
      </c>
      <c r="V1058" s="21" t="n">
        <f aca="false">Y1058-O1058*R1058/(1-R1058)</f>
        <v>313225.868686869</v>
      </c>
      <c r="W1058" s="21" t="n">
        <f aca="false">Z1058-P1058*R1058/(1-R1058)</f>
        <v>21242.4747474748</v>
      </c>
      <c r="X1058" s="21" t="n">
        <f aca="false">S1058+V1058+W1058</f>
        <v>363486</v>
      </c>
      <c r="Y1058" s="19" t="n">
        <v>341699</v>
      </c>
      <c r="Z1058" s="19" t="n">
        <v>21787</v>
      </c>
      <c r="AA1058" s="19" t="n">
        <v>2872748</v>
      </c>
      <c r="AB1058" s="29" t="n">
        <v>38.638</v>
      </c>
      <c r="AC1058" s="29" t="n">
        <v>37.483</v>
      </c>
      <c r="AD1058" s="24" t="n">
        <f aca="false">IFERROR(AA1058/AC1058,0)</f>
        <v>76641.3574153616</v>
      </c>
      <c r="AE1058" s="25" t="n">
        <f aca="false">K1058-Q1058-X1058</f>
        <v>0</v>
      </c>
      <c r="AF1058" s="25" t="n">
        <f aca="false">Q1058-AA1058</f>
        <v>0</v>
      </c>
      <c r="AG1058" s="19" t="n">
        <v>2285242.02943182</v>
      </c>
      <c r="AH1058" s="26" t="n">
        <f aca="false">IFERROR(AG1058/Q1058,0)</f>
        <v>0.79548990354595</v>
      </c>
      <c r="AI1058" s="27" t="n">
        <v>428929413.898618</v>
      </c>
      <c r="AJ1058" s="26" t="n">
        <f aca="false">IF(AI1058&gt;0,AprCoef/SQRT(AI1058),0)</f>
        <v>0.0228868185847871</v>
      </c>
      <c r="AK1058" s="24" t="n">
        <f aca="false">AI1058*AJ1058/365</f>
        <v>26895.4237851417</v>
      </c>
      <c r="AL1058" s="24" t="n">
        <f aca="false">AD1058</f>
        <v>76641.3574153616</v>
      </c>
      <c r="AM1058" s="24" t="n">
        <f aca="false">AK1058-AL1058</f>
        <v>-49745.9336302199</v>
      </c>
      <c r="AN1058" s="28" t="str">
        <f aca="false">IF(A1058&gt;=Hip3LaunchDate,"YES","")</f>
        <v>YES</v>
      </c>
      <c r="AO1058" s="28" t="str">
        <f aca="false">IF(A1058&lt;Hip4LaunchDate,"pre-launch","live (zero-fee)")</f>
        <v>pre-launch</v>
      </c>
      <c r="AP1058" s="30" t="n">
        <v>129</v>
      </c>
      <c r="AQ1058" s="30" t="n">
        <v>94</v>
      </c>
      <c r="AR1058" s="19" t="n">
        <v>190024.283834763</v>
      </c>
    </row>
    <row r="1059" customFormat="false" ht="15" hidden="false" customHeight="false" outlineLevel="0" collapsed="false">
      <c r="A1059" s="18" t="n">
        <v>46120</v>
      </c>
      <c r="B1059" s="19" t="n">
        <v>5074261886.22</v>
      </c>
      <c r="C1059" s="19" t="n">
        <v>4715527280.32</v>
      </c>
      <c r="D1059" s="19" t="n">
        <v>187268911</v>
      </c>
      <c r="E1059" s="21" t="n">
        <f aca="false">B1059+C1059</f>
        <v>9789789166.54</v>
      </c>
      <c r="F1059" s="21" t="n">
        <f aca="false">E1059+D1059</f>
        <v>9977058077.54</v>
      </c>
      <c r="G1059" s="22" t="n">
        <f aca="false">IFERROR(C1059/E1059,0)</f>
        <v>0.481678124023033</v>
      </c>
      <c r="H1059" s="19" t="n">
        <v>2565015</v>
      </c>
      <c r="I1059" s="19" t="n">
        <v>97142</v>
      </c>
      <c r="J1059" s="19" t="n">
        <v>23888</v>
      </c>
      <c r="K1059" s="21" t="n">
        <f aca="false">H1059+I1059</f>
        <v>2662157</v>
      </c>
      <c r="L1059" s="19" t="n">
        <v>165961.71229822</v>
      </c>
      <c r="M1059" s="21" t="n">
        <f aca="false">H1059-L1059</f>
        <v>2399053.28770178</v>
      </c>
      <c r="N1059" s="23" t="n">
        <f aca="false">IFERROR(M1059/B1059*10000,0)</f>
        <v>4.72788622561403</v>
      </c>
      <c r="O1059" s="19" t="n">
        <v>2290391</v>
      </c>
      <c r="P1059" s="19" t="n">
        <v>74580</v>
      </c>
      <c r="Q1059" s="21" t="n">
        <f aca="false">O1059+P1059</f>
        <v>2364971</v>
      </c>
      <c r="R1059" s="22" t="n">
        <f aca="false">IF(A1059&lt;HlpChangeDate,HlpSharePre,HlpSharePost)</f>
        <v>0.01</v>
      </c>
      <c r="S1059" s="21" t="n">
        <f aca="false">Q1059*R1059/(1-R1059)</f>
        <v>23888.595959596</v>
      </c>
      <c r="T1059" s="19" t="n">
        <v>23888</v>
      </c>
      <c r="U1059" s="21" t="n">
        <f aca="false">S1059-T1059</f>
        <v>0.595959595957538</v>
      </c>
      <c r="V1059" s="21" t="n">
        <f aca="false">Y1059-O1059*R1059/(1-R1059)</f>
        <v>251488.737373737</v>
      </c>
      <c r="W1059" s="21" t="n">
        <f aca="false">Z1059-P1059*R1059/(1-R1059)</f>
        <v>21809.6666666667</v>
      </c>
      <c r="X1059" s="21" t="n">
        <f aca="false">S1059+V1059+W1059</f>
        <v>297187</v>
      </c>
      <c r="Y1059" s="19" t="n">
        <v>274624</v>
      </c>
      <c r="Z1059" s="19" t="n">
        <v>22563</v>
      </c>
      <c r="AA1059" s="19" t="n">
        <v>2364971</v>
      </c>
      <c r="AB1059" s="29" t="n">
        <v>38.816</v>
      </c>
      <c r="AC1059" s="29" t="n">
        <v>38.78175</v>
      </c>
      <c r="AD1059" s="24" t="n">
        <f aca="false">IFERROR(AA1059/AC1059,0)</f>
        <v>60981.5441541447</v>
      </c>
      <c r="AE1059" s="25" t="n">
        <f aca="false">K1059-Q1059-X1059</f>
        <v>-1.00000000005821</v>
      </c>
      <c r="AF1059" s="25" t="n">
        <f aca="false">Q1059-AA1059</f>
        <v>0</v>
      </c>
      <c r="AG1059" s="19" t="n">
        <v>1928361.66277814</v>
      </c>
      <c r="AH1059" s="26" t="n">
        <f aca="false">IFERROR(AG1059/Q1059,0)</f>
        <v>0.815384908642913</v>
      </c>
      <c r="AI1059" s="27" t="n">
        <v>429084180.645161</v>
      </c>
      <c r="AJ1059" s="26" t="n">
        <f aca="false">IF(AI1059&gt;0,AprCoef/SQRT(AI1059),0)</f>
        <v>0.0228826906792724</v>
      </c>
      <c r="AK1059" s="24" t="n">
        <f aca="false">AI1059*AJ1059/365</f>
        <v>26900.2755645815</v>
      </c>
      <c r="AL1059" s="24" t="n">
        <f aca="false">AD1059</f>
        <v>60981.5441541447</v>
      </c>
      <c r="AM1059" s="24" t="n">
        <f aca="false">AK1059-AL1059</f>
        <v>-34081.2685895632</v>
      </c>
      <c r="AN1059" s="28" t="str">
        <f aca="false">IF(A1059&gt;=Hip3LaunchDate,"YES","")</f>
        <v>YES</v>
      </c>
      <c r="AO1059" s="28" t="str">
        <f aca="false">IF(A1059&lt;Hip4LaunchDate,"pre-launch","live (zero-fee)")</f>
        <v>pre-launch</v>
      </c>
      <c r="AP1059" s="30" t="n">
        <v>129</v>
      </c>
      <c r="AQ1059" s="30" t="n">
        <v>94</v>
      </c>
      <c r="AR1059" s="19" t="n">
        <v>159940.883429085</v>
      </c>
    </row>
    <row r="1060" customFormat="false" ht="15" hidden="false" customHeight="false" outlineLevel="0" collapsed="false">
      <c r="A1060" s="18" t="n">
        <v>46121</v>
      </c>
      <c r="B1060" s="19" t="n">
        <v>5161111759.88</v>
      </c>
      <c r="C1060" s="19" t="n">
        <v>3293688178.91</v>
      </c>
      <c r="D1060" s="19" t="n">
        <v>117406505</v>
      </c>
      <c r="E1060" s="21" t="n">
        <f aca="false">B1060+C1060</f>
        <v>8454799938.79</v>
      </c>
      <c r="F1060" s="21" t="n">
        <f aca="false">E1060+D1060</f>
        <v>8572206443.79</v>
      </c>
      <c r="G1060" s="22" t="n">
        <f aca="false">IFERROR(C1060/E1060,0)</f>
        <v>0.389564295164313</v>
      </c>
      <c r="H1060" s="19" t="n">
        <v>2463897</v>
      </c>
      <c r="I1060" s="19" t="n">
        <v>60612</v>
      </c>
      <c r="J1060" s="19" t="n">
        <v>22693</v>
      </c>
      <c r="K1060" s="21" t="n">
        <f aca="false">H1060+I1060</f>
        <v>2524509</v>
      </c>
      <c r="L1060" s="19" t="n">
        <v>115550.276725172</v>
      </c>
      <c r="M1060" s="21" t="n">
        <f aca="false">H1060-L1060</f>
        <v>2348346.72327483</v>
      </c>
      <c r="N1060" s="23" t="n">
        <f aca="false">IFERROR(M1060/B1060*10000,0)</f>
        <v>4.55007919326558</v>
      </c>
      <c r="O1060" s="19" t="n">
        <v>2201203</v>
      </c>
      <c r="P1060" s="19" t="n">
        <v>45143</v>
      </c>
      <c r="Q1060" s="21" t="n">
        <f aca="false">O1060+P1060</f>
        <v>2246346</v>
      </c>
      <c r="R1060" s="22" t="n">
        <f aca="false">IF(A1060&lt;HlpChangeDate,HlpSharePre,HlpSharePost)</f>
        <v>0.01</v>
      </c>
      <c r="S1060" s="21" t="n">
        <f aca="false">Q1060*R1060/(1-R1060)</f>
        <v>22690.3636363636</v>
      </c>
      <c r="T1060" s="19" t="n">
        <v>22693</v>
      </c>
      <c r="U1060" s="21" t="n">
        <f aca="false">S1060-T1060</f>
        <v>-2.63636363636397</v>
      </c>
      <c r="V1060" s="21" t="n">
        <f aca="false">Y1060-O1060*R1060/(1-R1060)</f>
        <v>240459.626262626</v>
      </c>
      <c r="W1060" s="21" t="n">
        <f aca="false">Z1060-P1060*R1060/(1-R1060)</f>
        <v>15013.0101010101</v>
      </c>
      <c r="X1060" s="21" t="n">
        <f aca="false">S1060+V1060+W1060</f>
        <v>278163</v>
      </c>
      <c r="Y1060" s="19" t="n">
        <v>262694</v>
      </c>
      <c r="Z1060" s="19" t="n">
        <v>15469</v>
      </c>
      <c r="AA1060" s="19" t="n">
        <v>2246346</v>
      </c>
      <c r="AB1060" s="29" t="n">
        <v>39.477</v>
      </c>
      <c r="AC1060" s="29" t="n">
        <v>39.21225</v>
      </c>
      <c r="AD1060" s="24" t="n">
        <f aca="false">IFERROR(AA1060/AC1060,0)</f>
        <v>57286.8427595968</v>
      </c>
      <c r="AE1060" s="25" t="n">
        <f aca="false">K1060-Q1060-X1060</f>
        <v>0</v>
      </c>
      <c r="AF1060" s="25" t="n">
        <f aca="false">Q1060-AA1060</f>
        <v>0</v>
      </c>
      <c r="AG1060" s="19" t="n">
        <v>1786748.63912797</v>
      </c>
      <c r="AH1060" s="26" t="n">
        <f aca="false">IFERROR(AG1060/Q1060,0)</f>
        <v>0.795402239516072</v>
      </c>
      <c r="AI1060" s="27" t="n">
        <v>429238947.391705</v>
      </c>
      <c r="AJ1060" s="26" t="n">
        <f aca="false">IF(AI1060&gt;0,AprCoef/SQRT(AI1060),0)</f>
        <v>0.0228785650065004</v>
      </c>
      <c r="AK1060" s="24" t="n">
        <f aca="false">AI1060*AJ1060/365</f>
        <v>26905.1264691039</v>
      </c>
      <c r="AL1060" s="24" t="n">
        <f aca="false">AD1060</f>
        <v>57286.8427595968</v>
      </c>
      <c r="AM1060" s="24" t="n">
        <f aca="false">AK1060-AL1060</f>
        <v>-30381.7162904929</v>
      </c>
      <c r="AN1060" s="28" t="str">
        <f aca="false">IF(A1060&gt;=Hip3LaunchDate,"YES","")</f>
        <v>YES</v>
      </c>
      <c r="AO1060" s="28" t="str">
        <f aca="false">IF(A1060&lt;Hip4LaunchDate,"pre-launch","live (zero-fee)")</f>
        <v>pre-launch</v>
      </c>
      <c r="AP1060" s="30" t="n">
        <v>133</v>
      </c>
      <c r="AQ1060" s="30" t="n">
        <v>98</v>
      </c>
      <c r="AR1060" s="19" t="n">
        <v>109786.002657209</v>
      </c>
    </row>
    <row r="1061" customFormat="false" ht="15" hidden="false" customHeight="false" outlineLevel="0" collapsed="false">
      <c r="A1061" s="18" t="n">
        <v>46122</v>
      </c>
      <c r="B1061" s="19" t="n">
        <v>3916764791.25</v>
      </c>
      <c r="C1061" s="19" t="n">
        <v>2003318945.54</v>
      </c>
      <c r="D1061" s="19" t="n">
        <v>126827403</v>
      </c>
      <c r="E1061" s="21" t="n">
        <f aca="false">B1061+C1061</f>
        <v>5920083736.79</v>
      </c>
      <c r="F1061" s="21" t="n">
        <f aca="false">E1061+D1061</f>
        <v>6046911139.79</v>
      </c>
      <c r="G1061" s="22" t="n">
        <f aca="false">IFERROR(C1061/E1061,0)</f>
        <v>0.338393684043774</v>
      </c>
      <c r="H1061" s="19" t="n">
        <v>1809888</v>
      </c>
      <c r="I1061" s="19" t="n">
        <v>69574</v>
      </c>
      <c r="J1061" s="19" t="n">
        <v>17176</v>
      </c>
      <c r="K1061" s="21" t="n">
        <f aca="false">H1061+I1061</f>
        <v>1879462</v>
      </c>
      <c r="L1061" s="19" t="n">
        <v>76996.5712118969</v>
      </c>
      <c r="M1061" s="21" t="n">
        <f aca="false">H1061-L1061</f>
        <v>1732891.4287881</v>
      </c>
      <c r="N1061" s="23" t="n">
        <f aca="false">IFERROR(M1061/B1061*10000,0)</f>
        <v>4.42429280578543</v>
      </c>
      <c r="O1061" s="19" t="n">
        <v>1643803</v>
      </c>
      <c r="P1061" s="19" t="n">
        <v>56613</v>
      </c>
      <c r="Q1061" s="21" t="n">
        <f aca="false">O1061+P1061</f>
        <v>1700416</v>
      </c>
      <c r="R1061" s="22" t="n">
        <f aca="false">IF(A1061&lt;HlpChangeDate,HlpSharePre,HlpSharePost)</f>
        <v>0.01</v>
      </c>
      <c r="S1061" s="21" t="n">
        <f aca="false">Q1061*R1061/(1-R1061)</f>
        <v>17175.9191919192</v>
      </c>
      <c r="T1061" s="19" t="n">
        <v>17176</v>
      </c>
      <c r="U1061" s="21" t="n">
        <f aca="false">S1061-T1061</f>
        <v>-0.08080808080922</v>
      </c>
      <c r="V1061" s="21" t="n">
        <f aca="false">Y1061-O1061*R1061/(1-R1061)</f>
        <v>149480.929292929</v>
      </c>
      <c r="W1061" s="21" t="n">
        <f aca="false">Z1061-P1061*R1061/(1-R1061)</f>
        <v>12389.1515151515</v>
      </c>
      <c r="X1061" s="21" t="n">
        <f aca="false">S1061+V1061+W1061</f>
        <v>179046</v>
      </c>
      <c r="Y1061" s="19" t="n">
        <v>166085</v>
      </c>
      <c r="Z1061" s="19" t="n">
        <v>12961</v>
      </c>
      <c r="AA1061" s="19" t="n">
        <v>1700416</v>
      </c>
      <c r="AB1061" s="29" t="n">
        <v>41.609</v>
      </c>
      <c r="AC1061" s="29" t="n">
        <v>40.6955</v>
      </c>
      <c r="AD1061" s="24" t="n">
        <f aca="false">IFERROR(AA1061/AC1061,0)</f>
        <v>41783.8827388778</v>
      </c>
      <c r="AE1061" s="25" t="n">
        <f aca="false">K1061-Q1061-X1061</f>
        <v>0</v>
      </c>
      <c r="AF1061" s="25" t="n">
        <f aca="false">Q1061-AA1061</f>
        <v>0</v>
      </c>
      <c r="AG1061" s="19" t="n">
        <v>1406410.53118587</v>
      </c>
      <c r="AH1061" s="26" t="n">
        <f aca="false">IFERROR(AG1061/Q1061,0)</f>
        <v>0.827097916736766</v>
      </c>
      <c r="AI1061" s="27" t="n">
        <v>429393714.138249</v>
      </c>
      <c r="AJ1061" s="26" t="n">
        <f aca="false">IF(AI1061&gt;0,AprCoef/SQRT(AI1061),0)</f>
        <v>0.0228744415644591</v>
      </c>
      <c r="AK1061" s="24" t="n">
        <f aca="false">AI1061*AJ1061/365</f>
        <v>26909.976499182</v>
      </c>
      <c r="AL1061" s="24" t="n">
        <f aca="false">AD1061</f>
        <v>41783.8827388778</v>
      </c>
      <c r="AM1061" s="24" t="n">
        <f aca="false">AK1061-AL1061</f>
        <v>-14873.9062396957</v>
      </c>
      <c r="AN1061" s="28" t="str">
        <f aca="false">IF(A1061&gt;=Hip3LaunchDate,"YES","")</f>
        <v>YES</v>
      </c>
      <c r="AO1061" s="28" t="str">
        <f aca="false">IF(A1061&lt;Hip4LaunchDate,"pre-launch","live (zero-fee)")</f>
        <v>pre-launch</v>
      </c>
      <c r="AP1061" s="30" t="n">
        <v>133</v>
      </c>
      <c r="AQ1061" s="30" t="n">
        <v>98</v>
      </c>
      <c r="AR1061" s="19" t="n">
        <v>71718.7802328073</v>
      </c>
    </row>
    <row r="1062" customFormat="false" ht="15" hidden="false" customHeight="false" outlineLevel="0" collapsed="false">
      <c r="A1062" s="18" t="n">
        <v>46123</v>
      </c>
      <c r="B1062" s="19" t="n">
        <v>2265924052.88</v>
      </c>
      <c r="C1062" s="19" t="n">
        <v>546485976.39</v>
      </c>
      <c r="D1062" s="19" t="n">
        <v>84074982</v>
      </c>
      <c r="E1062" s="21" t="n">
        <f aca="false">B1062+C1062</f>
        <v>2812410029.27</v>
      </c>
      <c r="F1062" s="21" t="n">
        <f aca="false">E1062+D1062</f>
        <v>2896485011.27</v>
      </c>
      <c r="G1062" s="22" t="n">
        <f aca="false">IFERROR(C1062/E1062,0)</f>
        <v>0.194312340911346</v>
      </c>
      <c r="H1062" s="19" t="n">
        <v>1075167</v>
      </c>
      <c r="I1062" s="19" t="n">
        <v>49045</v>
      </c>
      <c r="J1062" s="19" t="n">
        <v>9902</v>
      </c>
      <c r="K1062" s="21" t="n">
        <f aca="false">H1062+I1062</f>
        <v>1124212</v>
      </c>
      <c r="L1062" s="19" t="n">
        <v>20646.8485795611</v>
      </c>
      <c r="M1062" s="21" t="n">
        <f aca="false">H1062-L1062</f>
        <v>1054520.15142044</v>
      </c>
      <c r="N1062" s="23" t="n">
        <f aca="false">IFERROR(M1062/B1062*10000,0)</f>
        <v>4.65381948737487</v>
      </c>
      <c r="O1062" s="19" t="n">
        <v>943788</v>
      </c>
      <c r="P1062" s="19" t="n">
        <v>36400</v>
      </c>
      <c r="Q1062" s="21" t="n">
        <f aca="false">O1062+P1062</f>
        <v>980188</v>
      </c>
      <c r="R1062" s="22" t="n">
        <f aca="false">IF(A1062&lt;HlpChangeDate,HlpSharePre,HlpSharePost)</f>
        <v>0.01</v>
      </c>
      <c r="S1062" s="21" t="n">
        <f aca="false">Q1062*R1062/(1-R1062)</f>
        <v>9900.88888888889</v>
      </c>
      <c r="T1062" s="19" t="n">
        <v>9902</v>
      </c>
      <c r="U1062" s="21" t="n">
        <f aca="false">S1062-T1062</f>
        <v>-1.11111111110949</v>
      </c>
      <c r="V1062" s="21" t="n">
        <f aca="false">Y1062-O1062*R1062/(1-R1062)</f>
        <v>121846.787878788</v>
      </c>
      <c r="W1062" s="21" t="n">
        <f aca="false">Z1062-P1062*R1062/(1-R1062)</f>
        <v>12276.3232323232</v>
      </c>
      <c r="X1062" s="21" t="n">
        <f aca="false">S1062+V1062+W1062</f>
        <v>144024</v>
      </c>
      <c r="Y1062" s="19" t="n">
        <v>131380</v>
      </c>
      <c r="Z1062" s="19" t="n">
        <v>12644</v>
      </c>
      <c r="AA1062" s="19" t="n">
        <v>980188</v>
      </c>
      <c r="AB1062" s="29" t="n">
        <v>42.294</v>
      </c>
      <c r="AC1062" s="29" t="n">
        <v>42.139</v>
      </c>
      <c r="AD1062" s="24" t="n">
        <f aca="false">IFERROR(AA1062/AC1062,0)</f>
        <v>23260.8272621562</v>
      </c>
      <c r="AE1062" s="25" t="n">
        <f aca="false">K1062-Q1062-X1062</f>
        <v>0</v>
      </c>
      <c r="AF1062" s="25" t="n">
        <f aca="false">Q1062-AA1062</f>
        <v>0</v>
      </c>
      <c r="AG1062" s="19" t="n">
        <v>770650.886991024</v>
      </c>
      <c r="AH1062" s="26" t="n">
        <f aca="false">IFERROR(AG1062/Q1062,0)</f>
        <v>0.78622762877226</v>
      </c>
      <c r="AI1062" s="27" t="n">
        <v>429548480.884793</v>
      </c>
      <c r="AJ1062" s="26" t="n">
        <f aca="false">IF(AI1062&gt;0,AprCoef/SQRT(AI1062),0)</f>
        <v>0.0228703203511391</v>
      </c>
      <c r="AK1062" s="24" t="n">
        <f aca="false">AI1062*AJ1062/365</f>
        <v>26914.8256552886</v>
      </c>
      <c r="AL1062" s="24" t="n">
        <f aca="false">AD1062</f>
        <v>23260.8272621562</v>
      </c>
      <c r="AM1062" s="24" t="n">
        <f aca="false">AK1062-AL1062</f>
        <v>3653.99839313241</v>
      </c>
      <c r="AN1062" s="28" t="str">
        <f aca="false">IF(A1062&gt;=Hip3LaunchDate,"YES","")</f>
        <v>YES</v>
      </c>
      <c r="AO1062" s="28" t="str">
        <f aca="false">IF(A1062&lt;Hip4LaunchDate,"pre-launch","live (zero-fee)")</f>
        <v>pre-launch</v>
      </c>
      <c r="AP1062" s="30" t="n">
        <v>133</v>
      </c>
      <c r="AQ1062" s="30" t="n">
        <v>98</v>
      </c>
      <c r="AR1062" s="19" t="n">
        <v>17865.2893243606</v>
      </c>
    </row>
    <row r="1063" customFormat="false" ht="15" hidden="false" customHeight="false" outlineLevel="0" collapsed="false">
      <c r="A1063" s="18" t="n">
        <v>46124</v>
      </c>
      <c r="B1063" s="19" t="n">
        <v>3506506816.25</v>
      </c>
      <c r="C1063" s="19" t="n">
        <v>1961035125.84</v>
      </c>
      <c r="D1063" s="19" t="n">
        <v>85379962</v>
      </c>
      <c r="E1063" s="21" t="n">
        <f aca="false">B1063+C1063</f>
        <v>5467541942.09</v>
      </c>
      <c r="F1063" s="21" t="n">
        <f aca="false">E1063+D1063</f>
        <v>5552921904.09</v>
      </c>
      <c r="G1063" s="22" t="n">
        <f aca="false">IFERROR(C1063/E1063,0)</f>
        <v>0.358668510751357</v>
      </c>
      <c r="H1063" s="19" t="n">
        <v>1727746</v>
      </c>
      <c r="I1063" s="19" t="n">
        <v>42336</v>
      </c>
      <c r="J1063" s="19" t="n">
        <v>15708</v>
      </c>
      <c r="K1063" s="21" t="n">
        <f aca="false">H1063+I1063</f>
        <v>1770082</v>
      </c>
      <c r="L1063" s="19" t="n">
        <v>71114.1337609748</v>
      </c>
      <c r="M1063" s="21" t="n">
        <f aca="false">H1063-L1063</f>
        <v>1656631.86623903</v>
      </c>
      <c r="N1063" s="23" t="n">
        <f aca="false">IFERROR(M1063/B1063*10000,0)</f>
        <v>4.7244507227586</v>
      </c>
      <c r="O1063" s="19" t="n">
        <v>1523352</v>
      </c>
      <c r="P1063" s="19" t="n">
        <v>31665</v>
      </c>
      <c r="Q1063" s="21" t="n">
        <f aca="false">O1063+P1063</f>
        <v>1555017</v>
      </c>
      <c r="R1063" s="22" t="n">
        <f aca="false">IF(A1063&lt;HlpChangeDate,HlpSharePre,HlpSharePost)</f>
        <v>0.01</v>
      </c>
      <c r="S1063" s="21" t="n">
        <f aca="false">Q1063*R1063/(1-R1063)</f>
        <v>15707.2424242424</v>
      </c>
      <c r="T1063" s="19" t="n">
        <v>15708</v>
      </c>
      <c r="U1063" s="21" t="n">
        <f aca="false">S1063-T1063</f>
        <v>-0.757575757575978</v>
      </c>
      <c r="V1063" s="21" t="n">
        <f aca="false">Y1063-O1063*R1063/(1-R1063)</f>
        <v>189006.606060606</v>
      </c>
      <c r="W1063" s="21" t="n">
        <f aca="false">Z1063-P1063*R1063/(1-R1063)</f>
        <v>10351.1515151515</v>
      </c>
      <c r="X1063" s="21" t="n">
        <f aca="false">S1063+V1063+W1063</f>
        <v>215065</v>
      </c>
      <c r="Y1063" s="19" t="n">
        <v>204394</v>
      </c>
      <c r="Z1063" s="19" t="n">
        <v>10671</v>
      </c>
      <c r="AA1063" s="19" t="n">
        <v>1555017</v>
      </c>
      <c r="AB1063" s="29" t="n">
        <v>40.855</v>
      </c>
      <c r="AC1063" s="29" t="n">
        <v>41.542</v>
      </c>
      <c r="AD1063" s="24" t="n">
        <f aca="false">IFERROR(AA1063/AC1063,0)</f>
        <v>37432.405758028</v>
      </c>
      <c r="AE1063" s="25" t="n">
        <f aca="false">K1063-Q1063-X1063</f>
        <v>0</v>
      </c>
      <c r="AF1063" s="25" t="n">
        <f aca="false">Q1063-AA1063</f>
        <v>0</v>
      </c>
      <c r="AG1063" s="19" t="n">
        <v>1230955.85909104</v>
      </c>
      <c r="AH1063" s="26" t="n">
        <f aca="false">IFERROR(AG1063/Q1063,0)</f>
        <v>0.791602830767151</v>
      </c>
      <c r="AI1063" s="27" t="n">
        <v>429703247.631336</v>
      </c>
      <c r="AJ1063" s="26" t="n">
        <f aca="false">IF(AI1063&gt;0,AprCoef/SQRT(AI1063),0)</f>
        <v>0.0228662013645332</v>
      </c>
      <c r="AK1063" s="24" t="n">
        <f aca="false">AI1063*AJ1063/365</f>
        <v>26919.673937896</v>
      </c>
      <c r="AL1063" s="24" t="n">
        <f aca="false">AD1063</f>
        <v>37432.405758028</v>
      </c>
      <c r="AM1063" s="24" t="n">
        <f aca="false">AK1063-AL1063</f>
        <v>-10512.731820132</v>
      </c>
      <c r="AN1063" s="28" t="str">
        <f aca="false">IF(A1063&gt;=Hip3LaunchDate,"YES","")</f>
        <v>YES</v>
      </c>
      <c r="AO1063" s="28" t="str">
        <f aca="false">IF(A1063&lt;Hip4LaunchDate,"pre-launch","live (zero-fee)")</f>
        <v>pre-launch</v>
      </c>
      <c r="AP1063" s="30" t="n">
        <v>133</v>
      </c>
      <c r="AQ1063" s="30" t="n">
        <v>98</v>
      </c>
      <c r="AR1063" s="19" t="n">
        <v>67667.9238183196</v>
      </c>
    </row>
    <row r="1064" customFormat="false" ht="15" hidden="false" customHeight="false" outlineLevel="0" collapsed="false">
      <c r="A1064" s="18" t="n">
        <v>46125</v>
      </c>
      <c r="B1064" s="19" t="n">
        <v>5296830121.9</v>
      </c>
      <c r="C1064" s="19" t="n">
        <v>2674583225.34</v>
      </c>
      <c r="D1064" s="19" t="n">
        <v>113867245</v>
      </c>
      <c r="E1064" s="21" t="n">
        <f aca="false">B1064+C1064</f>
        <v>7971413347.24</v>
      </c>
      <c r="F1064" s="21" t="n">
        <f aca="false">E1064+D1064</f>
        <v>8085280592.24</v>
      </c>
      <c r="G1064" s="22" t="n">
        <f aca="false">IFERROR(C1064/E1064,0)</f>
        <v>0.335521833937521</v>
      </c>
      <c r="H1064" s="19" t="n">
        <v>2246517</v>
      </c>
      <c r="I1064" s="19" t="n">
        <v>59322</v>
      </c>
      <c r="J1064" s="19" t="n">
        <v>21173</v>
      </c>
      <c r="K1064" s="21" t="n">
        <f aca="false">H1064+I1064</f>
        <v>2305839</v>
      </c>
      <c r="L1064" s="19" t="n">
        <v>95482.4289873196</v>
      </c>
      <c r="M1064" s="21" t="n">
        <f aca="false">H1064-L1064</f>
        <v>2151034.57101268</v>
      </c>
      <c r="N1064" s="23" t="n">
        <f aca="false">IFERROR(M1064/B1064*10000,0)</f>
        <v>4.06098462950345</v>
      </c>
      <c r="O1064" s="19" t="n">
        <v>2047727</v>
      </c>
      <c r="P1064" s="19" t="n">
        <v>48527</v>
      </c>
      <c r="Q1064" s="21" t="n">
        <f aca="false">O1064+P1064</f>
        <v>2096254</v>
      </c>
      <c r="R1064" s="22" t="n">
        <f aca="false">IF(A1064&lt;HlpChangeDate,HlpSharePre,HlpSharePost)</f>
        <v>0.01</v>
      </c>
      <c r="S1064" s="21" t="n">
        <f aca="false">Q1064*R1064/(1-R1064)</f>
        <v>21174.2828282828</v>
      </c>
      <c r="T1064" s="19" t="n">
        <v>21173</v>
      </c>
      <c r="U1064" s="21" t="n">
        <f aca="false">S1064-T1064</f>
        <v>1.28282828283045</v>
      </c>
      <c r="V1064" s="21" t="n">
        <f aca="false">Y1064-O1064*R1064/(1-R1064)</f>
        <v>178105.888888889</v>
      </c>
      <c r="W1064" s="21" t="n">
        <f aca="false">Z1064-P1064*R1064/(1-R1064)</f>
        <v>10303.8282828283</v>
      </c>
      <c r="X1064" s="21" t="n">
        <f aca="false">S1064+V1064+W1064</f>
        <v>209584</v>
      </c>
      <c r="Y1064" s="19" t="n">
        <v>198790</v>
      </c>
      <c r="Z1064" s="19" t="n">
        <v>10794</v>
      </c>
      <c r="AA1064" s="19" t="n">
        <v>2096254</v>
      </c>
      <c r="AB1064" s="29" t="n">
        <v>44.361</v>
      </c>
      <c r="AC1064" s="29" t="n">
        <v>42.65775</v>
      </c>
      <c r="AD1064" s="24" t="n">
        <f aca="false">IFERROR(AA1064/AC1064,0)</f>
        <v>49141.2228727488</v>
      </c>
      <c r="AE1064" s="25" t="n">
        <f aca="false">K1064-Q1064-X1064</f>
        <v>1</v>
      </c>
      <c r="AF1064" s="25" t="n">
        <f aca="false">Q1064-AA1064</f>
        <v>0</v>
      </c>
      <c r="AG1064" s="19" t="n">
        <v>1799003.90776396</v>
      </c>
      <c r="AH1064" s="26" t="n">
        <f aca="false">IFERROR(AG1064/Q1064,0)</f>
        <v>0.858199391754987</v>
      </c>
      <c r="AI1064" s="27" t="n">
        <v>429858014.37788</v>
      </c>
      <c r="AJ1064" s="26" t="n">
        <f aca="false">IF(AI1064&gt;0,AprCoef/SQRT(AI1064),0)</f>
        <v>0.0228620846026372</v>
      </c>
      <c r="AK1064" s="24" t="n">
        <f aca="false">AI1064*AJ1064/365</f>
        <v>26924.521347476</v>
      </c>
      <c r="AL1064" s="24" t="n">
        <f aca="false">AD1064</f>
        <v>49141.2228727488</v>
      </c>
      <c r="AM1064" s="24" t="n">
        <f aca="false">AK1064-AL1064</f>
        <v>-22216.7015252728</v>
      </c>
      <c r="AN1064" s="28" t="str">
        <f aca="false">IF(A1064&gt;=Hip3LaunchDate,"YES","")</f>
        <v>YES</v>
      </c>
      <c r="AO1064" s="28" t="str">
        <f aca="false">IF(A1064&lt;Hip4LaunchDate,"pre-launch","live (zero-fee)")</f>
        <v>pre-launch</v>
      </c>
      <c r="AP1064" s="30" t="n">
        <v>133</v>
      </c>
      <c r="AQ1064" s="30" t="n">
        <v>98</v>
      </c>
      <c r="AR1064" s="19" t="n">
        <v>90554.3969082721</v>
      </c>
    </row>
    <row r="1065" customFormat="false" ht="15" hidden="false" customHeight="false" outlineLevel="0" collapsed="false">
      <c r="A1065" s="18" t="n">
        <v>46126</v>
      </c>
      <c r="B1065" s="19" t="n">
        <v>5642745694.36</v>
      </c>
      <c r="C1065" s="19" t="n">
        <v>2221769151.72</v>
      </c>
      <c r="D1065" s="19" t="n">
        <v>162702381</v>
      </c>
      <c r="E1065" s="21" t="n">
        <f aca="false">B1065+C1065</f>
        <v>7864514846.08</v>
      </c>
      <c r="F1065" s="21" t="n">
        <f aca="false">E1065+D1065</f>
        <v>8027217227.08</v>
      </c>
      <c r="G1065" s="22" t="n">
        <f aca="false">IFERROR(C1065/E1065,0)</f>
        <v>0.282505557584067</v>
      </c>
      <c r="H1065" s="19" t="n">
        <v>2674984</v>
      </c>
      <c r="I1065" s="19" t="n">
        <v>83581</v>
      </c>
      <c r="J1065" s="19" t="n">
        <v>25368</v>
      </c>
      <c r="K1065" s="21" t="n">
        <f aca="false">H1065+I1065</f>
        <v>2758565</v>
      </c>
      <c r="L1065" s="19" t="n">
        <v>81219.2552921522</v>
      </c>
      <c r="M1065" s="21" t="n">
        <f aca="false">H1065-L1065</f>
        <v>2593764.74470785</v>
      </c>
      <c r="N1065" s="23" t="n">
        <f aca="false">IFERROR(M1065/B1065*10000,0)</f>
        <v>4.5966359024479</v>
      </c>
      <c r="O1065" s="19" t="n">
        <v>2446802</v>
      </c>
      <c r="P1065" s="19" t="n">
        <v>64541</v>
      </c>
      <c r="Q1065" s="21" t="n">
        <f aca="false">O1065+P1065</f>
        <v>2511343</v>
      </c>
      <c r="R1065" s="22" t="n">
        <f aca="false">IF(A1065&lt;HlpChangeDate,HlpSharePre,HlpSharePost)</f>
        <v>0.01</v>
      </c>
      <c r="S1065" s="21" t="n">
        <f aca="false">Q1065*R1065/(1-R1065)</f>
        <v>25367.101010101</v>
      </c>
      <c r="T1065" s="19" t="n">
        <v>25368</v>
      </c>
      <c r="U1065" s="21" t="n">
        <f aca="false">S1065-T1065</f>
        <v>-0.898989898989385</v>
      </c>
      <c r="V1065" s="21" t="n">
        <f aca="false">Y1065-O1065*R1065/(1-R1065)</f>
        <v>203467.828282828</v>
      </c>
      <c r="W1065" s="21" t="n">
        <f aca="false">Z1065-P1065*R1065/(1-R1065)</f>
        <v>18388.0707070707</v>
      </c>
      <c r="X1065" s="21" t="n">
        <f aca="false">S1065+V1065+W1065</f>
        <v>247223</v>
      </c>
      <c r="Y1065" s="19" t="n">
        <v>228183</v>
      </c>
      <c r="Z1065" s="19" t="n">
        <v>19040</v>
      </c>
      <c r="AA1065" s="19" t="n">
        <v>2511343</v>
      </c>
      <c r="AB1065" s="29" t="n">
        <v>43.554</v>
      </c>
      <c r="AC1065" s="29" t="n">
        <v>44.05925</v>
      </c>
      <c r="AD1065" s="24" t="n">
        <f aca="false">IFERROR(AA1065/AC1065,0)</f>
        <v>56999.2226376981</v>
      </c>
      <c r="AE1065" s="25" t="n">
        <f aca="false">K1065-Q1065-X1065</f>
        <v>-0.999999999970896</v>
      </c>
      <c r="AF1065" s="25" t="n">
        <f aca="false">Q1065-AA1065</f>
        <v>0</v>
      </c>
      <c r="AG1065" s="19" t="n">
        <v>1998309.17088413</v>
      </c>
      <c r="AH1065" s="26" t="n">
        <f aca="false">IFERROR(AG1065/Q1065,0)</f>
        <v>0.795713357707064</v>
      </c>
      <c r="AI1065" s="27" t="n">
        <v>430012781.124424</v>
      </c>
      <c r="AJ1065" s="26" t="n">
        <f aca="false">IF(AI1065&gt;0,AprCoef/SQRT(AI1065),0)</f>
        <v>0.022857970063449</v>
      </c>
      <c r="AK1065" s="24" t="n">
        <f aca="false">AI1065*AJ1065/365</f>
        <v>26929.3678845001</v>
      </c>
      <c r="AL1065" s="24" t="n">
        <f aca="false">AD1065</f>
        <v>56999.2226376981</v>
      </c>
      <c r="AM1065" s="24" t="n">
        <f aca="false">AK1065-AL1065</f>
        <v>-30069.854753198</v>
      </c>
      <c r="AN1065" s="28" t="str">
        <f aca="false">IF(A1065&gt;=Hip3LaunchDate,"YES","")</f>
        <v>YES</v>
      </c>
      <c r="AO1065" s="28" t="str">
        <f aca="false">IF(A1065&lt;Hip4LaunchDate,"pre-launch","live (zero-fee)")</f>
        <v>pre-launch</v>
      </c>
      <c r="AP1065" s="30" t="n">
        <v>133</v>
      </c>
      <c r="AQ1065" s="30" t="n">
        <v>98</v>
      </c>
      <c r="AR1065" s="19" t="n">
        <v>76839.5598339718</v>
      </c>
    </row>
    <row r="1066" customFormat="false" ht="15" hidden="false" customHeight="false" outlineLevel="0" collapsed="false">
      <c r="A1066" s="18" t="n">
        <v>46127</v>
      </c>
      <c r="B1066" s="19" t="n">
        <v>4022178926.25</v>
      </c>
      <c r="C1066" s="19" t="n">
        <v>2049221398.16</v>
      </c>
      <c r="D1066" s="19" t="n">
        <v>115480502</v>
      </c>
      <c r="E1066" s="21" t="n">
        <f aca="false">B1066+C1066</f>
        <v>6071400324.41</v>
      </c>
      <c r="F1066" s="21" t="n">
        <f aca="false">E1066+D1066</f>
        <v>6186880826.41</v>
      </c>
      <c r="G1066" s="22" t="n">
        <f aca="false">IFERROR(C1066/E1066,0)</f>
        <v>0.337520388817243</v>
      </c>
      <c r="H1066" s="19" t="n">
        <v>1823939</v>
      </c>
      <c r="I1066" s="19" t="n">
        <v>58909</v>
      </c>
      <c r="J1066" s="19" t="n">
        <v>17220</v>
      </c>
      <c r="K1066" s="21" t="n">
        <f aca="false">H1066+I1066</f>
        <v>1882848</v>
      </c>
      <c r="L1066" s="19" t="n">
        <v>75883.1771892558</v>
      </c>
      <c r="M1066" s="21" t="n">
        <f aca="false">H1066-L1066</f>
        <v>1748055.82281074</v>
      </c>
      <c r="N1066" s="23" t="n">
        <f aca="false">IFERROR(M1066/B1066*10000,0)</f>
        <v>4.34604192121436</v>
      </c>
      <c r="O1066" s="19" t="n">
        <v>1660601</v>
      </c>
      <c r="P1066" s="19" t="n">
        <v>44217</v>
      </c>
      <c r="Q1066" s="21" t="n">
        <f aca="false">O1066+P1066</f>
        <v>1704818</v>
      </c>
      <c r="R1066" s="22" t="n">
        <f aca="false">IF(A1066&lt;HlpChangeDate,HlpSharePre,HlpSharePost)</f>
        <v>0.01</v>
      </c>
      <c r="S1066" s="21" t="n">
        <f aca="false">Q1066*R1066/(1-R1066)</f>
        <v>17220.3838383838</v>
      </c>
      <c r="T1066" s="19" t="n">
        <v>17220</v>
      </c>
      <c r="U1066" s="21" t="n">
        <f aca="false">S1066-T1066</f>
        <v>0.383838383837428</v>
      </c>
      <c r="V1066" s="21" t="n">
        <f aca="false">Y1066-O1066*R1066/(1-R1066)</f>
        <v>146564.252525253</v>
      </c>
      <c r="W1066" s="21" t="n">
        <f aca="false">Z1066-P1066*R1066/(1-R1066)</f>
        <v>14245.3636363636</v>
      </c>
      <c r="X1066" s="21" t="n">
        <f aca="false">S1066+V1066+W1066</f>
        <v>178030</v>
      </c>
      <c r="Y1066" s="19" t="n">
        <v>163338</v>
      </c>
      <c r="Z1066" s="19" t="n">
        <v>14692</v>
      </c>
      <c r="AA1066" s="19" t="n">
        <v>1704818</v>
      </c>
      <c r="AB1066" s="29" t="n">
        <v>44.673</v>
      </c>
      <c r="AC1066" s="29" t="n">
        <v>44.164</v>
      </c>
      <c r="AD1066" s="24" t="n">
        <f aca="false">IFERROR(AA1066/AC1066,0)</f>
        <v>38601.9835159859</v>
      </c>
      <c r="AE1066" s="25" t="n">
        <f aca="false">K1066-Q1066-X1066</f>
        <v>0</v>
      </c>
      <c r="AF1066" s="25" t="n">
        <f aca="false">Q1066-AA1066</f>
        <v>0</v>
      </c>
      <c r="AG1066" s="19" t="n">
        <v>1410239.17837191</v>
      </c>
      <c r="AH1066" s="26" t="n">
        <f aca="false">IFERROR(AG1066/Q1066,0)</f>
        <v>0.827208052925243</v>
      </c>
      <c r="AI1066" s="27" t="n">
        <v>430167547.870968</v>
      </c>
      <c r="AJ1066" s="26" t="n">
        <f aca="false">IF(AI1066&gt;0,AprCoef/SQRT(AI1066),0)</f>
        <v>0.0228538577449692</v>
      </c>
      <c r="AK1066" s="24" t="n">
        <f aca="false">AI1066*AJ1066/365</f>
        <v>26934.2135494393</v>
      </c>
      <c r="AL1066" s="24" t="n">
        <f aca="false">AD1066</f>
        <v>38601.9835159859</v>
      </c>
      <c r="AM1066" s="24" t="n">
        <f aca="false">AK1066-AL1066</f>
        <v>-11667.7699665466</v>
      </c>
      <c r="AN1066" s="28" t="str">
        <f aca="false">IF(A1066&gt;=Hip3LaunchDate,"YES","")</f>
        <v>YES</v>
      </c>
      <c r="AO1066" s="28" t="str">
        <f aca="false">IF(A1066&lt;Hip4LaunchDate,"pre-launch","live (zero-fee)")</f>
        <v>pre-launch</v>
      </c>
      <c r="AP1066" s="30" t="n">
        <v>133</v>
      </c>
      <c r="AQ1066" s="30" t="n">
        <v>98</v>
      </c>
      <c r="AR1066" s="19" t="n">
        <v>73212.396350507</v>
      </c>
    </row>
    <row r="1067" customFormat="false" ht="15" hidden="false" customHeight="false" outlineLevel="0" collapsed="false">
      <c r="A1067" s="18" t="n">
        <v>46128</v>
      </c>
      <c r="B1067" s="19" t="n">
        <v>5167577550.92</v>
      </c>
      <c r="C1067" s="19" t="n">
        <v>1789154932.4</v>
      </c>
      <c r="D1067" s="19" t="n">
        <v>141168806</v>
      </c>
      <c r="E1067" s="21" t="n">
        <f aca="false">B1067+C1067</f>
        <v>6956732483.32</v>
      </c>
      <c r="F1067" s="21" t="n">
        <f aca="false">E1067+D1067</f>
        <v>7097901289.32</v>
      </c>
      <c r="G1067" s="22" t="n">
        <f aca="false">IFERROR(C1067/E1067,0)</f>
        <v>0.257183230300981</v>
      </c>
      <c r="H1067" s="19" t="n">
        <v>2177909</v>
      </c>
      <c r="I1067" s="19" t="n">
        <v>79066</v>
      </c>
      <c r="J1067" s="19" t="n">
        <v>20548</v>
      </c>
      <c r="K1067" s="21" t="n">
        <f aca="false">H1067+I1067</f>
        <v>2256975</v>
      </c>
      <c r="L1067" s="19" t="n">
        <v>65202.8285214772</v>
      </c>
      <c r="M1067" s="21" t="n">
        <f aca="false">H1067-L1067</f>
        <v>2112706.17147852</v>
      </c>
      <c r="N1067" s="23" t="n">
        <f aca="false">IFERROR(M1067/B1067*10000,0)</f>
        <v>4.08838793546967</v>
      </c>
      <c r="O1067" s="19" t="n">
        <v>1971385</v>
      </c>
      <c r="P1067" s="19" t="n">
        <v>62800</v>
      </c>
      <c r="Q1067" s="21" t="n">
        <f aca="false">O1067+P1067</f>
        <v>2034185</v>
      </c>
      <c r="R1067" s="22" t="n">
        <f aca="false">IF(A1067&lt;HlpChangeDate,HlpSharePre,HlpSharePost)</f>
        <v>0.01</v>
      </c>
      <c r="S1067" s="21" t="n">
        <f aca="false">Q1067*R1067/(1-R1067)</f>
        <v>20547.3232323232</v>
      </c>
      <c r="T1067" s="19" t="n">
        <v>20548</v>
      </c>
      <c r="U1067" s="21" t="n">
        <f aca="false">S1067-T1067</f>
        <v>-0.676767676766758</v>
      </c>
      <c r="V1067" s="21" t="n">
        <f aca="false">Y1067-O1067*R1067/(1-R1067)</f>
        <v>186611.02020202</v>
      </c>
      <c r="W1067" s="21" t="n">
        <f aca="false">Z1067-P1067*R1067/(1-R1067)</f>
        <v>15631.6565656566</v>
      </c>
      <c r="X1067" s="21" t="n">
        <f aca="false">S1067+V1067+W1067</f>
        <v>222790</v>
      </c>
      <c r="Y1067" s="19" t="n">
        <v>206524</v>
      </c>
      <c r="Z1067" s="19" t="n">
        <v>16266</v>
      </c>
      <c r="AA1067" s="19" t="n">
        <v>2034185</v>
      </c>
      <c r="AB1067" s="29" t="n">
        <v>43.834</v>
      </c>
      <c r="AC1067" s="29" t="n">
        <v>44.4115</v>
      </c>
      <c r="AD1067" s="24" t="n">
        <f aca="false">IFERROR(AA1067/AC1067,0)</f>
        <v>45803.1140582957</v>
      </c>
      <c r="AE1067" s="25" t="n">
        <f aca="false">K1067-Q1067-X1067</f>
        <v>0</v>
      </c>
      <c r="AF1067" s="25" t="n">
        <f aca="false">Q1067-AA1067</f>
        <v>0</v>
      </c>
      <c r="AG1067" s="19" t="n">
        <v>1708420.20390701</v>
      </c>
      <c r="AH1067" s="26" t="n">
        <f aca="false">IFERROR(AG1067/Q1067,0)</f>
        <v>0.839854882376486</v>
      </c>
      <c r="AI1067" s="27" t="n">
        <v>430322314.617512</v>
      </c>
      <c r="AJ1067" s="26" t="n">
        <f aca="false">IF(AI1067&gt;0,AprCoef/SQRT(AI1067),0)</f>
        <v>0.022849747645201</v>
      </c>
      <c r="AK1067" s="24" t="n">
        <f aca="false">AI1067*AJ1067/365</f>
        <v>26939.0583427642</v>
      </c>
      <c r="AL1067" s="24" t="n">
        <f aca="false">AD1067</f>
        <v>45803.1140582957</v>
      </c>
      <c r="AM1067" s="24" t="n">
        <f aca="false">AK1067-AL1067</f>
        <v>-18864.0557155316</v>
      </c>
      <c r="AN1067" s="28" t="str">
        <f aca="false">IF(A1067&gt;=Hip3LaunchDate,"YES","")</f>
        <v>YES</v>
      </c>
      <c r="AO1067" s="28" t="str">
        <f aca="false">IF(A1067&lt;Hip4LaunchDate,"pre-launch","live (zero-fee)")</f>
        <v>pre-launch</v>
      </c>
      <c r="AP1067" s="30" t="n">
        <v>134</v>
      </c>
      <c r="AQ1067" s="30" t="n">
        <v>99</v>
      </c>
      <c r="AR1067" s="19" t="n">
        <v>59920.2477171472</v>
      </c>
    </row>
    <row r="1068" customFormat="false" ht="15" hidden="false" customHeight="false" outlineLevel="0" collapsed="false">
      <c r="A1068" s="18" t="n">
        <v>46129</v>
      </c>
      <c r="B1068" s="19" t="n">
        <v>5816989369.25</v>
      </c>
      <c r="C1068" s="19" t="n">
        <v>2689503709.8</v>
      </c>
      <c r="D1068" s="19" t="n">
        <v>158902450</v>
      </c>
      <c r="E1068" s="21" t="n">
        <f aca="false">B1068+C1068</f>
        <v>8506493079.05</v>
      </c>
      <c r="F1068" s="21" t="n">
        <f aca="false">E1068+D1068</f>
        <v>8665395529.05</v>
      </c>
      <c r="G1068" s="22" t="n">
        <f aca="false">IFERROR(C1068/E1068,0)</f>
        <v>0.316170681008814</v>
      </c>
      <c r="H1068" s="19" t="n">
        <v>2788862</v>
      </c>
      <c r="I1068" s="19" t="n">
        <v>84416</v>
      </c>
      <c r="J1068" s="19" t="n">
        <v>26035</v>
      </c>
      <c r="K1068" s="21" t="n">
        <f aca="false">H1068+I1068</f>
        <v>2873278</v>
      </c>
      <c r="L1068" s="19" t="n">
        <v>102325.909253912</v>
      </c>
      <c r="M1068" s="21" t="n">
        <f aca="false">H1068-L1068</f>
        <v>2686536.09074609</v>
      </c>
      <c r="N1068" s="23" t="n">
        <f aca="false">IFERROR(M1068/B1068*10000,0)</f>
        <v>4.61843046326982</v>
      </c>
      <c r="O1068" s="19" t="n">
        <v>2514980</v>
      </c>
      <c r="P1068" s="19" t="n">
        <v>62537</v>
      </c>
      <c r="Q1068" s="21" t="n">
        <f aca="false">O1068+P1068</f>
        <v>2577517</v>
      </c>
      <c r="R1068" s="22" t="n">
        <f aca="false">IF(A1068&lt;HlpChangeDate,HlpSharePre,HlpSharePost)</f>
        <v>0.01</v>
      </c>
      <c r="S1068" s="21" t="n">
        <f aca="false">Q1068*R1068/(1-R1068)</f>
        <v>26035.5252525253</v>
      </c>
      <c r="T1068" s="19" t="n">
        <v>26035</v>
      </c>
      <c r="U1068" s="21" t="n">
        <f aca="false">S1068-T1068</f>
        <v>0.525252525254473</v>
      </c>
      <c r="V1068" s="21" t="n">
        <f aca="false">Y1068-O1068*R1068/(1-R1068)</f>
        <v>248478.161616162</v>
      </c>
      <c r="W1068" s="21" t="n">
        <f aca="false">Z1068-P1068*R1068/(1-R1068)</f>
        <v>21247.3131313131</v>
      </c>
      <c r="X1068" s="21" t="n">
        <f aca="false">S1068+V1068+W1068</f>
        <v>295761</v>
      </c>
      <c r="Y1068" s="19" t="n">
        <v>273882</v>
      </c>
      <c r="Z1068" s="19" t="n">
        <v>21879</v>
      </c>
      <c r="AA1068" s="19" t="n">
        <v>2577517</v>
      </c>
      <c r="AB1068" s="29" t="n">
        <v>44.668</v>
      </c>
      <c r="AC1068" s="29" t="n">
        <v>44.31725</v>
      </c>
      <c r="AD1068" s="24" t="n">
        <f aca="false">IFERROR(AA1068/AC1068,0)</f>
        <v>58160.580812212</v>
      </c>
      <c r="AE1068" s="25" t="n">
        <f aca="false">K1068-Q1068-X1068</f>
        <v>0</v>
      </c>
      <c r="AF1068" s="25" t="n">
        <f aca="false">Q1068-AA1068</f>
        <v>0</v>
      </c>
      <c r="AG1068" s="19" t="n">
        <v>2051522.23971009</v>
      </c>
      <c r="AH1068" s="26" t="n">
        <f aca="false">IFERROR(AG1068/Q1068,0)</f>
        <v>0.795929663978974</v>
      </c>
      <c r="AI1068" s="27" t="n">
        <v>430477081.364055</v>
      </c>
      <c r="AJ1068" s="26" t="n">
        <f aca="false">IF(AI1068&gt;0,AprCoef/SQRT(AI1068),0)</f>
        <v>0.0228456397621499</v>
      </c>
      <c r="AK1068" s="24" t="n">
        <f aca="false">AI1068*AJ1068/365</f>
        <v>26943.9022649449</v>
      </c>
      <c r="AL1068" s="24" t="n">
        <f aca="false">AD1068</f>
        <v>58160.580812212</v>
      </c>
      <c r="AM1068" s="24" t="n">
        <f aca="false">AK1068-AL1068</f>
        <v>-31216.678547267</v>
      </c>
      <c r="AN1068" s="28" t="str">
        <f aca="false">IF(A1068&gt;=Hip3LaunchDate,"YES","")</f>
        <v>YES</v>
      </c>
      <c r="AO1068" s="28" t="str">
        <f aca="false">IF(A1068&lt;Hip4LaunchDate,"pre-launch","live (zero-fee)")</f>
        <v>pre-launch</v>
      </c>
      <c r="AP1068" s="30" t="n">
        <v>134</v>
      </c>
      <c r="AQ1068" s="30" t="n">
        <v>99</v>
      </c>
      <c r="AR1068" s="19" t="n">
        <v>94014.8686270914</v>
      </c>
    </row>
    <row r="1069" customFormat="false" ht="15" hidden="false" customHeight="false" outlineLevel="0" collapsed="false">
      <c r="A1069" s="18" t="n">
        <v>46130</v>
      </c>
      <c r="B1069" s="19" t="n">
        <v>2712772923.77</v>
      </c>
      <c r="C1069" s="19" t="n">
        <v>701433721.04</v>
      </c>
      <c r="D1069" s="19" t="n">
        <v>73766452</v>
      </c>
      <c r="E1069" s="21" t="n">
        <f aca="false">B1069+C1069</f>
        <v>3414206644.81</v>
      </c>
      <c r="F1069" s="21" t="n">
        <f aca="false">E1069+D1069</f>
        <v>3487973096.81</v>
      </c>
      <c r="G1069" s="22" t="n">
        <f aca="false">IFERROR(C1069/E1069,0)</f>
        <v>0.20544559659453</v>
      </c>
      <c r="H1069" s="19" t="n">
        <v>1253472</v>
      </c>
      <c r="I1069" s="19" t="n">
        <v>38508</v>
      </c>
      <c r="J1069" s="19" t="n">
        <v>11519</v>
      </c>
      <c r="K1069" s="21" t="n">
        <f aca="false">H1069+I1069</f>
        <v>1291980</v>
      </c>
      <c r="L1069" s="19" t="n">
        <v>32184.4715082315</v>
      </c>
      <c r="M1069" s="21" t="n">
        <f aca="false">H1069-L1069</f>
        <v>1221287.52849177</v>
      </c>
      <c r="N1069" s="23" t="n">
        <f aca="false">IFERROR(M1069/B1069*10000,0)</f>
        <v>4.50198952441076</v>
      </c>
      <c r="O1069" s="19" t="n">
        <v>1110003</v>
      </c>
      <c r="P1069" s="19" t="n">
        <v>30391</v>
      </c>
      <c r="Q1069" s="21" t="n">
        <f aca="false">O1069+P1069</f>
        <v>1140394</v>
      </c>
      <c r="R1069" s="22" t="n">
        <f aca="false">IF(A1069&lt;HlpChangeDate,HlpSharePre,HlpSharePost)</f>
        <v>0.01</v>
      </c>
      <c r="S1069" s="21" t="n">
        <f aca="false">Q1069*R1069/(1-R1069)</f>
        <v>11519.1313131313</v>
      </c>
      <c r="T1069" s="19" t="n">
        <v>11519</v>
      </c>
      <c r="U1069" s="21" t="n">
        <f aca="false">S1069-T1069</f>
        <v>0.131313131314528</v>
      </c>
      <c r="V1069" s="21" t="n">
        <f aca="false">Y1069-O1069*R1069/(1-R1069)</f>
        <v>132255.848484848</v>
      </c>
      <c r="W1069" s="21" t="n">
        <f aca="false">Z1069-P1069*R1069/(1-R1069)</f>
        <v>7810.0202020202</v>
      </c>
      <c r="X1069" s="21" t="n">
        <f aca="false">S1069+V1069+W1069</f>
        <v>151585</v>
      </c>
      <c r="Y1069" s="19" t="n">
        <v>143468</v>
      </c>
      <c r="Z1069" s="19" t="n">
        <v>8117</v>
      </c>
      <c r="AA1069" s="19" t="n">
        <v>1140394</v>
      </c>
      <c r="AB1069" s="29" t="n">
        <v>43.805</v>
      </c>
      <c r="AC1069" s="29" t="n">
        <v>44.42525</v>
      </c>
      <c r="AD1069" s="24" t="n">
        <f aca="false">IFERROR(AA1069/AC1069,0)</f>
        <v>25669.9512101789</v>
      </c>
      <c r="AE1069" s="25" t="n">
        <f aca="false">K1069-Q1069-X1069</f>
        <v>1</v>
      </c>
      <c r="AF1069" s="25" t="n">
        <f aca="false">Q1069-AA1069</f>
        <v>0</v>
      </c>
      <c r="AG1069" s="19" t="n">
        <v>922441.058214903</v>
      </c>
      <c r="AH1069" s="26" t="n">
        <f aca="false">IFERROR(AG1069/Q1069,0)</f>
        <v>0.808879262969555</v>
      </c>
      <c r="AI1069" s="27" t="n">
        <v>430631848.110599</v>
      </c>
      <c r="AJ1069" s="26" t="n">
        <f aca="false">IF(AI1069&gt;0,AprCoef/SQRT(AI1069),0)</f>
        <v>0.0228415340938241</v>
      </c>
      <c r="AK1069" s="24" t="n">
        <f aca="false">AI1069*AJ1069/365</f>
        <v>26948.7453164514</v>
      </c>
      <c r="AL1069" s="24" t="n">
        <f aca="false">AD1069</f>
        <v>25669.9512101789</v>
      </c>
      <c r="AM1069" s="24" t="n">
        <f aca="false">AK1069-AL1069</f>
        <v>1278.79410627245</v>
      </c>
      <c r="AN1069" s="28" t="str">
        <f aca="false">IF(A1069&gt;=Hip3LaunchDate,"YES","")</f>
        <v>YES</v>
      </c>
      <c r="AO1069" s="28" t="str">
        <f aca="false">IF(A1069&lt;Hip4LaunchDate,"pre-launch","live (zero-fee)")</f>
        <v>pre-launch</v>
      </c>
      <c r="AP1069" s="30" t="n">
        <v>134</v>
      </c>
      <c r="AQ1069" s="30" t="n">
        <v>99</v>
      </c>
      <c r="AR1069" s="19" t="n">
        <v>29425.6310386573</v>
      </c>
    </row>
    <row r="1070" customFormat="false" ht="15" hidden="false" customHeight="false" outlineLevel="0" collapsed="false">
      <c r="A1070" s="18" t="n">
        <v>46131</v>
      </c>
      <c r="B1070" s="19" t="n">
        <v>4234853702.08</v>
      </c>
      <c r="C1070" s="19" t="n">
        <v>1106759045.99</v>
      </c>
      <c r="D1070" s="19" t="n">
        <v>119868281</v>
      </c>
      <c r="E1070" s="21" t="n">
        <f aca="false">B1070+C1070</f>
        <v>5341612748.07</v>
      </c>
      <c r="F1070" s="21" t="n">
        <f aca="false">E1070+D1070</f>
        <v>5461481029.07</v>
      </c>
      <c r="G1070" s="22" t="n">
        <f aca="false">IFERROR(C1070/E1070,0)</f>
        <v>0.207195672578453</v>
      </c>
      <c r="H1070" s="19" t="n">
        <v>1785294</v>
      </c>
      <c r="I1070" s="19" t="n">
        <v>60343</v>
      </c>
      <c r="J1070" s="19" t="n">
        <v>16796</v>
      </c>
      <c r="K1070" s="21" t="n">
        <f aca="false">H1070+I1070</f>
        <v>1845637</v>
      </c>
      <c r="L1070" s="19" t="n">
        <v>46275.8170689828</v>
      </c>
      <c r="M1070" s="21" t="n">
        <f aca="false">H1070-L1070</f>
        <v>1739018.18293102</v>
      </c>
      <c r="N1070" s="23" t="n">
        <f aca="false">IFERROR(M1070/B1070*10000,0)</f>
        <v>4.10644217078119</v>
      </c>
      <c r="O1070" s="19" t="n">
        <v>1614899</v>
      </c>
      <c r="P1070" s="19" t="n">
        <v>48237</v>
      </c>
      <c r="Q1070" s="21" t="n">
        <f aca="false">O1070+P1070</f>
        <v>1663136</v>
      </c>
      <c r="R1070" s="22" t="n">
        <f aca="false">IF(A1070&lt;HlpChangeDate,HlpSharePre,HlpSharePost)</f>
        <v>0.01</v>
      </c>
      <c r="S1070" s="21" t="n">
        <f aca="false">Q1070*R1070/(1-R1070)</f>
        <v>16799.3535353535</v>
      </c>
      <c r="T1070" s="19" t="n">
        <v>16796</v>
      </c>
      <c r="U1070" s="21" t="n">
        <f aca="false">S1070-T1070</f>
        <v>3.35353535353715</v>
      </c>
      <c r="V1070" s="21" t="n">
        <f aca="false">Y1070-O1070*R1070/(1-R1070)</f>
        <v>154081.888888889</v>
      </c>
      <c r="W1070" s="21" t="n">
        <f aca="false">Z1070-P1070*R1070/(1-R1070)</f>
        <v>11618.7575757576</v>
      </c>
      <c r="X1070" s="21" t="n">
        <f aca="false">S1070+V1070+W1070</f>
        <v>182500</v>
      </c>
      <c r="Y1070" s="19" t="n">
        <v>170394</v>
      </c>
      <c r="Z1070" s="19" t="n">
        <v>12106</v>
      </c>
      <c r="AA1070" s="19" t="n">
        <v>1663136</v>
      </c>
      <c r="AB1070" s="29" t="n">
        <v>40.681</v>
      </c>
      <c r="AC1070" s="29" t="n">
        <v>42.23875</v>
      </c>
      <c r="AD1070" s="24" t="n">
        <f aca="false">IFERROR(AA1070/AC1070,0)</f>
        <v>39374.6500547483</v>
      </c>
      <c r="AE1070" s="25" t="n">
        <f aca="false">K1070-Q1070-X1070</f>
        <v>1.0000000000291</v>
      </c>
      <c r="AF1070" s="25" t="n">
        <f aca="false">Q1070-AA1070</f>
        <v>0</v>
      </c>
      <c r="AG1070" s="19" t="n">
        <v>1408326.43012905</v>
      </c>
      <c r="AH1070" s="26" t="n">
        <f aca="false">IFERROR(AG1070/Q1070,0)</f>
        <v>0.846789697372344</v>
      </c>
      <c r="AI1070" s="27" t="n">
        <v>430786614.857143</v>
      </c>
      <c r="AJ1070" s="26" t="n">
        <f aca="false">IF(AI1070&gt;0,AprCoef/SQRT(AI1070),0)</f>
        <v>0.0228374306382343</v>
      </c>
      <c r="AK1070" s="24" t="n">
        <f aca="false">AI1070*AJ1070/365</f>
        <v>26953.5874977527</v>
      </c>
      <c r="AL1070" s="24" t="n">
        <f aca="false">AD1070</f>
        <v>39374.6500547483</v>
      </c>
      <c r="AM1070" s="24" t="n">
        <f aca="false">AK1070-AL1070</f>
        <v>-12421.0625569956</v>
      </c>
      <c r="AN1070" s="28" t="str">
        <f aca="false">IF(A1070&gt;=Hip3LaunchDate,"YES","")</f>
        <v>YES</v>
      </c>
      <c r="AO1070" s="28" t="str">
        <f aca="false">IF(A1070&lt;Hip4LaunchDate,"pre-launch","live (zero-fee)")</f>
        <v>pre-launch</v>
      </c>
      <c r="AP1070" s="30" t="n">
        <v>134</v>
      </c>
      <c r="AQ1070" s="30" t="n">
        <v>99</v>
      </c>
      <c r="AR1070" s="19" t="n">
        <v>43098.4384088923</v>
      </c>
    </row>
    <row r="1071" customFormat="false" ht="15" hidden="false" customHeight="false" outlineLevel="0" collapsed="false">
      <c r="A1071" s="18" t="n">
        <v>46132</v>
      </c>
      <c r="B1071" s="19" t="n">
        <v>4058293784.07</v>
      </c>
      <c r="C1071" s="19" t="n">
        <v>2139681562.5</v>
      </c>
      <c r="D1071" s="19" t="n">
        <v>103370678</v>
      </c>
      <c r="E1071" s="21" t="n">
        <f aca="false">B1071+C1071</f>
        <v>6197975346.57</v>
      </c>
      <c r="F1071" s="21" t="n">
        <f aca="false">E1071+D1071</f>
        <v>6301346024.57</v>
      </c>
      <c r="G1071" s="22" t="n">
        <f aca="false">IFERROR(C1071/E1071,0)</f>
        <v>0.345222664314745</v>
      </c>
      <c r="H1071" s="19" t="n">
        <v>1867067</v>
      </c>
      <c r="I1071" s="19" t="n">
        <v>49071</v>
      </c>
      <c r="J1071" s="19" t="n">
        <v>17444</v>
      </c>
      <c r="K1071" s="21" t="n">
        <f aca="false">H1071+I1071</f>
        <v>1916138</v>
      </c>
      <c r="L1071" s="19" t="n">
        <v>83863.9659839126</v>
      </c>
      <c r="M1071" s="21" t="n">
        <f aca="false">H1071-L1071</f>
        <v>1783203.03401609</v>
      </c>
      <c r="N1071" s="23" t="n">
        <f aca="false">IFERROR(M1071/B1071*10000,0)</f>
        <v>4.39397226739889</v>
      </c>
      <c r="O1071" s="19" t="n">
        <v>1691184</v>
      </c>
      <c r="P1071" s="19" t="n">
        <v>35796</v>
      </c>
      <c r="Q1071" s="21" t="n">
        <f aca="false">O1071+P1071</f>
        <v>1726980</v>
      </c>
      <c r="R1071" s="22" t="n">
        <f aca="false">IF(A1071&lt;HlpChangeDate,HlpSharePre,HlpSharePost)</f>
        <v>0.01</v>
      </c>
      <c r="S1071" s="21" t="n">
        <f aca="false">Q1071*R1071/(1-R1071)</f>
        <v>17444.2424242424</v>
      </c>
      <c r="T1071" s="19" t="n">
        <v>17444</v>
      </c>
      <c r="U1071" s="21" t="n">
        <f aca="false">S1071-T1071</f>
        <v>0.242424242424022</v>
      </c>
      <c r="V1071" s="21" t="n">
        <f aca="false">Y1071-O1071*R1071/(1-R1071)</f>
        <v>158800.333333333</v>
      </c>
      <c r="W1071" s="21" t="n">
        <f aca="false">Z1071-P1071*R1071/(1-R1071)</f>
        <v>12913.4242424242</v>
      </c>
      <c r="X1071" s="21" t="n">
        <f aca="false">S1071+V1071+W1071</f>
        <v>189158</v>
      </c>
      <c r="Y1071" s="19" t="n">
        <v>175883</v>
      </c>
      <c r="Z1071" s="19" t="n">
        <v>13275</v>
      </c>
      <c r="AA1071" s="19" t="n">
        <v>1726980</v>
      </c>
      <c r="AB1071" s="29" t="n">
        <v>40.728</v>
      </c>
      <c r="AC1071" s="29" t="n">
        <v>40.9415</v>
      </c>
      <c r="AD1071" s="24" t="n">
        <f aca="false">IFERROR(AA1071/AC1071,0)</f>
        <v>42181.6494266209</v>
      </c>
      <c r="AE1071" s="25" t="n">
        <f aca="false">K1071-Q1071-X1071</f>
        <v>0</v>
      </c>
      <c r="AF1071" s="25" t="n">
        <f aca="false">Q1071-AA1071</f>
        <v>0</v>
      </c>
      <c r="AG1071" s="19" t="n">
        <v>1395458.01958704</v>
      </c>
      <c r="AH1071" s="26" t="n">
        <f aca="false">IFERROR(AG1071/Q1071,0)</f>
        <v>0.808033688628149</v>
      </c>
      <c r="AI1071" s="27" t="n">
        <v>430941381.603687</v>
      </c>
      <c r="AJ1071" s="26" t="n">
        <f aca="false">IF(AI1071&gt;0,AprCoef/SQRT(AI1071),0)</f>
        <v>0.0228333293933935</v>
      </c>
      <c r="AK1071" s="24" t="n">
        <f aca="false">AI1071*AJ1071/365</f>
        <v>26958.428809318</v>
      </c>
      <c r="AL1071" s="24" t="n">
        <f aca="false">AD1071</f>
        <v>42181.6494266209</v>
      </c>
      <c r="AM1071" s="24" t="n">
        <f aca="false">AK1071-AL1071</f>
        <v>-15223.2206173029</v>
      </c>
      <c r="AN1071" s="28" t="str">
        <f aca="false">IF(A1071&gt;=Hip3LaunchDate,"YES","")</f>
        <v>YES</v>
      </c>
      <c r="AO1071" s="28" t="str">
        <f aca="false">IF(A1071&lt;Hip4LaunchDate,"pre-launch","live (zero-fee)")</f>
        <v>pre-launch</v>
      </c>
      <c r="AP1071" s="30" t="n">
        <v>135</v>
      </c>
      <c r="AQ1071" s="30" t="n">
        <v>100</v>
      </c>
      <c r="AR1071" s="19" t="n">
        <v>77429.8619632599</v>
      </c>
    </row>
    <row r="1072" customFormat="false" ht="15" hidden="false" customHeight="false" outlineLevel="0" collapsed="false">
      <c r="A1072" s="18" t="n">
        <v>46133</v>
      </c>
      <c r="B1072" s="19" t="n">
        <v>4994273036.25</v>
      </c>
      <c r="C1072" s="19" t="n">
        <v>2529122736.82</v>
      </c>
      <c r="D1072" s="19" t="n">
        <v>138769783</v>
      </c>
      <c r="E1072" s="21" t="n">
        <f aca="false">B1072+C1072</f>
        <v>7523395773.07</v>
      </c>
      <c r="F1072" s="21" t="n">
        <f aca="false">E1072+D1072</f>
        <v>7662165556.07</v>
      </c>
      <c r="G1072" s="22" t="n">
        <f aca="false">IFERROR(C1072/E1072,0)</f>
        <v>0.336167711111649</v>
      </c>
      <c r="H1072" s="19" t="n">
        <v>2305458</v>
      </c>
      <c r="I1072" s="19" t="n">
        <v>74746</v>
      </c>
      <c r="J1072" s="19" t="n">
        <v>21715</v>
      </c>
      <c r="K1072" s="21" t="n">
        <f aca="false">H1072+I1072</f>
        <v>2380204</v>
      </c>
      <c r="L1072" s="19" t="n">
        <v>100965.85771476</v>
      </c>
      <c r="M1072" s="21" t="n">
        <f aca="false">H1072-L1072</f>
        <v>2204492.14228524</v>
      </c>
      <c r="N1072" s="23" t="n">
        <f aca="false">IFERROR(M1072/B1072*10000,0)</f>
        <v>4.41404009409246</v>
      </c>
      <c r="O1072" s="19" t="n">
        <v>2093615</v>
      </c>
      <c r="P1072" s="19" t="n">
        <v>56201</v>
      </c>
      <c r="Q1072" s="21" t="n">
        <f aca="false">O1072+P1072</f>
        <v>2149816</v>
      </c>
      <c r="R1072" s="22" t="n">
        <f aca="false">IF(A1072&lt;HlpChangeDate,HlpSharePre,HlpSharePost)</f>
        <v>0.01</v>
      </c>
      <c r="S1072" s="21" t="n">
        <f aca="false">Q1072*R1072/(1-R1072)</f>
        <v>21715.3131313131</v>
      </c>
      <c r="T1072" s="19" t="n">
        <v>21715</v>
      </c>
      <c r="U1072" s="21" t="n">
        <f aca="false">S1072-T1072</f>
        <v>0.313131313130725</v>
      </c>
      <c r="V1072" s="21" t="n">
        <f aca="false">Y1072-O1072*R1072/(1-R1072)</f>
        <v>190695.373737374</v>
      </c>
      <c r="W1072" s="21" t="n">
        <f aca="false">Z1072-P1072*R1072/(1-R1072)</f>
        <v>17978.3131313131</v>
      </c>
      <c r="X1072" s="21" t="n">
        <f aca="false">S1072+V1072+W1072</f>
        <v>230389</v>
      </c>
      <c r="Y1072" s="19" t="n">
        <v>211843</v>
      </c>
      <c r="Z1072" s="19" t="n">
        <v>18546</v>
      </c>
      <c r="AA1072" s="19" t="n">
        <v>2149816</v>
      </c>
      <c r="AB1072" s="29" t="n">
        <v>39.775</v>
      </c>
      <c r="AC1072" s="29" t="n">
        <v>40.19925</v>
      </c>
      <c r="AD1072" s="24" t="n">
        <f aca="false">IFERROR(AA1072/AC1072,0)</f>
        <v>53479.0076929296</v>
      </c>
      <c r="AE1072" s="25" t="n">
        <f aca="false">K1072-Q1072-X1072</f>
        <v>-1</v>
      </c>
      <c r="AF1072" s="25" t="n">
        <f aca="false">Q1072-AA1072</f>
        <v>0</v>
      </c>
      <c r="AG1072" s="19" t="n">
        <v>1737248.18587685</v>
      </c>
      <c r="AH1072" s="26" t="n">
        <f aca="false">IFERROR(AG1072/Q1072,0)</f>
        <v>0.808091569639842</v>
      </c>
      <c r="AI1072" s="27" t="n">
        <v>431096148.35023</v>
      </c>
      <c r="AJ1072" s="26" t="n">
        <f aca="false">IF(AI1072&gt;0,AprCoef/SQRT(AI1072),0)</f>
        <v>0.0228292303573174</v>
      </c>
      <c r="AK1072" s="24" t="n">
        <f aca="false">AI1072*AJ1072/365</f>
        <v>26963.2692516156</v>
      </c>
      <c r="AL1072" s="24" t="n">
        <f aca="false">AD1072</f>
        <v>53479.0076929296</v>
      </c>
      <c r="AM1072" s="24" t="n">
        <f aca="false">AK1072-AL1072</f>
        <v>-26515.738441314</v>
      </c>
      <c r="AN1072" s="28" t="str">
        <f aca="false">IF(A1072&gt;=Hip3LaunchDate,"YES","")</f>
        <v>YES</v>
      </c>
      <c r="AO1072" s="28" t="str">
        <f aca="false">IF(A1072&lt;Hip4LaunchDate,"pre-launch","live (zero-fee)")</f>
        <v>pre-launch</v>
      </c>
      <c r="AP1072" s="30" t="n">
        <v>135</v>
      </c>
      <c r="AQ1072" s="30" t="n">
        <v>100</v>
      </c>
      <c r="AR1072" s="19" t="n">
        <v>97400.3821949097</v>
      </c>
    </row>
    <row r="1073" customFormat="false" ht="15" hidden="false" customHeight="false" outlineLevel="0" collapsed="false">
      <c r="A1073" s="18" t="n">
        <v>46134</v>
      </c>
      <c r="B1073" s="19" t="n">
        <v>4816091751.83</v>
      </c>
      <c r="C1073" s="19" t="n">
        <v>1824132531.39</v>
      </c>
      <c r="D1073" s="19" t="n">
        <v>123714513</v>
      </c>
      <c r="E1073" s="21" t="n">
        <f aca="false">B1073+C1073</f>
        <v>6640224283.22</v>
      </c>
      <c r="F1073" s="21" t="n">
        <f aca="false">E1073+D1073</f>
        <v>6763938796.22</v>
      </c>
      <c r="G1073" s="22" t="n">
        <f aca="false">IFERROR(C1073/E1073,0)</f>
        <v>0.274709475702444</v>
      </c>
      <c r="H1073" s="19" t="n">
        <v>2162565</v>
      </c>
      <c r="I1073" s="19" t="n">
        <v>67009</v>
      </c>
      <c r="J1073" s="19" t="n">
        <v>20395</v>
      </c>
      <c r="K1073" s="21" t="n">
        <f aca="false">H1073+I1073</f>
        <v>2229574</v>
      </c>
      <c r="L1073" s="19" t="n">
        <v>74759.4059442836</v>
      </c>
      <c r="M1073" s="21" t="n">
        <f aca="false">H1073-L1073</f>
        <v>2087805.59405572</v>
      </c>
      <c r="N1073" s="23" t="n">
        <f aca="false">IFERROR(M1073/B1073*10000,0)</f>
        <v>4.33506191667217</v>
      </c>
      <c r="O1073" s="19" t="n">
        <v>1971494</v>
      </c>
      <c r="P1073" s="19" t="n">
        <v>47656</v>
      </c>
      <c r="Q1073" s="21" t="n">
        <f aca="false">O1073+P1073</f>
        <v>2019150</v>
      </c>
      <c r="R1073" s="22" t="n">
        <f aca="false">IF(A1073&lt;HlpChangeDate,HlpSharePre,HlpSharePost)</f>
        <v>0.01</v>
      </c>
      <c r="S1073" s="21" t="n">
        <f aca="false">Q1073*R1073/(1-R1073)</f>
        <v>20395.4545454545</v>
      </c>
      <c r="T1073" s="19" t="n">
        <v>20395</v>
      </c>
      <c r="U1073" s="21" t="n">
        <f aca="false">S1073-T1073</f>
        <v>0.454545454544132</v>
      </c>
      <c r="V1073" s="21" t="n">
        <f aca="false">Y1073-O1073*R1073/(1-R1073)</f>
        <v>171156.919191919</v>
      </c>
      <c r="W1073" s="21" t="n">
        <f aca="false">Z1073-P1073*R1073/(1-R1073)</f>
        <v>18871.6262626263</v>
      </c>
      <c r="X1073" s="21" t="n">
        <f aca="false">S1073+V1073+W1073</f>
        <v>210424</v>
      </c>
      <c r="Y1073" s="19" t="n">
        <v>191071</v>
      </c>
      <c r="Z1073" s="19" t="n">
        <v>19353</v>
      </c>
      <c r="AA1073" s="19" t="n">
        <v>2019150</v>
      </c>
      <c r="AB1073" s="29" t="n">
        <v>41.186</v>
      </c>
      <c r="AC1073" s="29" t="n">
        <v>40.58425</v>
      </c>
      <c r="AD1073" s="24" t="n">
        <f aca="false">IFERROR(AA1073/AC1073,0)</f>
        <v>49752.0589884007</v>
      </c>
      <c r="AE1073" s="25" t="n">
        <f aca="false">K1073-Q1073-X1073</f>
        <v>0</v>
      </c>
      <c r="AF1073" s="25" t="n">
        <f aca="false">Q1073-AA1073</f>
        <v>0</v>
      </c>
      <c r="AG1073" s="19" t="n">
        <v>1660500.81485605</v>
      </c>
      <c r="AH1073" s="26" t="n">
        <f aca="false">IFERROR(AG1073/Q1073,0)</f>
        <v>0.822376155736846</v>
      </c>
      <c r="AI1073" s="27" t="n">
        <v>431250915.096774</v>
      </c>
      <c r="AJ1073" s="26" t="n">
        <f aca="false">IF(AI1073&gt;0,AprCoef/SQRT(AI1073),0)</f>
        <v>0.0228251335280242</v>
      </c>
      <c r="AK1073" s="24" t="n">
        <f aca="false">AI1073*AJ1073/365</f>
        <v>26968.1088251137</v>
      </c>
      <c r="AL1073" s="24" t="n">
        <f aca="false">AD1073</f>
        <v>49752.0589884007</v>
      </c>
      <c r="AM1073" s="24" t="n">
        <f aca="false">AK1073-AL1073</f>
        <v>-22783.950163287</v>
      </c>
      <c r="AN1073" s="28" t="str">
        <f aca="false">IF(A1073&gt;=Hip3LaunchDate,"YES","")</f>
        <v>YES</v>
      </c>
      <c r="AO1073" s="28" t="str">
        <f aca="false">IF(A1073&lt;Hip4LaunchDate,"pre-launch","live (zero-fee)")</f>
        <v>pre-launch</v>
      </c>
      <c r="AP1073" s="30" t="n">
        <v>135</v>
      </c>
      <c r="AQ1073" s="30" t="n">
        <v>100</v>
      </c>
      <c r="AR1073" s="19" t="n">
        <v>68959.3301473956</v>
      </c>
    </row>
    <row r="1074" customFormat="false" ht="15" hidden="false" customHeight="false" outlineLevel="0" collapsed="false">
      <c r="A1074" s="18" t="n">
        <v>46135</v>
      </c>
      <c r="B1074" s="19" t="n">
        <v>4963968243.62</v>
      </c>
      <c r="C1074" s="19" t="n">
        <v>2700249742.87</v>
      </c>
      <c r="D1074" s="19" t="n">
        <v>101104527</v>
      </c>
      <c r="E1074" s="21" t="n">
        <f aca="false">B1074+C1074</f>
        <v>7664217986.49</v>
      </c>
      <c r="F1074" s="21" t="n">
        <f aca="false">E1074+D1074</f>
        <v>7765322513.49</v>
      </c>
      <c r="G1074" s="22" t="n">
        <f aca="false">IFERROR(C1074/E1074,0)</f>
        <v>0.352319016451493</v>
      </c>
      <c r="H1074" s="19" t="n">
        <v>2191755</v>
      </c>
      <c r="I1074" s="19" t="n">
        <v>53928</v>
      </c>
      <c r="J1074" s="19" t="n">
        <v>20694</v>
      </c>
      <c r="K1074" s="21" t="n">
        <f aca="false">H1074+I1074</f>
        <v>2245683</v>
      </c>
      <c r="L1074" s="19" t="n">
        <v>101663.276281976</v>
      </c>
      <c r="M1074" s="21" t="n">
        <f aca="false">H1074-L1074</f>
        <v>2090091.72371802</v>
      </c>
      <c r="N1074" s="23" t="n">
        <f aca="false">IFERROR(M1074/B1074*10000,0)</f>
        <v>4.21052597668073</v>
      </c>
      <c r="O1074" s="19" t="n">
        <v>2009871</v>
      </c>
      <c r="P1074" s="19" t="n">
        <v>38869</v>
      </c>
      <c r="Q1074" s="21" t="n">
        <f aca="false">O1074+P1074</f>
        <v>2048740</v>
      </c>
      <c r="R1074" s="22" t="n">
        <f aca="false">IF(A1074&lt;HlpChangeDate,HlpSharePre,HlpSharePost)</f>
        <v>0.01</v>
      </c>
      <c r="S1074" s="21" t="n">
        <f aca="false">Q1074*R1074/(1-R1074)</f>
        <v>20694.3434343434</v>
      </c>
      <c r="T1074" s="19" t="n">
        <v>20694</v>
      </c>
      <c r="U1074" s="21" t="n">
        <f aca="false">S1074-T1074</f>
        <v>0.343434343434637</v>
      </c>
      <c r="V1074" s="21" t="n">
        <f aca="false">Y1074-O1074*R1074/(1-R1074)</f>
        <v>161582.272727273</v>
      </c>
      <c r="W1074" s="21" t="n">
        <f aca="false">Z1074-P1074*R1074/(1-R1074)</f>
        <v>14665.3838383838</v>
      </c>
      <c r="X1074" s="21" t="n">
        <f aca="false">S1074+V1074+W1074</f>
        <v>196942</v>
      </c>
      <c r="Y1074" s="19" t="n">
        <v>181884</v>
      </c>
      <c r="Z1074" s="19" t="n">
        <v>15058</v>
      </c>
      <c r="AA1074" s="19" t="n">
        <v>2048740</v>
      </c>
      <c r="AB1074" s="29" t="n">
        <v>41.312</v>
      </c>
      <c r="AC1074" s="29" t="n">
        <v>41.23625</v>
      </c>
      <c r="AD1074" s="24" t="n">
        <f aca="false">IFERROR(AA1074/AC1074,0)</f>
        <v>49682.9852375034</v>
      </c>
      <c r="AE1074" s="25" t="n">
        <f aca="false">K1074-Q1074-X1074</f>
        <v>1</v>
      </c>
      <c r="AF1074" s="25" t="n">
        <f aca="false">Q1074-AA1074</f>
        <v>0</v>
      </c>
      <c r="AG1074" s="19" t="n">
        <v>1670656.99921608</v>
      </c>
      <c r="AH1074" s="26" t="n">
        <f aca="false">IFERROR(AG1074/Q1074,0)</f>
        <v>0.815455840768511</v>
      </c>
      <c r="AI1074" s="27" t="n">
        <v>431405681.843318</v>
      </c>
      <c r="AJ1074" s="26" t="n">
        <f aca="false">IF(AI1074&gt;0,AprCoef/SQRT(AI1074),0)</f>
        <v>0.0228210389035344</v>
      </c>
      <c r="AK1074" s="24" t="n">
        <f aca="false">AI1074*AJ1074/365</f>
        <v>26972.9475302798</v>
      </c>
      <c r="AL1074" s="24" t="n">
        <f aca="false">AD1074</f>
        <v>49682.9852375034</v>
      </c>
      <c r="AM1074" s="24" t="n">
        <f aca="false">AK1074-AL1074</f>
        <v>-22710.0377072236</v>
      </c>
      <c r="AN1074" s="28" t="str">
        <f aca="false">IF(A1074&gt;=Hip3LaunchDate,"YES","")</f>
        <v>YES</v>
      </c>
      <c r="AO1074" s="28" t="str">
        <f aca="false">IF(A1074&lt;Hip4LaunchDate,"pre-launch","live (zero-fee)")</f>
        <v>pre-launch</v>
      </c>
      <c r="AP1074" s="30" t="n">
        <v>135</v>
      </c>
      <c r="AQ1074" s="30" t="n">
        <v>100</v>
      </c>
      <c r="AR1074" s="19" t="n">
        <v>92553.2038810447</v>
      </c>
    </row>
    <row r="1075" customFormat="false" ht="15" hidden="false" customHeight="false" outlineLevel="0" collapsed="false">
      <c r="A1075" s="18" t="n">
        <v>46136</v>
      </c>
      <c r="B1075" s="19" t="n">
        <v>3300662588.13</v>
      </c>
      <c r="C1075" s="19" t="n">
        <v>2242972827.58</v>
      </c>
      <c r="D1075" s="19" t="n">
        <v>84954703</v>
      </c>
      <c r="E1075" s="21" t="n">
        <f aca="false">B1075+C1075</f>
        <v>5543635415.71</v>
      </c>
      <c r="F1075" s="21" t="n">
        <f aca="false">E1075+D1075</f>
        <v>5628590118.71</v>
      </c>
      <c r="G1075" s="22" t="n">
        <f aca="false">IFERROR(C1075/E1075,0)</f>
        <v>0.404603235851998</v>
      </c>
      <c r="H1075" s="19" t="n">
        <v>1542035</v>
      </c>
      <c r="I1075" s="19" t="n">
        <v>44984</v>
      </c>
      <c r="J1075" s="19" t="n">
        <v>14239</v>
      </c>
      <c r="K1075" s="21" t="n">
        <f aca="false">H1075+I1075</f>
        <v>1587019</v>
      </c>
      <c r="L1075" s="19" t="n">
        <v>77161.9090408034</v>
      </c>
      <c r="M1075" s="21" t="n">
        <f aca="false">H1075-L1075</f>
        <v>1464873.0909592</v>
      </c>
      <c r="N1075" s="23" t="n">
        <f aca="false">IFERROR(M1075/B1075*10000,0)</f>
        <v>4.43811826215513</v>
      </c>
      <c r="O1075" s="19" t="n">
        <v>1378198</v>
      </c>
      <c r="P1075" s="19" t="n">
        <v>31477</v>
      </c>
      <c r="Q1075" s="21" t="n">
        <f aca="false">O1075+P1075</f>
        <v>1409675</v>
      </c>
      <c r="R1075" s="22" t="n">
        <f aca="false">IF(A1075&lt;HlpChangeDate,HlpSharePre,HlpSharePost)</f>
        <v>0.01</v>
      </c>
      <c r="S1075" s="21" t="n">
        <f aca="false">Q1075*R1075/(1-R1075)</f>
        <v>14239.1414141414</v>
      </c>
      <c r="T1075" s="19" t="n">
        <v>14239</v>
      </c>
      <c r="U1075" s="21" t="n">
        <f aca="false">S1075-T1075</f>
        <v>0.141414141413406</v>
      </c>
      <c r="V1075" s="21" t="n">
        <f aca="false">Y1075-O1075*R1075/(1-R1075)</f>
        <v>149915.808080808</v>
      </c>
      <c r="W1075" s="21" t="n">
        <f aca="false">Z1075-P1075*R1075/(1-R1075)</f>
        <v>13189.0505050505</v>
      </c>
      <c r="X1075" s="21" t="n">
        <f aca="false">S1075+V1075+W1075</f>
        <v>177344</v>
      </c>
      <c r="Y1075" s="19" t="n">
        <v>163837</v>
      </c>
      <c r="Z1075" s="19" t="n">
        <v>13507</v>
      </c>
      <c r="AA1075" s="19" t="n">
        <v>1409675</v>
      </c>
      <c r="AB1075" s="29" t="n">
        <v>41.173</v>
      </c>
      <c r="AC1075" s="29" t="n">
        <v>41.1765</v>
      </c>
      <c r="AD1075" s="24" t="n">
        <f aca="false">IFERROR(AA1075/AC1075,0)</f>
        <v>34234.9398321858</v>
      </c>
      <c r="AE1075" s="25" t="n">
        <f aca="false">K1075-Q1075-X1075</f>
        <v>0</v>
      </c>
      <c r="AF1075" s="25" t="n">
        <f aca="false">Q1075-AA1075</f>
        <v>0</v>
      </c>
      <c r="AG1075" s="19" t="n">
        <v>1120278.02518702</v>
      </c>
      <c r="AH1075" s="26" t="n">
        <f aca="false">IFERROR(AG1075/Q1075,0)</f>
        <v>0.794706599171452</v>
      </c>
      <c r="AI1075" s="27" t="n">
        <v>431560448.589862</v>
      </c>
      <c r="AJ1075" s="26" t="n">
        <f aca="false">IF(AI1075&gt;0,AprCoef/SQRT(AI1075),0)</f>
        <v>0.0228169464818711</v>
      </c>
      <c r="AK1075" s="24" t="n">
        <f aca="false">AI1075*AJ1075/365</f>
        <v>26977.7853675813</v>
      </c>
      <c r="AL1075" s="24" t="n">
        <f aca="false">AD1075</f>
        <v>34234.9398321858</v>
      </c>
      <c r="AM1075" s="24" t="n">
        <f aca="false">AK1075-AL1075</f>
        <v>-7257.15446460458</v>
      </c>
      <c r="AN1075" s="28" t="str">
        <f aca="false">IF(A1075&gt;=Hip3LaunchDate,"YES","")</f>
        <v>YES</v>
      </c>
      <c r="AO1075" s="28" t="str">
        <f aca="false">IF(A1075&lt;Hip4LaunchDate,"pre-launch","live (zero-fee)")</f>
        <v>pre-launch</v>
      </c>
      <c r="AP1075" s="30" t="n">
        <v>135</v>
      </c>
      <c r="AQ1075" s="30" t="n">
        <v>100</v>
      </c>
      <c r="AR1075" s="19" t="n">
        <v>75245.850394137</v>
      </c>
    </row>
    <row r="1076" customFormat="false" ht="15" hidden="false" customHeight="false" outlineLevel="0" collapsed="false">
      <c r="A1076" s="18" t="n">
        <v>46137</v>
      </c>
      <c r="B1076" s="19" t="n">
        <v>1383524813.59</v>
      </c>
      <c r="C1076" s="19" t="n">
        <v>316992190.48</v>
      </c>
      <c r="D1076" s="19" t="n">
        <v>42520081</v>
      </c>
      <c r="E1076" s="21" t="n">
        <f aca="false">B1076+C1076</f>
        <v>1700517004.07</v>
      </c>
      <c r="F1076" s="21" t="n">
        <f aca="false">E1076+D1076</f>
        <v>1743037085.07</v>
      </c>
      <c r="G1076" s="22" t="n">
        <f aca="false">IFERROR(C1076/E1076,0)</f>
        <v>0.186409303594915</v>
      </c>
      <c r="H1076" s="19" t="n">
        <v>617869</v>
      </c>
      <c r="I1076" s="19" t="n">
        <v>28026</v>
      </c>
      <c r="J1076" s="19" t="n">
        <v>5717</v>
      </c>
      <c r="K1076" s="21" t="n">
        <f aca="false">H1076+I1076</f>
        <v>645895</v>
      </c>
      <c r="L1076" s="19" t="n">
        <v>13183.3701142113</v>
      </c>
      <c r="M1076" s="21" t="n">
        <f aca="false">H1076-L1076</f>
        <v>604685.629885789</v>
      </c>
      <c r="N1076" s="23" t="n">
        <f aca="false">IFERROR(M1076/B1076*10000,0)</f>
        <v>4.3706164424817</v>
      </c>
      <c r="O1076" s="19" t="n">
        <v>544670</v>
      </c>
      <c r="P1076" s="19" t="n">
        <v>21311</v>
      </c>
      <c r="Q1076" s="21" t="n">
        <f aca="false">O1076+P1076</f>
        <v>565981</v>
      </c>
      <c r="R1076" s="22" t="n">
        <f aca="false">IF(A1076&lt;HlpChangeDate,HlpSharePre,HlpSharePost)</f>
        <v>0.01</v>
      </c>
      <c r="S1076" s="21" t="n">
        <f aca="false">Q1076*R1076/(1-R1076)</f>
        <v>5716.9797979798</v>
      </c>
      <c r="T1076" s="19" t="n">
        <v>5717</v>
      </c>
      <c r="U1076" s="21" t="n">
        <f aca="false">S1076-T1076</f>
        <v>-0.0202020202013955</v>
      </c>
      <c r="V1076" s="21" t="n">
        <f aca="false">Y1076-O1076*R1076/(1-R1076)</f>
        <v>67697.2828282828</v>
      </c>
      <c r="W1076" s="21" t="n">
        <f aca="false">Z1076-P1076*R1076/(1-R1076)</f>
        <v>6499.73737373737</v>
      </c>
      <c r="X1076" s="21" t="n">
        <f aca="false">S1076+V1076+W1076</f>
        <v>79914</v>
      </c>
      <c r="Y1076" s="19" t="n">
        <v>73199</v>
      </c>
      <c r="Z1076" s="19" t="n">
        <v>6715</v>
      </c>
      <c r="AA1076" s="19" t="n">
        <v>565981</v>
      </c>
      <c r="AB1076" s="29" t="n">
        <v>41.506</v>
      </c>
      <c r="AC1076" s="29" t="n">
        <v>41.3545</v>
      </c>
      <c r="AD1076" s="24" t="n">
        <f aca="false">IFERROR(AA1076/AC1076,0)</f>
        <v>13686.0801122006</v>
      </c>
      <c r="AE1076" s="25" t="n">
        <f aca="false">K1076-Q1076-X1076</f>
        <v>0</v>
      </c>
      <c r="AF1076" s="25" t="n">
        <f aca="false">Q1076-AA1076</f>
        <v>0</v>
      </c>
      <c r="AG1076" s="19" t="n">
        <v>454195.676323891</v>
      </c>
      <c r="AH1076" s="26" t="n">
        <f aca="false">IFERROR(AG1076/Q1076,0)</f>
        <v>0.802492798033663</v>
      </c>
      <c r="AI1076" s="27" t="n">
        <v>431715215.336406</v>
      </c>
      <c r="AJ1076" s="26" t="n">
        <f aca="false">IF(AI1076&gt;0,AprCoef/SQRT(AI1076),0)</f>
        <v>0.0228128562610599</v>
      </c>
      <c r="AK1076" s="24" t="n">
        <f aca="false">AI1076*AJ1076/365</f>
        <v>26982.6223374848</v>
      </c>
      <c r="AL1076" s="24" t="n">
        <f aca="false">AD1076</f>
        <v>13686.0801122006</v>
      </c>
      <c r="AM1076" s="24" t="n">
        <f aca="false">AK1076-AL1076</f>
        <v>13296.5422252842</v>
      </c>
      <c r="AN1076" s="28" t="str">
        <f aca="false">IF(A1076&gt;=Hip3LaunchDate,"YES","")</f>
        <v>YES</v>
      </c>
      <c r="AO1076" s="28" t="str">
        <f aca="false">IF(A1076&lt;Hip4LaunchDate,"pre-launch","live (zero-fee)")</f>
        <v>pre-launch</v>
      </c>
      <c r="AP1076" s="30" t="n">
        <v>135</v>
      </c>
      <c r="AQ1076" s="30" t="n">
        <v>100</v>
      </c>
      <c r="AR1076" s="19" t="n">
        <v>11835.1099877075</v>
      </c>
    </row>
    <row r="1077" customFormat="false" ht="15" hidden="false" customHeight="false" outlineLevel="0" collapsed="false">
      <c r="A1077" s="18" t="n">
        <v>46138</v>
      </c>
      <c r="B1077" s="19" t="n">
        <v>2132404227.89</v>
      </c>
      <c r="C1077" s="19" t="n">
        <v>557229313.71</v>
      </c>
      <c r="D1077" s="19" t="n">
        <v>64354684</v>
      </c>
      <c r="E1077" s="21" t="n">
        <f aca="false">B1077+C1077</f>
        <v>2689633541.6</v>
      </c>
      <c r="F1077" s="21" t="n">
        <f aca="false">E1077+D1077</f>
        <v>2753988225.6</v>
      </c>
      <c r="G1077" s="22" t="n">
        <f aca="false">IFERROR(C1077/E1077,0)</f>
        <v>0.207176667412661</v>
      </c>
      <c r="H1077" s="19" t="n">
        <v>944308</v>
      </c>
      <c r="I1077" s="19" t="n">
        <v>38494</v>
      </c>
      <c r="J1077" s="19" t="n">
        <v>8883</v>
      </c>
      <c r="K1077" s="21" t="n">
        <f aca="false">H1077+I1077</f>
        <v>982802</v>
      </c>
      <c r="L1077" s="19" t="n">
        <v>36281.9652420187</v>
      </c>
      <c r="M1077" s="21" t="n">
        <f aca="false">H1077-L1077</f>
        <v>908026.034757981</v>
      </c>
      <c r="N1077" s="23" t="n">
        <f aca="false">IFERROR(M1077/B1077*10000,0)</f>
        <v>4.2582265730005</v>
      </c>
      <c r="O1077" s="19" t="n">
        <v>852067</v>
      </c>
      <c r="P1077" s="19" t="n">
        <v>27303</v>
      </c>
      <c r="Q1077" s="21" t="n">
        <f aca="false">O1077+P1077</f>
        <v>879370</v>
      </c>
      <c r="R1077" s="22" t="n">
        <f aca="false">IF(A1077&lt;HlpChangeDate,HlpSharePre,HlpSharePost)</f>
        <v>0.01</v>
      </c>
      <c r="S1077" s="21" t="n">
        <f aca="false">Q1077*R1077/(1-R1077)</f>
        <v>8882.52525252525</v>
      </c>
      <c r="T1077" s="19" t="n">
        <v>8883</v>
      </c>
      <c r="U1077" s="21" t="n">
        <f aca="false">S1077-T1077</f>
        <v>-0.474747474747346</v>
      </c>
      <c r="V1077" s="21" t="n">
        <f aca="false">Y1077-O1077*R1077/(1-R1077)</f>
        <v>83634.2626262626</v>
      </c>
      <c r="W1077" s="21" t="n">
        <f aca="false">Z1077-P1077*R1077/(1-R1077)</f>
        <v>10916.2121212121</v>
      </c>
      <c r="X1077" s="21" t="n">
        <f aca="false">S1077+V1077+W1077</f>
        <v>103433</v>
      </c>
      <c r="Y1077" s="19" t="n">
        <v>92241</v>
      </c>
      <c r="Z1077" s="19" t="n">
        <v>11192</v>
      </c>
      <c r="AA1077" s="19" t="n">
        <v>879370</v>
      </c>
      <c r="AB1077" s="29" t="n">
        <v>42.47</v>
      </c>
      <c r="AC1077" s="29" t="n">
        <v>41.8905</v>
      </c>
      <c r="AD1077" s="24" t="n">
        <f aca="false">IFERROR(AA1077/AC1077,0)</f>
        <v>20992.1103830224</v>
      </c>
      <c r="AE1077" s="25" t="n">
        <f aca="false">K1077-Q1077-X1077</f>
        <v>-1.00000000001455</v>
      </c>
      <c r="AF1077" s="25" t="n">
        <f aca="false">Q1077-AA1077</f>
        <v>0</v>
      </c>
      <c r="AG1077" s="19" t="n">
        <v>719098.994750023</v>
      </c>
      <c r="AH1077" s="26" t="n">
        <f aca="false">IFERROR(AG1077/Q1077,0)</f>
        <v>0.817743378498269</v>
      </c>
      <c r="AI1077" s="27" t="n">
        <v>431869982.082949</v>
      </c>
      <c r="AJ1077" s="26" t="n">
        <f aca="false">IF(AI1077&gt;0,AprCoef/SQRT(AI1077),0)</f>
        <v>0.022808768239129</v>
      </c>
      <c r="AK1077" s="24" t="n">
        <f aca="false">AI1077*AJ1077/365</f>
        <v>26987.4584404569</v>
      </c>
      <c r="AL1077" s="24" t="n">
        <f aca="false">AD1077</f>
        <v>20992.1103830224</v>
      </c>
      <c r="AM1077" s="24" t="n">
        <f aca="false">AK1077-AL1077</f>
        <v>5995.34805743452</v>
      </c>
      <c r="AN1077" s="28" t="str">
        <f aca="false">IF(A1077&gt;=Hip3LaunchDate,"YES","")</f>
        <v>YES</v>
      </c>
      <c r="AO1077" s="28" t="str">
        <f aca="false">IF(A1077&lt;Hip4LaunchDate,"pre-launch","live (zero-fee)")</f>
        <v>pre-launch</v>
      </c>
      <c r="AP1077" s="30" t="n">
        <v>135</v>
      </c>
      <c r="AQ1077" s="30" t="n">
        <v>100</v>
      </c>
      <c r="AR1077" s="19" t="n">
        <v>34153.6914346518</v>
      </c>
    </row>
    <row r="1078" customFormat="false" ht="15" hidden="false" customHeight="false" outlineLevel="0" collapsed="false">
      <c r="A1078" s="18" t="n">
        <v>46139</v>
      </c>
      <c r="B1078" s="19" t="n">
        <v>4064087617.71</v>
      </c>
      <c r="C1078" s="19" t="n">
        <v>1708185313.89</v>
      </c>
      <c r="D1078" s="19" t="n">
        <v>100460569</v>
      </c>
      <c r="E1078" s="21" t="n">
        <f aca="false">B1078+C1078</f>
        <v>5772272931.6</v>
      </c>
      <c r="F1078" s="21" t="n">
        <f aca="false">E1078+D1078</f>
        <v>5872733500.6</v>
      </c>
      <c r="G1078" s="22" t="n">
        <f aca="false">IFERROR(C1078/E1078,0)</f>
        <v>0.295929408420491</v>
      </c>
      <c r="H1078" s="19" t="n">
        <v>1773183</v>
      </c>
      <c r="I1078" s="19" t="n">
        <v>58044</v>
      </c>
      <c r="J1078" s="19" t="n">
        <v>16617</v>
      </c>
      <c r="K1078" s="21" t="n">
        <f aca="false">H1078+I1078</f>
        <v>1831227</v>
      </c>
      <c r="L1078" s="19" t="n">
        <v>65506.6839680371</v>
      </c>
      <c r="M1078" s="21" t="n">
        <f aca="false">H1078-L1078</f>
        <v>1707676.31603196</v>
      </c>
      <c r="N1078" s="23" t="n">
        <f aca="false">IFERROR(M1078/B1078*10000,0)</f>
        <v>4.2018688489649</v>
      </c>
      <c r="O1078" s="19" t="n">
        <v>1604588</v>
      </c>
      <c r="P1078" s="19" t="n">
        <v>40452</v>
      </c>
      <c r="Q1078" s="21" t="n">
        <f aca="false">O1078+P1078</f>
        <v>1645040</v>
      </c>
      <c r="R1078" s="22" t="n">
        <f aca="false">IF(A1078&lt;HlpChangeDate,HlpSharePre,HlpSharePost)</f>
        <v>0.01</v>
      </c>
      <c r="S1078" s="21" t="n">
        <f aca="false">Q1078*R1078/(1-R1078)</f>
        <v>16616.5656565657</v>
      </c>
      <c r="T1078" s="19" t="n">
        <v>16617</v>
      </c>
      <c r="U1078" s="21" t="n">
        <f aca="false">S1078-T1078</f>
        <v>-0.434343434342736</v>
      </c>
      <c r="V1078" s="21" t="n">
        <f aca="false">Y1078-O1078*R1078/(1-R1078)</f>
        <v>152386.04040404</v>
      </c>
      <c r="W1078" s="21" t="n">
        <f aca="false">Z1078-P1078*R1078/(1-R1078)</f>
        <v>17183.3939393939</v>
      </c>
      <c r="X1078" s="21" t="n">
        <f aca="false">S1078+V1078+W1078</f>
        <v>186186</v>
      </c>
      <c r="Y1078" s="19" t="n">
        <v>168594</v>
      </c>
      <c r="Z1078" s="19" t="n">
        <v>17592</v>
      </c>
      <c r="AA1078" s="19" t="n">
        <v>1645040</v>
      </c>
      <c r="AB1078" s="29" t="n">
        <v>41.671</v>
      </c>
      <c r="AC1078" s="29" t="n">
        <v>42.243</v>
      </c>
      <c r="AD1078" s="24" t="n">
        <f aca="false">IFERROR(AA1078/AC1078,0)</f>
        <v>38942.3099685155</v>
      </c>
      <c r="AE1078" s="25" t="n">
        <f aca="false">K1078-Q1078-X1078</f>
        <v>1</v>
      </c>
      <c r="AF1078" s="25" t="n">
        <f aca="false">Q1078-AA1078</f>
        <v>0</v>
      </c>
      <c r="AG1078" s="19" t="n">
        <v>1391263.61431098</v>
      </c>
      <c r="AH1078" s="26" t="n">
        <f aca="false">IFERROR(AG1078/Q1078,0)</f>
        <v>0.845732392106563</v>
      </c>
      <c r="AI1078" s="27" t="n">
        <v>432024748.829493</v>
      </c>
      <c r="AJ1078" s="26" t="n">
        <f aca="false">IF(AI1078&gt;0,AprCoef/SQRT(AI1078),0)</f>
        <v>0.0228046824141087</v>
      </c>
      <c r="AK1078" s="24" t="n">
        <f aca="false">AI1078*AJ1078/365</f>
        <v>26992.2936769635</v>
      </c>
      <c r="AL1078" s="24" t="n">
        <f aca="false">AD1078</f>
        <v>38942.3099685155</v>
      </c>
      <c r="AM1078" s="24" t="n">
        <f aca="false">AK1078-AL1078</f>
        <v>-11950.016291552</v>
      </c>
      <c r="AN1078" s="28" t="str">
        <f aca="false">IF(A1078&gt;=Hip3LaunchDate,"YES","")</f>
        <v>YES</v>
      </c>
      <c r="AO1078" s="28" t="str">
        <f aca="false">IF(A1078&lt;Hip4LaunchDate,"pre-launch","live (zero-fee)")</f>
        <v>pre-launch</v>
      </c>
      <c r="AP1078" s="30" t="n">
        <v>135</v>
      </c>
      <c r="AQ1078" s="30" t="n">
        <v>100</v>
      </c>
      <c r="AR1078" s="19" t="n">
        <v>62236.3836867077</v>
      </c>
    </row>
    <row r="1079" customFormat="false" ht="15" hidden="false" customHeight="false" outlineLevel="0" collapsed="false">
      <c r="A1079" s="18" t="n">
        <v>46140</v>
      </c>
      <c r="B1079" s="19" t="n">
        <v>3424089671.57</v>
      </c>
      <c r="C1079" s="19" t="n">
        <v>2420831169.74</v>
      </c>
      <c r="D1079" s="19" t="n">
        <v>90874010</v>
      </c>
      <c r="E1079" s="21" t="n">
        <f aca="false">B1079+C1079</f>
        <v>5844920841.31</v>
      </c>
      <c r="F1079" s="21" t="n">
        <f aca="false">E1079+D1079</f>
        <v>5935794851.31</v>
      </c>
      <c r="G1079" s="22" t="n">
        <f aca="false">IFERROR(C1079/E1079,0)</f>
        <v>0.414176895712659</v>
      </c>
      <c r="H1079" s="19" t="n">
        <v>1660525</v>
      </c>
      <c r="I1079" s="19" t="n">
        <v>51372</v>
      </c>
      <c r="J1079" s="19" t="n">
        <v>15662</v>
      </c>
      <c r="K1079" s="21" t="n">
        <f aca="false">H1079+I1079</f>
        <v>1711897</v>
      </c>
      <c r="L1079" s="19" t="n">
        <v>93204.7911787844</v>
      </c>
      <c r="M1079" s="21" t="n">
        <f aca="false">H1079-L1079</f>
        <v>1567320.20882122</v>
      </c>
      <c r="N1079" s="23" t="n">
        <f aca="false">IFERROR(M1079/B1079*10000,0)</f>
        <v>4.57733400452265</v>
      </c>
      <c r="O1079" s="19" t="n">
        <v>1509187</v>
      </c>
      <c r="P1079" s="19" t="n">
        <v>41351</v>
      </c>
      <c r="Q1079" s="21" t="n">
        <f aca="false">O1079+P1079</f>
        <v>1550538</v>
      </c>
      <c r="R1079" s="22" t="n">
        <f aca="false">IF(A1079&lt;HlpChangeDate,HlpSharePre,HlpSharePost)</f>
        <v>0.01</v>
      </c>
      <c r="S1079" s="21" t="n">
        <f aca="false">Q1079*R1079/(1-R1079)</f>
        <v>15662</v>
      </c>
      <c r="T1079" s="19" t="n">
        <v>15662</v>
      </c>
      <c r="U1079" s="21" t="n">
        <f aca="false">S1079-T1079</f>
        <v>0</v>
      </c>
      <c r="V1079" s="21" t="n">
        <f aca="false">Y1079-O1079*R1079/(1-R1079)</f>
        <v>136093.686868687</v>
      </c>
      <c r="W1079" s="21" t="n">
        <f aca="false">Z1079-P1079*R1079/(1-R1079)</f>
        <v>9603.31313131313</v>
      </c>
      <c r="X1079" s="21" t="n">
        <f aca="false">S1079+V1079+W1079</f>
        <v>161359</v>
      </c>
      <c r="Y1079" s="19" t="n">
        <v>151338</v>
      </c>
      <c r="Z1079" s="19" t="n">
        <v>10021</v>
      </c>
      <c r="AA1079" s="19" t="n">
        <v>1550538</v>
      </c>
      <c r="AB1079" s="29" t="n">
        <v>40.18</v>
      </c>
      <c r="AC1079" s="29" t="n">
        <v>40.7835</v>
      </c>
      <c r="AD1079" s="24" t="n">
        <f aca="false">IFERROR(AA1079/AC1079,0)</f>
        <v>38018.7575857884</v>
      </c>
      <c r="AE1079" s="25" t="n">
        <f aca="false">K1079-Q1079-X1079</f>
        <v>0</v>
      </c>
      <c r="AF1079" s="25" t="n">
        <f aca="false">Q1079-AA1079</f>
        <v>0</v>
      </c>
      <c r="AG1079" s="19" t="n">
        <v>1240157.44625711</v>
      </c>
      <c r="AH1079" s="26" t="n">
        <f aca="false">IFERROR(AG1079/Q1079,0)</f>
        <v>0.799823961913293</v>
      </c>
      <c r="AI1079" s="27" t="n">
        <v>432179515.576037</v>
      </c>
      <c r="AJ1079" s="26" t="n">
        <f aca="false">IF(AI1079&gt;0,AprCoef/SQRT(AI1079),0)</f>
        <v>0.0228005987840321</v>
      </c>
      <c r="AK1079" s="24" t="n">
        <f aca="false">AI1079*AJ1079/365</f>
        <v>26997.1280474701</v>
      </c>
      <c r="AL1079" s="24" t="n">
        <f aca="false">AD1079</f>
        <v>38018.7575857884</v>
      </c>
      <c r="AM1079" s="24" t="n">
        <f aca="false">AK1079-AL1079</f>
        <v>-11021.6295383183</v>
      </c>
      <c r="AN1079" s="28" t="str">
        <f aca="false">IF(A1079&gt;=Hip3LaunchDate,"YES","")</f>
        <v>YES</v>
      </c>
      <c r="AO1079" s="28" t="str">
        <f aca="false">IF(A1079&lt;Hip4LaunchDate,"pre-launch","live (zero-fee)")</f>
        <v>pre-launch</v>
      </c>
      <c r="AP1079" s="30" t="n">
        <v>135</v>
      </c>
      <c r="AQ1079" s="30" t="n">
        <v>100</v>
      </c>
      <c r="AR1079" s="19" t="n">
        <v>91773.2305050385</v>
      </c>
    </row>
    <row r="1080" customFormat="false" ht="15" hidden="false" customHeight="false" outlineLevel="0" collapsed="false">
      <c r="A1080" s="18" t="n">
        <v>46141</v>
      </c>
      <c r="B1080" s="19" t="n">
        <v>4854199470.97</v>
      </c>
      <c r="C1080" s="19" t="n">
        <v>2933014955.94</v>
      </c>
      <c r="D1080" s="19" t="n">
        <v>105796892</v>
      </c>
      <c r="E1080" s="21" t="n">
        <f aca="false">B1080+C1080</f>
        <v>7787214426.91</v>
      </c>
      <c r="F1080" s="21" t="n">
        <f aca="false">E1080+D1080</f>
        <v>7893011318.91</v>
      </c>
      <c r="G1080" s="22" t="n">
        <f aca="false">IFERROR(C1080/E1080,0)</f>
        <v>0.376644945823565</v>
      </c>
      <c r="H1080" s="19" t="n">
        <v>2243462</v>
      </c>
      <c r="I1080" s="19" t="n">
        <v>54836</v>
      </c>
      <c r="J1080" s="19" t="n">
        <v>20928</v>
      </c>
      <c r="K1080" s="21" t="n">
        <f aca="false">H1080+I1080</f>
        <v>2298298</v>
      </c>
      <c r="L1080" s="19" t="n">
        <v>108418.752434193</v>
      </c>
      <c r="M1080" s="21" t="n">
        <f aca="false">H1080-L1080</f>
        <v>2135043.24756581</v>
      </c>
      <c r="N1080" s="23" t="n">
        <f aca="false">IFERROR(M1080/B1080*10000,0)</f>
        <v>4.39834263164132</v>
      </c>
      <c r="O1080" s="19" t="n">
        <v>2033687</v>
      </c>
      <c r="P1080" s="19" t="n">
        <v>38117</v>
      </c>
      <c r="Q1080" s="21" t="n">
        <f aca="false">O1080+P1080</f>
        <v>2071804</v>
      </c>
      <c r="R1080" s="22" t="n">
        <f aca="false">IF(A1080&lt;HlpChangeDate,HlpSharePre,HlpSharePost)</f>
        <v>0.01</v>
      </c>
      <c r="S1080" s="21" t="n">
        <f aca="false">Q1080*R1080/(1-R1080)</f>
        <v>20927.3131313131</v>
      </c>
      <c r="T1080" s="19" t="n">
        <v>20928</v>
      </c>
      <c r="U1080" s="21" t="n">
        <f aca="false">S1080-T1080</f>
        <v>-0.686868686869275</v>
      </c>
      <c r="V1080" s="21" t="n">
        <f aca="false">Y1080-O1080*R1080/(1-R1080)</f>
        <v>189232.707070707</v>
      </c>
      <c r="W1080" s="21" t="n">
        <f aca="false">Z1080-P1080*R1080/(1-R1080)</f>
        <v>16333.9797979798</v>
      </c>
      <c r="X1080" s="21" t="n">
        <f aca="false">S1080+V1080+W1080</f>
        <v>226494</v>
      </c>
      <c r="Y1080" s="19" t="n">
        <v>209775</v>
      </c>
      <c r="Z1080" s="19" t="n">
        <v>16719</v>
      </c>
      <c r="AA1080" s="19" t="n">
        <v>2071804</v>
      </c>
      <c r="AB1080" s="29" t="n">
        <v>39.957</v>
      </c>
      <c r="AC1080" s="29" t="n">
        <v>40.0465</v>
      </c>
      <c r="AD1080" s="24" t="n">
        <f aca="false">IFERROR(AA1080/AC1080,0)</f>
        <v>51734.9581111957</v>
      </c>
      <c r="AE1080" s="25" t="n">
        <f aca="false">K1080-Q1080-X1080</f>
        <v>0</v>
      </c>
      <c r="AF1080" s="25" t="n">
        <f aca="false">Q1080-AA1080</f>
        <v>0</v>
      </c>
      <c r="AG1080" s="19" t="n">
        <v>1695127.51288605</v>
      </c>
      <c r="AH1080" s="26" t="n">
        <f aca="false">IFERROR(AG1080/Q1080,0)</f>
        <v>0.818189130287444</v>
      </c>
      <c r="AI1080" s="27" t="n">
        <v>432334282.322581</v>
      </c>
      <c r="AJ1080" s="26" t="n">
        <f aca="false">IF(AI1080&gt;0,AprCoef/SQRT(AI1080),0)</f>
        <v>0.0227965173469348</v>
      </c>
      <c r="AK1080" s="24" t="n">
        <f aca="false">AI1080*AJ1080/365</f>
        <v>27001.9615524419</v>
      </c>
      <c r="AL1080" s="24" t="n">
        <f aca="false">AD1080</f>
        <v>51734.9581111957</v>
      </c>
      <c r="AM1080" s="24" t="n">
        <f aca="false">AK1080-AL1080</f>
        <v>-24732.9965587538</v>
      </c>
      <c r="AN1080" s="28" t="str">
        <f aca="false">IF(A1080&gt;=Hip3LaunchDate,"YES","")</f>
        <v>YES</v>
      </c>
      <c r="AO1080" s="28" t="str">
        <f aca="false">IF(A1080&lt;Hip4LaunchDate,"pre-launch","live (zero-fee)")</f>
        <v>pre-launch</v>
      </c>
      <c r="AP1080" s="30" t="n">
        <v>135</v>
      </c>
      <c r="AQ1080" s="30" t="n">
        <v>100</v>
      </c>
      <c r="AR1080" s="19" t="n">
        <v>106289.884486437</v>
      </c>
    </row>
    <row r="1081" customFormat="false" ht="15" hidden="false" customHeight="false" outlineLevel="0" collapsed="false">
      <c r="A1081" s="18" t="n">
        <v>46142</v>
      </c>
      <c r="B1081" s="19" t="n">
        <v>3653523406.19</v>
      </c>
      <c r="C1081" s="19" t="n">
        <v>2856832342.69</v>
      </c>
      <c r="D1081" s="19" t="n">
        <v>89686875</v>
      </c>
      <c r="E1081" s="21" t="n">
        <f aca="false">B1081+C1081</f>
        <v>6510355748.88</v>
      </c>
      <c r="F1081" s="21" t="n">
        <f aca="false">E1081+D1081</f>
        <v>6600042623.88</v>
      </c>
      <c r="G1081" s="22" t="n">
        <f aca="false">IFERROR(C1081/E1081,0)</f>
        <v>0.438813553803334</v>
      </c>
      <c r="H1081" s="19" t="n">
        <v>1825340</v>
      </c>
      <c r="I1081" s="19" t="n">
        <v>44667</v>
      </c>
      <c r="J1081" s="19" t="n">
        <v>16537</v>
      </c>
      <c r="K1081" s="21" t="n">
        <f aca="false">H1081+I1081</f>
        <v>1870007</v>
      </c>
      <c r="L1081" s="19" t="n">
        <v>106353.317415648</v>
      </c>
      <c r="M1081" s="21" t="n">
        <f aca="false">H1081-L1081</f>
        <v>1718986.68258435</v>
      </c>
      <c r="N1081" s="23" t="n">
        <f aca="false">IFERROR(M1081/B1081*10000,0)</f>
        <v>4.70501072929203</v>
      </c>
      <c r="O1081" s="19" t="n">
        <v>1603787</v>
      </c>
      <c r="P1081" s="19" t="n">
        <v>33383</v>
      </c>
      <c r="Q1081" s="21" t="n">
        <f aca="false">O1081+P1081</f>
        <v>1637170</v>
      </c>
      <c r="R1081" s="22" t="n">
        <f aca="false">IF(A1081&lt;HlpChangeDate,HlpSharePre,HlpSharePost)</f>
        <v>0.01</v>
      </c>
      <c r="S1081" s="21" t="n">
        <f aca="false">Q1081*R1081/(1-R1081)</f>
        <v>16537.0707070707</v>
      </c>
      <c r="T1081" s="19" t="n">
        <v>16537</v>
      </c>
      <c r="U1081" s="21" t="n">
        <f aca="false">S1081-T1081</f>
        <v>0.0707070707067032</v>
      </c>
      <c r="V1081" s="21" t="n">
        <f aca="false">Y1081-O1081*R1081/(1-R1081)</f>
        <v>205352.131313131</v>
      </c>
      <c r="W1081" s="21" t="n">
        <f aca="false">Z1081-P1081*R1081/(1-R1081)</f>
        <v>10946.797979798</v>
      </c>
      <c r="X1081" s="21" t="n">
        <f aca="false">S1081+V1081+W1081</f>
        <v>232836</v>
      </c>
      <c r="Y1081" s="19" t="n">
        <v>221552</v>
      </c>
      <c r="Z1081" s="19" t="n">
        <v>11284</v>
      </c>
      <c r="AA1081" s="19" t="n">
        <v>1637170</v>
      </c>
      <c r="AB1081" s="29" t="n">
        <v>39.716</v>
      </c>
      <c r="AC1081" s="29" t="n">
        <v>39.69475</v>
      </c>
      <c r="AD1081" s="24" t="n">
        <f aca="false">IFERROR(AA1081/AC1081,0)</f>
        <v>41243.9932232852</v>
      </c>
      <c r="AE1081" s="25" t="n">
        <f aca="false">K1081-Q1081-X1081</f>
        <v>1</v>
      </c>
      <c r="AF1081" s="25" t="n">
        <f aca="false">Q1081-AA1081</f>
        <v>0</v>
      </c>
      <c r="AG1081" s="19" t="n">
        <v>1283995.03754401</v>
      </c>
      <c r="AH1081" s="26" t="n">
        <f aca="false">IFERROR(AG1081/Q1081,0)</f>
        <v>0.784277159698756</v>
      </c>
      <c r="AI1081" s="27" t="n">
        <v>432489049.069124</v>
      </c>
      <c r="AJ1081" s="26" t="n">
        <f aca="false">IF(AI1081&gt;0,AprCoef/SQRT(AI1081),0)</f>
        <v>0.0227924381008544</v>
      </c>
      <c r="AK1081" s="24" t="n">
        <f aca="false">AI1081*AJ1081/365</f>
        <v>27006.7941923436</v>
      </c>
      <c r="AL1081" s="24" t="n">
        <f aca="false">AD1081</f>
        <v>41243.9932232852</v>
      </c>
      <c r="AM1081" s="24" t="n">
        <f aca="false">AK1081-AL1081</f>
        <v>-14237.1990309416</v>
      </c>
      <c r="AN1081" s="28" t="str">
        <f aca="false">IF(A1081&gt;=Hip3LaunchDate,"YES","")</f>
        <v>YES</v>
      </c>
      <c r="AO1081" s="28" t="str">
        <f aca="false">IF(A1081&lt;Hip4LaunchDate,"pre-launch","live (zero-fee)")</f>
        <v>pre-launch</v>
      </c>
      <c r="AP1081" s="30" t="n">
        <v>137</v>
      </c>
      <c r="AQ1081" s="30" t="n">
        <v>102</v>
      </c>
      <c r="AR1081" s="19" t="n">
        <v>105234.232204947</v>
      </c>
    </row>
    <row r="1082" customFormat="false" ht="15" hidden="false" customHeight="false" outlineLevel="0" collapsed="false">
      <c r="A1082" s="18" t="n">
        <v>46143</v>
      </c>
      <c r="B1082" s="19" t="n">
        <v>3909311276.87</v>
      </c>
      <c r="C1082" s="19" t="n">
        <v>2322920331</v>
      </c>
      <c r="D1082" s="19" t="n">
        <v>108148310</v>
      </c>
      <c r="E1082" s="21" t="n">
        <f aca="false">B1082+C1082</f>
        <v>6232231607.87</v>
      </c>
      <c r="F1082" s="21" t="n">
        <f aca="false">E1082+D1082</f>
        <v>6340379917.87</v>
      </c>
      <c r="G1082" s="22" t="n">
        <f aca="false">IFERROR(C1082/E1082,0)</f>
        <v>0.372726894178105</v>
      </c>
      <c r="H1082" s="19" t="n">
        <v>1763950</v>
      </c>
      <c r="I1082" s="19" t="n">
        <v>56089</v>
      </c>
      <c r="J1082" s="19" t="n">
        <v>16544</v>
      </c>
      <c r="K1082" s="21" t="n">
        <f aca="false">H1082+I1082</f>
        <v>1820039</v>
      </c>
      <c r="L1082" s="19" t="n">
        <v>87142.5581315916</v>
      </c>
      <c r="M1082" s="21" t="n">
        <f aca="false">H1082-L1082</f>
        <v>1676807.44186841</v>
      </c>
      <c r="N1082" s="23" t="n">
        <f aca="false">IFERROR(M1082/B1082*10000,0)</f>
        <v>4.28926561000522</v>
      </c>
      <c r="O1082" s="19" t="n">
        <v>1597170</v>
      </c>
      <c r="P1082" s="19" t="n">
        <v>40707</v>
      </c>
      <c r="Q1082" s="21" t="n">
        <f aca="false">O1082+P1082</f>
        <v>1637877</v>
      </c>
      <c r="R1082" s="22" t="n">
        <f aca="false">IF(A1082&lt;HlpChangeDate,HlpSharePre,HlpSharePost)</f>
        <v>0.01</v>
      </c>
      <c r="S1082" s="21" t="n">
        <f aca="false">Q1082*R1082/(1-R1082)</f>
        <v>16544.2121212121</v>
      </c>
      <c r="T1082" s="19" t="n">
        <v>16544</v>
      </c>
      <c r="U1082" s="21" t="n">
        <f aca="false">S1082-T1082</f>
        <v>0.21212121212011</v>
      </c>
      <c r="V1082" s="21" t="n">
        <f aca="false">Y1082-O1082*R1082/(1-R1082)</f>
        <v>150646.96969697</v>
      </c>
      <c r="W1082" s="21" t="n">
        <f aca="false">Z1082-P1082*R1082/(1-R1082)</f>
        <v>14969.8181818182</v>
      </c>
      <c r="X1082" s="21" t="n">
        <f aca="false">S1082+V1082+W1082</f>
        <v>182161</v>
      </c>
      <c r="Y1082" s="19" t="n">
        <v>166780</v>
      </c>
      <c r="Z1082" s="19" t="n">
        <v>15381</v>
      </c>
      <c r="AA1082" s="19" t="n">
        <v>1637877</v>
      </c>
      <c r="AB1082" s="29" t="n">
        <v>41.15</v>
      </c>
      <c r="AC1082" s="29" t="n">
        <v>40.43125</v>
      </c>
      <c r="AD1082" s="24" t="n">
        <f aca="false">IFERROR(AA1082/AC1082,0)</f>
        <v>40510.1746792395</v>
      </c>
      <c r="AE1082" s="25" t="n">
        <f aca="false">K1082-Q1082-X1082</f>
        <v>1</v>
      </c>
      <c r="AF1082" s="25" t="n">
        <f aca="false">Q1082-AA1082</f>
        <v>0</v>
      </c>
      <c r="AG1082" s="19" t="n">
        <v>1366557.30921984</v>
      </c>
      <c r="AH1082" s="26" t="n">
        <f aca="false">IFERROR(AG1082/Q1082,0)</f>
        <v>0.834346723972458</v>
      </c>
      <c r="AI1082" s="27" t="n">
        <v>432643815.815668</v>
      </c>
      <c r="AJ1082" s="26" t="n">
        <f aca="false">IF(AI1082&gt;0,AprCoef/SQRT(AI1082),0)</f>
        <v>0.0227883610438316</v>
      </c>
      <c r="AK1082" s="24" t="n">
        <f aca="false">AI1082*AJ1082/365</f>
        <v>27011.6259676395</v>
      </c>
      <c r="AL1082" s="24" t="n">
        <f aca="false">AD1082</f>
        <v>40510.1746792395</v>
      </c>
      <c r="AM1082" s="24" t="n">
        <f aca="false">AK1082-AL1082</f>
        <v>-13498.5487115999</v>
      </c>
      <c r="AN1082" s="28" t="str">
        <f aca="false">IF(A1082&gt;=Hip3LaunchDate,"YES","")</f>
        <v>YES</v>
      </c>
      <c r="AO1082" s="28" t="str">
        <f aca="false">IF(A1082&lt;Hip4LaunchDate,"pre-launch","live (zero-fee)")</f>
        <v>pre-launch</v>
      </c>
      <c r="AP1082" s="30" t="n">
        <v>138</v>
      </c>
      <c r="AQ1082" s="30" t="n">
        <v>103</v>
      </c>
      <c r="AR1082" s="19" t="n">
        <v>85300.5254141892</v>
      </c>
    </row>
    <row r="1083" customFormat="false" ht="15" hidden="false" customHeight="false" outlineLevel="0" collapsed="false">
      <c r="A1083" s="18" t="n">
        <v>46144</v>
      </c>
      <c r="B1083" s="19" t="n">
        <v>1733079087.07</v>
      </c>
      <c r="C1083" s="19" t="n">
        <v>229825622.77</v>
      </c>
      <c r="D1083" s="19" t="n">
        <v>56423380</v>
      </c>
      <c r="E1083" s="21" t="n">
        <f aca="false">B1083+C1083</f>
        <v>1962904709.84</v>
      </c>
      <c r="F1083" s="21" t="n">
        <f aca="false">E1083+D1083</f>
        <v>2019328089.84</v>
      </c>
      <c r="G1083" s="22" t="n">
        <f aca="false">IFERROR(C1083/E1083,0)</f>
        <v>0.117084452249714</v>
      </c>
      <c r="H1083" s="19" t="n">
        <v>709629</v>
      </c>
      <c r="I1083" s="19" t="n">
        <v>29270</v>
      </c>
      <c r="J1083" s="19" t="n">
        <v>6665</v>
      </c>
      <c r="K1083" s="21" t="n">
        <f aca="false">H1083+I1083</f>
        <v>738899</v>
      </c>
      <c r="L1083" s="19" t="n">
        <v>9517.24961720996</v>
      </c>
      <c r="M1083" s="21" t="n">
        <f aca="false">H1083-L1083</f>
        <v>700111.75038279</v>
      </c>
      <c r="N1083" s="23" t="n">
        <f aca="false">IFERROR(M1083/B1083*10000,0)</f>
        <v>4.03969879739546</v>
      </c>
      <c r="O1083" s="19" t="n">
        <v>635509</v>
      </c>
      <c r="P1083" s="19" t="n">
        <v>24289</v>
      </c>
      <c r="Q1083" s="21" t="n">
        <f aca="false">O1083+P1083</f>
        <v>659798</v>
      </c>
      <c r="R1083" s="22" t="n">
        <f aca="false">IF(A1083&lt;HlpChangeDate,HlpSharePre,HlpSharePost)</f>
        <v>0.01</v>
      </c>
      <c r="S1083" s="21" t="n">
        <f aca="false">Q1083*R1083/(1-R1083)</f>
        <v>6664.62626262626</v>
      </c>
      <c r="T1083" s="19" t="n">
        <v>6665</v>
      </c>
      <c r="U1083" s="21" t="n">
        <f aca="false">S1083-T1083</f>
        <v>-0.373737373736731</v>
      </c>
      <c r="V1083" s="21" t="n">
        <f aca="false">Y1083-O1083*R1083/(1-R1083)</f>
        <v>67700.7171717172</v>
      </c>
      <c r="W1083" s="21" t="n">
        <f aca="false">Z1083-P1083*R1083/(1-R1083)</f>
        <v>4735.65656565657</v>
      </c>
      <c r="X1083" s="21" t="n">
        <f aca="false">S1083+V1083+W1083</f>
        <v>79101</v>
      </c>
      <c r="Y1083" s="19" t="n">
        <v>74120</v>
      </c>
      <c r="Z1083" s="19" t="n">
        <v>4981</v>
      </c>
      <c r="AA1083" s="19" t="n">
        <v>659798</v>
      </c>
      <c r="AB1083" s="29" t="n">
        <v>41.26</v>
      </c>
      <c r="AC1083" s="29" t="n">
        <v>41.46275</v>
      </c>
      <c r="AD1083" s="24" t="n">
        <f aca="false">IFERROR(AA1083/AC1083,0)</f>
        <v>15913.0303706339</v>
      </c>
      <c r="AE1083" s="25" t="n">
        <f aca="false">K1083-Q1083-X1083</f>
        <v>0</v>
      </c>
      <c r="AF1083" s="25" t="n">
        <f aca="false">Q1083-AA1083</f>
        <v>0</v>
      </c>
      <c r="AG1083" s="19" t="n">
        <v>555746.252040148</v>
      </c>
      <c r="AH1083" s="26" t="n">
        <f aca="false">IFERROR(AG1083/Q1083,0)</f>
        <v>0.84229756992314</v>
      </c>
      <c r="AI1083" s="27" t="n">
        <v>432798582.562212</v>
      </c>
      <c r="AJ1083" s="26" t="n">
        <f aca="false">IF(AI1083&gt;0,AprCoef/SQRT(AI1083),0)</f>
        <v>0.0227842861739091</v>
      </c>
      <c r="AK1083" s="24" t="n">
        <f aca="false">AI1083*AJ1083/365</f>
        <v>27016.4568787936</v>
      </c>
      <c r="AL1083" s="24" t="n">
        <f aca="false">AD1083</f>
        <v>15913.0303706339</v>
      </c>
      <c r="AM1083" s="24" t="n">
        <f aca="false">AK1083-AL1083</f>
        <v>11103.4265081597</v>
      </c>
      <c r="AN1083" s="28" t="str">
        <f aca="false">IF(A1083&gt;=Hip3LaunchDate,"YES","")</f>
        <v>YES</v>
      </c>
      <c r="AO1083" s="28" t="str">
        <f aca="false">IF(A1083&lt;Hip4LaunchDate,"pre-launch","live (zero-fee)")</f>
        <v>live (zero-fee)</v>
      </c>
      <c r="AP1083" s="30" t="n">
        <v>138</v>
      </c>
      <c r="AQ1083" s="30" t="n">
        <v>103</v>
      </c>
      <c r="AR1083" s="19" t="n">
        <v>8342.36873551463</v>
      </c>
    </row>
    <row r="1084" customFormat="false" ht="15" hidden="false" customHeight="false" outlineLevel="0" collapsed="false">
      <c r="A1084" s="18" t="n">
        <v>46145</v>
      </c>
      <c r="B1084" s="19" t="n">
        <v>2296714073.61</v>
      </c>
      <c r="C1084" s="19" t="n">
        <v>691033738.73</v>
      </c>
      <c r="D1084" s="19" t="n">
        <v>67677761</v>
      </c>
      <c r="E1084" s="21" t="n">
        <f aca="false">B1084+C1084</f>
        <v>2987747812.34</v>
      </c>
      <c r="F1084" s="21" t="n">
        <f aca="false">E1084+D1084</f>
        <v>3055425573.34</v>
      </c>
      <c r="G1084" s="22" t="n">
        <f aca="false">IFERROR(C1084/E1084,0)</f>
        <v>0.231289179051823</v>
      </c>
      <c r="H1084" s="19" t="n">
        <v>1041156</v>
      </c>
      <c r="I1084" s="19" t="n">
        <v>32707</v>
      </c>
      <c r="J1084" s="19" t="n">
        <v>9493</v>
      </c>
      <c r="K1084" s="21" t="n">
        <f aca="false">H1084+I1084</f>
        <v>1073863</v>
      </c>
      <c r="L1084" s="19" t="n">
        <v>25286.5475393902</v>
      </c>
      <c r="M1084" s="21" t="n">
        <f aca="false">H1084-L1084</f>
        <v>1015869.45246061</v>
      </c>
      <c r="N1084" s="23" t="n">
        <f aca="false">IFERROR(M1084/B1084*10000,0)</f>
        <v>4.42314288980628</v>
      </c>
      <c r="O1084" s="19" t="n">
        <v>915087</v>
      </c>
      <c r="P1084" s="19" t="n">
        <v>24716</v>
      </c>
      <c r="Q1084" s="21" t="n">
        <f aca="false">O1084+P1084</f>
        <v>939803</v>
      </c>
      <c r="R1084" s="22" t="n">
        <f aca="false">IF(A1084&lt;HlpChangeDate,HlpSharePre,HlpSharePost)</f>
        <v>0.01</v>
      </c>
      <c r="S1084" s="21" t="n">
        <f aca="false">Q1084*R1084/(1-R1084)</f>
        <v>9492.9595959596</v>
      </c>
      <c r="T1084" s="19" t="n">
        <v>9493</v>
      </c>
      <c r="U1084" s="21" t="n">
        <f aca="false">S1084-T1084</f>
        <v>-0.040404040402791</v>
      </c>
      <c r="V1084" s="21" t="n">
        <f aca="false">Y1084-O1084*R1084/(1-R1084)</f>
        <v>116826.696969697</v>
      </c>
      <c r="W1084" s="21" t="n">
        <f aca="false">Z1084-P1084*R1084/(1-R1084)</f>
        <v>7742.34343434344</v>
      </c>
      <c r="X1084" s="21" t="n">
        <f aca="false">S1084+V1084+W1084</f>
        <v>134062</v>
      </c>
      <c r="Y1084" s="19" t="n">
        <v>126070</v>
      </c>
      <c r="Z1084" s="19" t="n">
        <v>7992</v>
      </c>
      <c r="AA1084" s="19" t="n">
        <v>939803</v>
      </c>
      <c r="AB1084" s="29" t="n">
        <v>41.539</v>
      </c>
      <c r="AC1084" s="29" t="n">
        <v>41.29675</v>
      </c>
      <c r="AD1084" s="24" t="n">
        <f aca="false">IFERROR(AA1084/AC1084,0)</f>
        <v>22757.3114107042</v>
      </c>
      <c r="AE1084" s="25" t="n">
        <f aca="false">K1084-Q1084-X1084</f>
        <v>-2</v>
      </c>
      <c r="AF1084" s="25" t="n">
        <f aca="false">Q1084-AA1084</f>
        <v>0</v>
      </c>
      <c r="AG1084" s="19" t="n">
        <v>753745.228978872</v>
      </c>
      <c r="AH1084" s="26" t="n">
        <f aca="false">IFERROR(AG1084/Q1084,0)</f>
        <v>0.802024710475357</v>
      </c>
      <c r="AI1084" s="27" t="n">
        <v>432953349.308756</v>
      </c>
      <c r="AJ1084" s="26" t="n">
        <f aca="false">IF(AI1084&gt;0,AprCoef/SQRT(AI1084),0)</f>
        <v>0.0227802134891321</v>
      </c>
      <c r="AK1084" s="24" t="n">
        <f aca="false">AI1084*AJ1084/365</f>
        <v>27021.2869262692</v>
      </c>
      <c r="AL1084" s="24" t="n">
        <f aca="false">AD1084</f>
        <v>22757.3114107042</v>
      </c>
      <c r="AM1084" s="24" t="n">
        <f aca="false">AK1084-AL1084</f>
        <v>4263.97551556496</v>
      </c>
      <c r="AN1084" s="28" t="str">
        <f aca="false">IF(A1084&gt;=Hip3LaunchDate,"YES","")</f>
        <v>YES</v>
      </c>
      <c r="AO1084" s="28" t="str">
        <f aca="false">IF(A1084&lt;Hip4LaunchDate,"pre-launch","live (zero-fee)")</f>
        <v>live (zero-fee)</v>
      </c>
      <c r="AP1084" s="30" t="n">
        <v>138</v>
      </c>
      <c r="AQ1084" s="30" t="n">
        <v>103</v>
      </c>
      <c r="AR1084" s="19" t="n">
        <v>24031.3731320958</v>
      </c>
    </row>
    <row r="1085" customFormat="false" ht="15" hidden="false" customHeight="false" outlineLevel="0" collapsed="false">
      <c r="A1085" s="18" t="n">
        <v>46146</v>
      </c>
      <c r="B1085" s="19" t="n">
        <v>5976535140.12</v>
      </c>
      <c r="C1085" s="19" t="n">
        <v>3308564622.22</v>
      </c>
      <c r="D1085" s="19" t="n">
        <v>138183840</v>
      </c>
      <c r="E1085" s="21" t="n">
        <f aca="false">B1085+C1085</f>
        <v>9285099762.34</v>
      </c>
      <c r="F1085" s="21" t="n">
        <f aca="false">E1085+D1085</f>
        <v>9423283602.34</v>
      </c>
      <c r="G1085" s="22" t="n">
        <f aca="false">IFERROR(C1085/E1085,0)</f>
        <v>0.356330541071773</v>
      </c>
      <c r="H1085" s="19" t="n">
        <v>2737965</v>
      </c>
      <c r="I1085" s="19" t="n">
        <v>68796</v>
      </c>
      <c r="J1085" s="19" t="n">
        <v>25524</v>
      </c>
      <c r="K1085" s="21" t="n">
        <f aca="false">H1085+I1085</f>
        <v>2806761</v>
      </c>
      <c r="L1085" s="19" t="n">
        <v>126011.307732168</v>
      </c>
      <c r="M1085" s="21" t="n">
        <f aca="false">H1085-L1085</f>
        <v>2611953.69226783</v>
      </c>
      <c r="N1085" s="23" t="n">
        <f aca="false">IFERROR(M1085/B1085*10000,0)</f>
        <v>4.37034775338975</v>
      </c>
      <c r="O1085" s="19" t="n">
        <v>2477035</v>
      </c>
      <c r="P1085" s="19" t="n">
        <v>49812</v>
      </c>
      <c r="Q1085" s="21" t="n">
        <f aca="false">O1085+P1085</f>
        <v>2526847</v>
      </c>
      <c r="R1085" s="22" t="n">
        <f aca="false">IF(A1085&lt;HlpChangeDate,HlpSharePre,HlpSharePost)</f>
        <v>0.01</v>
      </c>
      <c r="S1085" s="21" t="n">
        <f aca="false">Q1085*R1085/(1-R1085)</f>
        <v>25523.7070707071</v>
      </c>
      <c r="T1085" s="19" t="n">
        <v>25524</v>
      </c>
      <c r="U1085" s="21" t="n">
        <f aca="false">S1085-T1085</f>
        <v>-0.29292929292933</v>
      </c>
      <c r="V1085" s="21" t="n">
        <f aca="false">Y1085-O1085*R1085/(1-R1085)</f>
        <v>235908.444444444</v>
      </c>
      <c r="W1085" s="21" t="n">
        <f aca="false">Z1085-P1085*R1085/(1-R1085)</f>
        <v>18480.8484848485</v>
      </c>
      <c r="X1085" s="21" t="n">
        <f aca="false">S1085+V1085+W1085</f>
        <v>279913</v>
      </c>
      <c r="Y1085" s="19" t="n">
        <v>260929</v>
      </c>
      <c r="Z1085" s="19" t="n">
        <v>18984</v>
      </c>
      <c r="AA1085" s="19" t="n">
        <v>2526847</v>
      </c>
      <c r="AB1085" s="29" t="n">
        <v>41.791</v>
      </c>
      <c r="AC1085" s="29" t="n">
        <v>41.70125</v>
      </c>
      <c r="AD1085" s="24" t="n">
        <f aca="false">IFERROR(AA1085/AC1085,0)</f>
        <v>60594.0349509907</v>
      </c>
      <c r="AE1085" s="25" t="n">
        <f aca="false">K1085-Q1085-X1085</f>
        <v>1</v>
      </c>
      <c r="AF1085" s="25" t="n">
        <f aca="false">Q1085-AA1085</f>
        <v>0</v>
      </c>
      <c r="AG1085" s="19" t="n">
        <v>2046627.89656496</v>
      </c>
      <c r="AH1085" s="26" t="n">
        <f aca="false">IFERROR(AG1085/Q1085,0)</f>
        <v>0.809953232849065</v>
      </c>
      <c r="AI1085" s="27" t="n">
        <v>433108116.0553</v>
      </c>
      <c r="AJ1085" s="26" t="n">
        <f aca="false">IF(AI1085&gt;0,AprCoef/SQRT(AI1085),0)</f>
        <v>0.0227761429875485</v>
      </c>
      <c r="AK1085" s="24" t="n">
        <f aca="false">AI1085*AJ1085/365</f>
        <v>27026.1161105295</v>
      </c>
      <c r="AL1085" s="24" t="n">
        <f aca="false">AD1085</f>
        <v>60594.0349509907</v>
      </c>
      <c r="AM1085" s="24" t="n">
        <f aca="false">AK1085-AL1085</f>
        <v>-33567.9188404612</v>
      </c>
      <c r="AN1085" s="28" t="str">
        <f aca="false">IF(A1085&gt;=Hip3LaunchDate,"YES","")</f>
        <v>YES</v>
      </c>
      <c r="AO1085" s="28" t="str">
        <f aca="false">IF(A1085&lt;Hip4LaunchDate,"pre-launch","live (zero-fee)")</f>
        <v>live (zero-fee)</v>
      </c>
      <c r="AP1085" s="30" t="n">
        <v>146</v>
      </c>
      <c r="AQ1085" s="30" t="n">
        <v>111</v>
      </c>
      <c r="AR1085" s="19" t="n">
        <v>120612.900786108</v>
      </c>
    </row>
    <row r="1086" customFormat="false" ht="15" hidden="false" customHeight="false" outlineLevel="0" collapsed="false">
      <c r="A1086" s="18" t="n">
        <v>46147</v>
      </c>
      <c r="B1086" s="19" t="n">
        <v>4949133444.15</v>
      </c>
      <c r="C1086" s="19" t="n">
        <v>2356667754.2</v>
      </c>
      <c r="D1086" s="19" t="n">
        <v>138979501</v>
      </c>
      <c r="E1086" s="21" t="n">
        <f aca="false">B1086+C1086</f>
        <v>7305801198.35</v>
      </c>
      <c r="F1086" s="21" t="n">
        <f aca="false">E1086+D1086</f>
        <v>7444780699.35</v>
      </c>
      <c r="G1086" s="22" t="n">
        <f aca="false">IFERROR(C1086/E1086,0)</f>
        <v>0.322574853902711</v>
      </c>
      <c r="H1086" s="19" t="n">
        <v>2255905</v>
      </c>
      <c r="I1086" s="19" t="n">
        <v>70963</v>
      </c>
      <c r="J1086" s="19" t="n">
        <v>21276</v>
      </c>
      <c r="K1086" s="21" t="n">
        <f aca="false">H1086+I1086</f>
        <v>2326868</v>
      </c>
      <c r="L1086" s="19" t="n">
        <v>85272.2533527653</v>
      </c>
      <c r="M1086" s="21" t="n">
        <f aca="false">H1086-L1086</f>
        <v>2170632.74664723</v>
      </c>
      <c r="N1086" s="23" t="n">
        <f aca="false">IFERROR(M1086/B1086*10000,0)</f>
        <v>4.38588446066852</v>
      </c>
      <c r="O1086" s="19" t="n">
        <v>2050742</v>
      </c>
      <c r="P1086" s="19" t="n">
        <v>55602</v>
      </c>
      <c r="Q1086" s="21" t="n">
        <f aca="false">O1086+P1086</f>
        <v>2106344</v>
      </c>
      <c r="R1086" s="22" t="n">
        <f aca="false">IF(A1086&lt;HlpChangeDate,HlpSharePre,HlpSharePost)</f>
        <v>0.01</v>
      </c>
      <c r="S1086" s="21" t="n">
        <f aca="false">Q1086*R1086/(1-R1086)</f>
        <v>21276.202020202</v>
      </c>
      <c r="T1086" s="19" t="n">
        <v>21276</v>
      </c>
      <c r="U1086" s="21" t="n">
        <f aca="false">S1086-T1086</f>
        <v>0.202020202017593</v>
      </c>
      <c r="V1086" s="21" t="n">
        <f aca="false">Y1086-O1086*R1086/(1-R1086)</f>
        <v>184449.434343434</v>
      </c>
      <c r="W1086" s="21" t="n">
        <f aca="false">Z1086-P1086*R1086/(1-R1086)</f>
        <v>14799.3636363636</v>
      </c>
      <c r="X1086" s="21" t="n">
        <f aca="false">S1086+V1086+W1086</f>
        <v>220525</v>
      </c>
      <c r="Y1086" s="19" t="n">
        <v>205164</v>
      </c>
      <c r="Z1086" s="19" t="n">
        <v>15361</v>
      </c>
      <c r="AA1086" s="19" t="n">
        <v>2106344</v>
      </c>
      <c r="AB1086" s="29" t="n">
        <v>43.728</v>
      </c>
      <c r="AC1086" s="29" t="n">
        <v>42.97775</v>
      </c>
      <c r="AD1086" s="24" t="n">
        <f aca="false">IFERROR(AA1086/AC1086,0)</f>
        <v>49010.1040654757</v>
      </c>
      <c r="AE1086" s="25" t="n">
        <f aca="false">K1086-Q1086-X1086</f>
        <v>-1</v>
      </c>
      <c r="AF1086" s="25" t="n">
        <f aca="false">Q1086-AA1086</f>
        <v>0</v>
      </c>
      <c r="AG1086" s="19" t="n">
        <v>1727327.10397506</v>
      </c>
      <c r="AH1086" s="26" t="n">
        <f aca="false">IFERROR(AG1086/Q1086,0)</f>
        <v>0.820059355914826</v>
      </c>
      <c r="AI1086" s="27" t="n">
        <v>433262882.801843</v>
      </c>
      <c r="AJ1086" s="26" t="n">
        <f aca="false">IF(AI1086&gt;0,AprCoef/SQRT(AI1086),0)</f>
        <v>0.0227720746672083</v>
      </c>
      <c r="AK1086" s="24" t="n">
        <f aca="false">AI1086*AJ1086/365</f>
        <v>27030.944432037</v>
      </c>
      <c r="AL1086" s="24" t="n">
        <f aca="false">AD1086</f>
        <v>49010.1040654757</v>
      </c>
      <c r="AM1086" s="24" t="n">
        <f aca="false">AK1086-AL1086</f>
        <v>-21979.1596334387</v>
      </c>
      <c r="AN1086" s="28" t="str">
        <f aca="false">IF(A1086&gt;=Hip3LaunchDate,"YES","")</f>
        <v>YES</v>
      </c>
      <c r="AO1086" s="28" t="str">
        <f aca="false">IF(A1086&lt;Hip4LaunchDate,"pre-launch","live (zero-fee)")</f>
        <v>live (zero-fee)</v>
      </c>
      <c r="AP1086" s="30" t="n">
        <v>148</v>
      </c>
      <c r="AQ1086" s="30" t="n">
        <v>113</v>
      </c>
      <c r="AR1086" s="19" t="n">
        <v>82068.3068995941</v>
      </c>
    </row>
    <row r="1087" customFormat="false" ht="15" hidden="false" customHeight="false" outlineLevel="0" collapsed="false">
      <c r="A1087" s="18" t="n">
        <v>46148</v>
      </c>
      <c r="B1087" s="19" t="n">
        <v>5981705992.92</v>
      </c>
      <c r="C1087" s="19" t="n">
        <v>3587951764.2</v>
      </c>
      <c r="D1087" s="19" t="n">
        <v>131146721</v>
      </c>
      <c r="E1087" s="21" t="n">
        <f aca="false">B1087+C1087</f>
        <v>9569657757.12</v>
      </c>
      <c r="F1087" s="21" t="n">
        <f aca="false">E1087+D1087</f>
        <v>9700804478.12</v>
      </c>
      <c r="G1087" s="22" t="n">
        <f aca="false">IFERROR(C1087/E1087,0)</f>
        <v>0.37492999804831</v>
      </c>
      <c r="H1087" s="19" t="n">
        <v>2730632</v>
      </c>
      <c r="I1087" s="19" t="n">
        <v>62363</v>
      </c>
      <c r="J1087" s="19" t="n">
        <v>25780</v>
      </c>
      <c r="K1087" s="21" t="n">
        <f aca="false">H1087+I1087</f>
        <v>2792995</v>
      </c>
      <c r="L1087" s="19" t="n">
        <v>129860.251268298</v>
      </c>
      <c r="M1087" s="21" t="n">
        <f aca="false">H1087-L1087</f>
        <v>2600771.7487317</v>
      </c>
      <c r="N1087" s="23" t="n">
        <f aca="false">IFERROR(M1087/B1087*10000,0)</f>
        <v>4.34787626107</v>
      </c>
      <c r="O1087" s="19" t="n">
        <v>2503867</v>
      </c>
      <c r="P1087" s="19" t="n">
        <v>48312</v>
      </c>
      <c r="Q1087" s="21" t="n">
        <f aca="false">O1087+P1087</f>
        <v>2552179</v>
      </c>
      <c r="R1087" s="22" t="n">
        <f aca="false">IF(A1087&lt;HlpChangeDate,HlpSharePre,HlpSharePost)</f>
        <v>0.01</v>
      </c>
      <c r="S1087" s="21" t="n">
        <f aca="false">Q1087*R1087/(1-R1087)</f>
        <v>25779.5858585859</v>
      </c>
      <c r="T1087" s="19" t="n">
        <v>25780</v>
      </c>
      <c r="U1087" s="21" t="n">
        <f aca="false">S1087-T1087</f>
        <v>-0.414141414141341</v>
      </c>
      <c r="V1087" s="21" t="n">
        <f aca="false">Y1087-O1087*R1087/(1-R1087)</f>
        <v>201472.414141414</v>
      </c>
      <c r="W1087" s="21" t="n">
        <f aca="false">Z1087-P1087*R1087/(1-R1087)</f>
        <v>13563</v>
      </c>
      <c r="X1087" s="21" t="n">
        <f aca="false">S1087+V1087+W1087</f>
        <v>240815</v>
      </c>
      <c r="Y1087" s="19" t="n">
        <v>226764</v>
      </c>
      <c r="Z1087" s="19" t="n">
        <v>14051</v>
      </c>
      <c r="AA1087" s="19" t="n">
        <v>2552179</v>
      </c>
      <c r="AB1087" s="29" t="n">
        <v>43.111</v>
      </c>
      <c r="AC1087" s="29" t="n">
        <v>43.63775</v>
      </c>
      <c r="AD1087" s="24" t="n">
        <f aca="false">IFERROR(AA1087/AC1087,0)</f>
        <v>58485.5772811385</v>
      </c>
      <c r="AE1087" s="25" t="n">
        <f aca="false">K1087-Q1087-X1087</f>
        <v>1</v>
      </c>
      <c r="AF1087" s="25" t="n">
        <f aca="false">Q1087-AA1087</f>
        <v>0</v>
      </c>
      <c r="AG1087" s="19" t="n">
        <v>2119053.12912798</v>
      </c>
      <c r="AH1087" s="26" t="n">
        <f aca="false">IFERROR(AG1087/Q1087,0)</f>
        <v>0.830291734681611</v>
      </c>
      <c r="AI1087" s="27" t="n">
        <v>433417649.548387</v>
      </c>
      <c r="AJ1087" s="26" t="n">
        <f aca="false">IF(AI1087&gt;0,AprCoef/SQRT(AI1087),0)</f>
        <v>0.0227680085261643</v>
      </c>
      <c r="AK1087" s="24" t="n">
        <f aca="false">AI1087*AJ1087/365</f>
        <v>27035.7718912541</v>
      </c>
      <c r="AL1087" s="24" t="n">
        <f aca="false">AD1087</f>
        <v>58485.5772811385</v>
      </c>
      <c r="AM1087" s="24" t="n">
        <f aca="false">AK1087-AL1087</f>
        <v>-31449.8053898843</v>
      </c>
      <c r="AN1087" s="28" t="str">
        <f aca="false">IF(A1087&gt;=Hip3LaunchDate,"YES","")</f>
        <v>YES</v>
      </c>
      <c r="AO1087" s="28" t="str">
        <f aca="false">IF(A1087&lt;Hip4LaunchDate,"pre-launch","live (zero-fee)")</f>
        <v>live (zero-fee)</v>
      </c>
      <c r="AP1087" s="30" t="n">
        <v>148</v>
      </c>
      <c r="AQ1087" s="30" t="n">
        <v>113</v>
      </c>
      <c r="AR1087" s="19" t="n">
        <v>126698.862566806</v>
      </c>
    </row>
    <row r="1088" customFormat="false" ht="15" hidden="false" customHeight="false" outlineLevel="0" collapsed="false">
      <c r="A1088" s="18" t="n">
        <v>46149</v>
      </c>
      <c r="B1088" s="19" t="n">
        <v>5002311688.75</v>
      </c>
      <c r="C1088" s="19" t="n">
        <v>3663773293.76</v>
      </c>
      <c r="D1088" s="19" t="n">
        <v>110893957</v>
      </c>
      <c r="E1088" s="21" t="n">
        <f aca="false">B1088+C1088</f>
        <v>8666084982.51</v>
      </c>
      <c r="F1088" s="21" t="n">
        <f aca="false">E1088+D1088</f>
        <v>8776978939.51</v>
      </c>
      <c r="G1088" s="22" t="n">
        <f aca="false">IFERROR(C1088/E1088,0)</f>
        <v>0.422771447678424</v>
      </c>
      <c r="H1088" s="19" t="n">
        <v>2236068</v>
      </c>
      <c r="I1088" s="19" t="n">
        <v>51769</v>
      </c>
      <c r="J1088" s="19" t="n">
        <v>20969</v>
      </c>
      <c r="K1088" s="21" t="n">
        <f aca="false">H1088+I1088</f>
        <v>2287837</v>
      </c>
      <c r="L1088" s="19" t="n">
        <v>129598.711214221</v>
      </c>
      <c r="M1088" s="21" t="n">
        <f aca="false">H1088-L1088</f>
        <v>2106469.28878578</v>
      </c>
      <c r="N1088" s="23" t="n">
        <f aca="false">IFERROR(M1088/B1088*10000,0)</f>
        <v>4.21099167715428</v>
      </c>
      <c r="O1088" s="19" t="n">
        <v>2037475</v>
      </c>
      <c r="P1088" s="19" t="n">
        <v>38455</v>
      </c>
      <c r="Q1088" s="21" t="n">
        <f aca="false">O1088+P1088</f>
        <v>2075930</v>
      </c>
      <c r="R1088" s="22" t="n">
        <f aca="false">IF(A1088&lt;HlpChangeDate,HlpSharePre,HlpSharePost)</f>
        <v>0.01</v>
      </c>
      <c r="S1088" s="21" t="n">
        <f aca="false">Q1088*R1088/(1-R1088)</f>
        <v>20968.9898989899</v>
      </c>
      <c r="T1088" s="19" t="n">
        <v>20969</v>
      </c>
      <c r="U1088" s="21" t="n">
        <f aca="false">S1088-T1088</f>
        <v>-0.0101010101025167</v>
      </c>
      <c r="V1088" s="21" t="n">
        <f aca="false">Y1088-O1088*R1088/(1-R1088)</f>
        <v>178012.444444444</v>
      </c>
      <c r="W1088" s="21" t="n">
        <f aca="false">Z1088-P1088*R1088/(1-R1088)</f>
        <v>12925.5656565657</v>
      </c>
      <c r="X1088" s="21" t="n">
        <f aca="false">S1088+V1088+W1088</f>
        <v>211907</v>
      </c>
      <c r="Y1088" s="19" t="n">
        <v>198593</v>
      </c>
      <c r="Z1088" s="19" t="n">
        <v>13314</v>
      </c>
      <c r="AA1088" s="19" t="n">
        <v>2075930</v>
      </c>
      <c r="AB1088" s="29" t="n">
        <v>42.525</v>
      </c>
      <c r="AC1088" s="29" t="n">
        <v>42.754</v>
      </c>
      <c r="AD1088" s="24" t="n">
        <f aca="false">IFERROR(AA1088/AC1088,0)</f>
        <v>48555.2229031202</v>
      </c>
      <c r="AE1088" s="25" t="n">
        <f aca="false">K1088-Q1088-X1088</f>
        <v>0</v>
      </c>
      <c r="AF1088" s="25" t="n">
        <f aca="false">Q1088-AA1088</f>
        <v>0</v>
      </c>
      <c r="AG1088" s="19" t="n">
        <v>1755060.12721801</v>
      </c>
      <c r="AH1088" s="26" t="n">
        <f aca="false">IFERROR(AG1088/Q1088,0)</f>
        <v>0.84543319245736</v>
      </c>
      <c r="AI1088" s="27" t="n">
        <v>433572416.294931</v>
      </c>
      <c r="AJ1088" s="26" t="n">
        <f aca="false">IF(AI1088&gt;0,AprCoef/SQRT(AI1088),0)</f>
        <v>0.0227639445624713</v>
      </c>
      <c r="AK1088" s="24" t="n">
        <f aca="false">AI1088*AJ1088/365</f>
        <v>27040.5984886426</v>
      </c>
      <c r="AL1088" s="24" t="n">
        <f aca="false">AD1088</f>
        <v>48555.2229031202</v>
      </c>
      <c r="AM1088" s="24" t="n">
        <f aca="false">AK1088-AL1088</f>
        <v>-21514.6244144776</v>
      </c>
      <c r="AN1088" s="28" t="str">
        <f aca="false">IF(A1088&gt;=Hip3LaunchDate,"YES","")</f>
        <v>YES</v>
      </c>
      <c r="AO1088" s="28" t="str">
        <f aca="false">IF(A1088&lt;Hip4LaunchDate,"pre-launch","live (zero-fee)")</f>
        <v>live (zero-fee)</v>
      </c>
      <c r="AP1088" s="30" t="n">
        <v>148</v>
      </c>
      <c r="AQ1088" s="30" t="n">
        <v>113</v>
      </c>
      <c r="AR1088" s="19" t="n">
        <v>127257.874395505</v>
      </c>
    </row>
    <row r="1089" customFormat="false" ht="15" hidden="false" customHeight="false" outlineLevel="0" collapsed="false">
      <c r="A1089" s="18" t="n">
        <v>46150</v>
      </c>
      <c r="B1089" s="19" t="n">
        <v>4312624504.25</v>
      </c>
      <c r="C1089" s="19" t="n">
        <v>2406272803.17</v>
      </c>
      <c r="D1089" s="19" t="n">
        <v>84826141</v>
      </c>
      <c r="E1089" s="21" t="n">
        <f aca="false">B1089+C1089</f>
        <v>6718897307.42</v>
      </c>
      <c r="F1089" s="21" t="n">
        <f aca="false">E1089+D1089</f>
        <v>6803723448.42</v>
      </c>
      <c r="G1089" s="22" t="n">
        <f aca="false">IFERROR(C1089/E1089,0)</f>
        <v>0.358135076794914</v>
      </c>
      <c r="H1089" s="19" t="n">
        <v>1889593</v>
      </c>
      <c r="I1089" s="19" t="n">
        <v>41401</v>
      </c>
      <c r="J1089" s="19" t="n">
        <v>17633</v>
      </c>
      <c r="K1089" s="21" t="n">
        <f aca="false">H1089+I1089</f>
        <v>1930994</v>
      </c>
      <c r="L1089" s="19" t="n">
        <v>83257.2669675973</v>
      </c>
      <c r="M1089" s="21" t="n">
        <f aca="false">H1089-L1089</f>
        <v>1806335.7330324</v>
      </c>
      <c r="N1089" s="23" t="n">
        <f aca="false">IFERROR(M1089/B1089*10000,0)</f>
        <v>4.18848367450562</v>
      </c>
      <c r="O1089" s="19" t="n">
        <v>1716503</v>
      </c>
      <c r="P1089" s="19" t="n">
        <v>29153</v>
      </c>
      <c r="Q1089" s="21" t="n">
        <f aca="false">O1089+P1089</f>
        <v>1745656</v>
      </c>
      <c r="R1089" s="22" t="n">
        <f aca="false">IF(A1089&lt;HlpChangeDate,HlpSharePre,HlpSharePost)</f>
        <v>0.01</v>
      </c>
      <c r="S1089" s="21" t="n">
        <f aca="false">Q1089*R1089/(1-R1089)</f>
        <v>17632.8888888889</v>
      </c>
      <c r="T1089" s="19" t="n">
        <v>17633</v>
      </c>
      <c r="U1089" s="21" t="n">
        <f aca="false">S1089-T1089</f>
        <v>-0.111111111109494</v>
      </c>
      <c r="V1089" s="21" t="n">
        <f aca="false">Y1089-O1089*R1089/(1-R1089)</f>
        <v>155751.585858586</v>
      </c>
      <c r="W1089" s="21" t="n">
        <f aca="false">Z1089-P1089*R1089/(1-R1089)</f>
        <v>11952.5252525253</v>
      </c>
      <c r="X1089" s="21" t="n">
        <f aca="false">S1089+V1089+W1089</f>
        <v>185337</v>
      </c>
      <c r="Y1089" s="19" t="n">
        <v>173090</v>
      </c>
      <c r="Z1089" s="19" t="n">
        <v>12247</v>
      </c>
      <c r="AA1089" s="19" t="n">
        <v>1745656</v>
      </c>
      <c r="AB1089" s="29" t="n">
        <v>43.278</v>
      </c>
      <c r="AC1089" s="29" t="n">
        <v>42.83775</v>
      </c>
      <c r="AD1089" s="24" t="n">
        <f aca="false">IFERROR(AA1089/AC1089,0)</f>
        <v>40750.4128951684</v>
      </c>
      <c r="AE1089" s="25" t="n">
        <f aca="false">K1089-Q1089-X1089</f>
        <v>0.999999999970896</v>
      </c>
      <c r="AF1089" s="25" t="n">
        <f aca="false">Q1089-AA1089</f>
        <v>0</v>
      </c>
      <c r="AG1089" s="19" t="n">
        <v>1438844.92796207</v>
      </c>
      <c r="AH1089" s="26" t="n">
        <f aca="false">IFERROR(AG1089/Q1089,0)</f>
        <v>0.82424310858615</v>
      </c>
      <c r="AI1089" s="27" t="n">
        <v>433727183.041475</v>
      </c>
      <c r="AJ1089" s="26" t="n">
        <f aca="false">IF(AI1089&gt;0,AprCoef/SQRT(AI1089),0)</f>
        <v>0.022759882774187</v>
      </c>
      <c r="AK1089" s="24" t="n">
        <f aca="false">AI1089*AJ1089/365</f>
        <v>27045.4242246639</v>
      </c>
      <c r="AL1089" s="24" t="n">
        <f aca="false">AD1089</f>
        <v>40750.4128951684</v>
      </c>
      <c r="AM1089" s="24" t="n">
        <f aca="false">AK1089-AL1089</f>
        <v>-13704.9886705045</v>
      </c>
      <c r="AN1089" s="28" t="str">
        <f aca="false">IF(A1089&gt;=Hip3LaunchDate,"YES","")</f>
        <v>YES</v>
      </c>
      <c r="AO1089" s="28" t="str">
        <f aca="false">IF(A1089&lt;Hip4LaunchDate,"pre-launch","live (zero-fee)")</f>
        <v>live (zero-fee)</v>
      </c>
      <c r="AP1089" s="30" t="n">
        <v>148</v>
      </c>
      <c r="AQ1089" s="30" t="n">
        <v>113</v>
      </c>
      <c r="AR1089" s="19" t="n">
        <v>81300.0779563534</v>
      </c>
    </row>
    <row r="1090" customFormat="false" ht="15" hidden="false" customHeight="false" outlineLevel="0" collapsed="false">
      <c r="A1090" s="18" t="n">
        <v>46151</v>
      </c>
      <c r="B1090" s="19" t="n">
        <v>2588102509.49</v>
      </c>
      <c r="C1090" s="19" t="n">
        <v>310968363.08</v>
      </c>
      <c r="D1090" s="19" t="n">
        <v>71886076</v>
      </c>
      <c r="E1090" s="21" t="n">
        <f aca="false">B1090+C1090</f>
        <v>2899070872.57</v>
      </c>
      <c r="F1090" s="21" t="n">
        <f aca="false">E1090+D1090</f>
        <v>2970956948.57</v>
      </c>
      <c r="G1090" s="22" t="n">
        <f aca="false">IFERROR(C1090/E1090,0)</f>
        <v>0.107264836476498</v>
      </c>
      <c r="H1090" s="19" t="n">
        <v>1118269</v>
      </c>
      <c r="I1090" s="19" t="n">
        <v>36744</v>
      </c>
      <c r="J1090" s="19" t="n">
        <v>10440</v>
      </c>
      <c r="K1090" s="21" t="n">
        <f aca="false">H1090+I1090</f>
        <v>1155013</v>
      </c>
      <c r="L1090" s="19" t="n">
        <v>14639.1166822159</v>
      </c>
      <c r="M1090" s="21" t="n">
        <f aca="false">H1090-L1090</f>
        <v>1103629.88331778</v>
      </c>
      <c r="N1090" s="23" t="n">
        <f aca="false">IFERROR(M1090/B1090*10000,0)</f>
        <v>4.26424331830373</v>
      </c>
      <c r="O1090" s="19" t="n">
        <v>1004023</v>
      </c>
      <c r="P1090" s="19" t="n">
        <v>29565</v>
      </c>
      <c r="Q1090" s="21" t="n">
        <f aca="false">O1090+P1090</f>
        <v>1033588</v>
      </c>
      <c r="R1090" s="22" t="n">
        <f aca="false">IF(A1090&lt;HlpChangeDate,HlpSharePre,HlpSharePost)</f>
        <v>0.01</v>
      </c>
      <c r="S1090" s="21" t="n">
        <f aca="false">Q1090*R1090/(1-R1090)</f>
        <v>10440.2828282828</v>
      </c>
      <c r="T1090" s="19" t="n">
        <v>10440</v>
      </c>
      <c r="U1090" s="21" t="n">
        <f aca="false">S1090-T1090</f>
        <v>0.282828282828632</v>
      </c>
      <c r="V1090" s="21" t="n">
        <f aca="false">Y1090-O1090*R1090/(1-R1090)</f>
        <v>104104.353535354</v>
      </c>
      <c r="W1090" s="21" t="n">
        <f aca="false">Z1090-P1090*R1090/(1-R1090)</f>
        <v>6880.36363636364</v>
      </c>
      <c r="X1090" s="21" t="n">
        <f aca="false">S1090+V1090+W1090</f>
        <v>121425</v>
      </c>
      <c r="Y1090" s="19" t="n">
        <v>114246</v>
      </c>
      <c r="Z1090" s="19" t="n">
        <v>7179</v>
      </c>
      <c r="AA1090" s="19" t="n">
        <v>1033588</v>
      </c>
      <c r="AB1090" s="29" t="n">
        <v>42.9</v>
      </c>
      <c r="AC1090" s="29" t="n">
        <v>43.27425</v>
      </c>
      <c r="AD1090" s="24" t="n">
        <f aca="false">IFERROR(AA1090/AC1090,0)</f>
        <v>23884.5964979174</v>
      </c>
      <c r="AE1090" s="25" t="n">
        <f aca="false">K1090-Q1090-X1090</f>
        <v>0</v>
      </c>
      <c r="AF1090" s="25" t="n">
        <f aca="false">Q1090-AA1090</f>
        <v>0</v>
      </c>
      <c r="AG1090" s="19" t="n">
        <v>869867.760881901</v>
      </c>
      <c r="AH1090" s="26" t="n">
        <f aca="false">IFERROR(AG1090/Q1090,0)</f>
        <v>0.841600096829589</v>
      </c>
      <c r="AI1090" s="27" t="n">
        <v>433881949.788018</v>
      </c>
      <c r="AJ1090" s="26" t="n">
        <f aca="false">IF(AI1090&gt;0,AprCoef/SQRT(AI1090),0)</f>
        <v>0.0227558231593711</v>
      </c>
      <c r="AK1090" s="24" t="n">
        <f aca="false">AI1090*AJ1090/365</f>
        <v>27050.2490997789</v>
      </c>
      <c r="AL1090" s="24" t="n">
        <f aca="false">AD1090</f>
        <v>23884.5964979174</v>
      </c>
      <c r="AM1090" s="24" t="n">
        <f aca="false">AK1090-AL1090</f>
        <v>3165.65260186154</v>
      </c>
      <c r="AN1090" s="28" t="str">
        <f aca="false">IF(A1090&gt;=Hip3LaunchDate,"YES","")</f>
        <v>YES</v>
      </c>
      <c r="AO1090" s="28" t="str">
        <f aca="false">IF(A1090&lt;Hip4LaunchDate,"pre-launch","live (zero-fee)")</f>
        <v>live (zero-fee)</v>
      </c>
      <c r="AP1090" s="30" t="n">
        <v>148</v>
      </c>
      <c r="AQ1090" s="30" t="n">
        <v>113</v>
      </c>
      <c r="AR1090" s="19" t="n">
        <v>13759.9015859788</v>
      </c>
    </row>
    <row r="1091" customFormat="false" ht="15" hidden="false" customHeight="false" outlineLevel="0" collapsed="false">
      <c r="A1091" s="18" t="n">
        <v>46152</v>
      </c>
      <c r="B1091" s="19" t="n">
        <v>3790978434.38</v>
      </c>
      <c r="C1091" s="19" t="n">
        <v>834468766.21</v>
      </c>
      <c r="D1091" s="19" t="n">
        <v>76297993</v>
      </c>
      <c r="E1091" s="21" t="n">
        <f aca="false">B1091+C1091</f>
        <v>4625447200.59</v>
      </c>
      <c r="F1091" s="21" t="n">
        <f aca="false">E1091+D1091</f>
        <v>4701745193.59</v>
      </c>
      <c r="G1091" s="22" t="n">
        <f aca="false">IFERROR(C1091/E1091,0)</f>
        <v>0.180408235143957</v>
      </c>
      <c r="H1091" s="19" t="n">
        <v>1623984</v>
      </c>
      <c r="I1091" s="19" t="n">
        <v>37280</v>
      </c>
      <c r="J1091" s="19" t="n">
        <v>15228</v>
      </c>
      <c r="K1091" s="21" t="n">
        <f aca="false">H1091+I1091</f>
        <v>1661264</v>
      </c>
      <c r="L1091" s="19" t="n">
        <v>35134.8419383864</v>
      </c>
      <c r="M1091" s="21" t="n">
        <f aca="false">H1091-L1091</f>
        <v>1588849.15806161</v>
      </c>
      <c r="N1091" s="23" t="n">
        <f aca="false">IFERROR(M1091/B1091*10000,0)</f>
        <v>4.19113214586636</v>
      </c>
      <c r="O1091" s="19" t="n">
        <v>1477862</v>
      </c>
      <c r="P1091" s="19" t="n">
        <v>29726</v>
      </c>
      <c r="Q1091" s="21" t="n">
        <f aca="false">O1091+P1091</f>
        <v>1507588</v>
      </c>
      <c r="R1091" s="22" t="n">
        <f aca="false">IF(A1091&lt;HlpChangeDate,HlpSharePre,HlpSharePost)</f>
        <v>0.01</v>
      </c>
      <c r="S1091" s="21" t="n">
        <f aca="false">Q1091*R1091/(1-R1091)</f>
        <v>15228.1616161616</v>
      </c>
      <c r="T1091" s="19" t="n">
        <v>15228</v>
      </c>
      <c r="U1091" s="21" t="n">
        <f aca="false">S1091-T1091</f>
        <v>0.161616161616621</v>
      </c>
      <c r="V1091" s="21" t="n">
        <f aca="false">Y1091-O1091*R1091/(1-R1091)</f>
        <v>131194.101010101</v>
      </c>
      <c r="W1091" s="21" t="n">
        <f aca="false">Z1091-P1091*R1091/(1-R1091)</f>
        <v>7252.73737373737</v>
      </c>
      <c r="X1091" s="21" t="n">
        <f aca="false">S1091+V1091+W1091</f>
        <v>153675</v>
      </c>
      <c r="Y1091" s="19" t="n">
        <v>146122</v>
      </c>
      <c r="Z1091" s="19" t="n">
        <v>7553</v>
      </c>
      <c r="AA1091" s="19" t="n">
        <v>1507588</v>
      </c>
      <c r="AB1091" s="29" t="n">
        <v>43.021</v>
      </c>
      <c r="AC1091" s="29" t="n">
        <v>42.964</v>
      </c>
      <c r="AD1091" s="24" t="n">
        <f aca="false">IFERROR(AA1091/AC1091,0)</f>
        <v>35089.5633553673</v>
      </c>
      <c r="AE1091" s="25" t="n">
        <f aca="false">K1091-Q1091-X1091</f>
        <v>1</v>
      </c>
      <c r="AF1091" s="25" t="n">
        <f aca="false">Q1091-AA1091</f>
        <v>0</v>
      </c>
      <c r="AG1091" s="19" t="n">
        <v>1225794.47498512</v>
      </c>
      <c r="AH1091" s="26" t="n">
        <f aca="false">IFERROR(AG1091/Q1091,0)</f>
        <v>0.813083199776811</v>
      </c>
      <c r="AI1091" s="27" t="n">
        <v>434036716.534562</v>
      </c>
      <c r="AJ1091" s="26" t="n">
        <f aca="false">IF(AI1091&gt;0,AprCoef/SQRT(AI1091),0)</f>
        <v>0.0227517657160861</v>
      </c>
      <c r="AK1091" s="24" t="n">
        <f aca="false">AI1091*AJ1091/365</f>
        <v>27055.0731144483</v>
      </c>
      <c r="AL1091" s="24" t="n">
        <f aca="false">AD1091</f>
        <v>35089.5633553673</v>
      </c>
      <c r="AM1091" s="24" t="n">
        <f aca="false">AK1091-AL1091</f>
        <v>-8034.490240919</v>
      </c>
      <c r="AN1091" s="28" t="str">
        <f aca="false">IF(A1091&gt;=Hip3LaunchDate,"YES","")</f>
        <v>YES</v>
      </c>
      <c r="AO1091" s="28" t="str">
        <f aca="false">IF(A1091&lt;Hip4LaunchDate,"pre-launch","live (zero-fee)")</f>
        <v>live (zero-fee)</v>
      </c>
      <c r="AP1091" s="30" t="n">
        <v>148</v>
      </c>
      <c r="AQ1091" s="30" t="n">
        <v>113</v>
      </c>
      <c r="AR1091" s="19" t="n">
        <v>32812.4514577718</v>
      </c>
    </row>
    <row r="1092" customFormat="false" ht="15" hidden="false" customHeight="false" outlineLevel="0" collapsed="false">
      <c r="A1092" s="18" t="n">
        <v>46153</v>
      </c>
      <c r="B1092" s="19" t="n">
        <v>4437432025.8</v>
      </c>
      <c r="C1092" s="19" t="n">
        <v>2547098867.05</v>
      </c>
      <c r="D1092" s="19" t="n">
        <v>94198406</v>
      </c>
      <c r="E1092" s="21" t="n">
        <f aca="false">B1092+C1092</f>
        <v>6984530892.85</v>
      </c>
      <c r="F1092" s="21" t="n">
        <f aca="false">E1092+D1092</f>
        <v>7078729298.85</v>
      </c>
      <c r="G1092" s="22" t="n">
        <f aca="false">IFERROR(C1092/E1092,0)</f>
        <v>0.364677156723216</v>
      </c>
      <c r="H1092" s="19" t="n">
        <v>1955647</v>
      </c>
      <c r="I1092" s="19" t="n">
        <v>44212</v>
      </c>
      <c r="J1092" s="19" t="n">
        <v>18271</v>
      </c>
      <c r="K1092" s="21" t="n">
        <f aca="false">H1092+I1092</f>
        <v>1999859</v>
      </c>
      <c r="L1092" s="19" t="n">
        <v>95170.8147737406</v>
      </c>
      <c r="M1092" s="21" t="n">
        <f aca="false">H1092-L1092</f>
        <v>1860476.18522626</v>
      </c>
      <c r="N1092" s="23" t="n">
        <f aca="false">IFERROR(M1092/B1092*10000,0)</f>
        <v>4.1926866133591</v>
      </c>
      <c r="O1092" s="19" t="n">
        <v>1775834</v>
      </c>
      <c r="P1092" s="19" t="n">
        <v>32988</v>
      </c>
      <c r="Q1092" s="21" t="n">
        <f aca="false">O1092+P1092</f>
        <v>1808822</v>
      </c>
      <c r="R1092" s="22" t="n">
        <f aca="false">IF(A1092&lt;HlpChangeDate,HlpSharePre,HlpSharePost)</f>
        <v>0.01</v>
      </c>
      <c r="S1092" s="21" t="n">
        <f aca="false">Q1092*R1092/(1-R1092)</f>
        <v>18270.9292929293</v>
      </c>
      <c r="T1092" s="19" t="n">
        <v>18271</v>
      </c>
      <c r="U1092" s="21" t="n">
        <f aca="false">S1092-T1092</f>
        <v>-0.0707070707067032</v>
      </c>
      <c r="V1092" s="21" t="n">
        <f aca="false">Y1092-O1092*R1092/(1-R1092)</f>
        <v>161875.282828283</v>
      </c>
      <c r="W1092" s="21" t="n">
        <f aca="false">Z1092-P1092*R1092/(1-R1092)</f>
        <v>10889.7878787879</v>
      </c>
      <c r="X1092" s="21" t="n">
        <f aca="false">S1092+V1092+W1092</f>
        <v>191036</v>
      </c>
      <c r="Y1092" s="19" t="n">
        <v>179813</v>
      </c>
      <c r="Z1092" s="19" t="n">
        <v>11223</v>
      </c>
      <c r="AA1092" s="19" t="n">
        <v>1808822</v>
      </c>
      <c r="AB1092" s="29" t="n">
        <v>42.018</v>
      </c>
      <c r="AC1092" s="29" t="n">
        <v>42.26325</v>
      </c>
      <c r="AD1092" s="24" t="n">
        <f aca="false">IFERROR(AA1092/AC1092,0)</f>
        <v>42798.9328790379</v>
      </c>
      <c r="AE1092" s="25" t="n">
        <f aca="false">K1092-Q1092-X1092</f>
        <v>1</v>
      </c>
      <c r="AF1092" s="25" t="n">
        <f aca="false">Q1092-AA1092</f>
        <v>0</v>
      </c>
      <c r="AG1092" s="19" t="n">
        <v>1525446.62015295</v>
      </c>
      <c r="AH1092" s="26" t="n">
        <f aca="false">IFERROR(AG1092/Q1092,0)</f>
        <v>0.843337055914264</v>
      </c>
      <c r="AI1092" s="27" t="n">
        <v>434191483.281106</v>
      </c>
      <c r="AJ1092" s="26" t="n">
        <f aca="false">IF(AI1092&gt;0,AprCoef/SQRT(AI1092),0)</f>
        <v>0.0227477104423966</v>
      </c>
      <c r="AK1092" s="24" t="n">
        <f aca="false">AI1092*AJ1092/365</f>
        <v>27059.8962691322</v>
      </c>
      <c r="AL1092" s="24" t="n">
        <f aca="false">AD1092</f>
        <v>42798.9328790379</v>
      </c>
      <c r="AM1092" s="24" t="n">
        <f aca="false">AK1092-AL1092</f>
        <v>-15739.0366099057</v>
      </c>
      <c r="AN1092" s="28" t="str">
        <f aca="false">IF(A1092&gt;=Hip3LaunchDate,"YES","")</f>
        <v>YES</v>
      </c>
      <c r="AO1092" s="28" t="str">
        <f aca="false">IF(A1092&lt;Hip4LaunchDate,"pre-launch","live (zero-fee)")</f>
        <v>live (zero-fee)</v>
      </c>
      <c r="AP1092" s="30" t="n">
        <v>148</v>
      </c>
      <c r="AQ1092" s="30" t="n">
        <v>113</v>
      </c>
      <c r="AR1092" s="19" t="n">
        <v>93041.5413853844</v>
      </c>
    </row>
    <row r="1093" customFormat="false" ht="15" hidden="false" customHeight="false" outlineLevel="0" collapsed="false">
      <c r="A1093" s="18" t="n">
        <v>46154</v>
      </c>
      <c r="B1093" s="19" t="n">
        <v>3850095832.77</v>
      </c>
      <c r="C1093" s="19" t="n">
        <v>2481041310.37</v>
      </c>
      <c r="D1093" s="19" t="n">
        <v>98551144</v>
      </c>
      <c r="E1093" s="21" t="n">
        <f aca="false">B1093+C1093</f>
        <v>6331137143.14</v>
      </c>
      <c r="F1093" s="21" t="n">
        <f aca="false">E1093+D1093</f>
        <v>6429688287.14</v>
      </c>
      <c r="G1093" s="22" t="n">
        <f aca="false">IFERROR(C1093/E1093,0)</f>
        <v>0.391879255539156</v>
      </c>
      <c r="H1093" s="19" t="n">
        <v>1858866</v>
      </c>
      <c r="I1093" s="19" t="n">
        <v>47865</v>
      </c>
      <c r="J1093" s="19" t="n">
        <v>17341</v>
      </c>
      <c r="K1093" s="21" t="n">
        <f aca="false">H1093+I1093</f>
        <v>1906731</v>
      </c>
      <c r="L1093" s="19" t="n">
        <v>91488.6796477209</v>
      </c>
      <c r="M1093" s="21" t="n">
        <f aca="false">H1093-L1093</f>
        <v>1767377.32035228</v>
      </c>
      <c r="N1093" s="23" t="n">
        <f aca="false">IFERROR(M1093/B1093*10000,0)</f>
        <v>4.59047617804546</v>
      </c>
      <c r="O1093" s="19" t="n">
        <v>1679189</v>
      </c>
      <c r="P1093" s="19" t="n">
        <v>37575</v>
      </c>
      <c r="Q1093" s="21" t="n">
        <f aca="false">O1093+P1093</f>
        <v>1716764</v>
      </c>
      <c r="R1093" s="22" t="n">
        <f aca="false">IF(A1093&lt;HlpChangeDate,HlpSharePre,HlpSharePost)</f>
        <v>0.01</v>
      </c>
      <c r="S1093" s="21" t="n">
        <f aca="false">Q1093*R1093/(1-R1093)</f>
        <v>17341.0505050505</v>
      </c>
      <c r="T1093" s="19" t="n">
        <v>17341</v>
      </c>
      <c r="U1093" s="21" t="n">
        <f aca="false">S1093-T1093</f>
        <v>0.0505050505053077</v>
      </c>
      <c r="V1093" s="21" t="n">
        <f aca="false">Y1093-O1093*R1093/(1-R1093)</f>
        <v>162716.494949495</v>
      </c>
      <c r="W1093" s="21" t="n">
        <f aca="false">Z1093-P1093*R1093/(1-R1093)</f>
        <v>9910.45454545455</v>
      </c>
      <c r="X1093" s="21" t="n">
        <f aca="false">S1093+V1093+W1093</f>
        <v>189968</v>
      </c>
      <c r="Y1093" s="19" t="n">
        <v>179678</v>
      </c>
      <c r="Z1093" s="19" t="n">
        <v>10290</v>
      </c>
      <c r="AA1093" s="19" t="n">
        <v>1716764</v>
      </c>
      <c r="AB1093" s="29" t="n">
        <v>40.241</v>
      </c>
      <c r="AC1093" s="29" t="n">
        <v>41.03125</v>
      </c>
      <c r="AD1093" s="24" t="n">
        <f aca="false">IFERROR(AA1093/AC1093,0)</f>
        <v>41840.402132521</v>
      </c>
      <c r="AE1093" s="25" t="n">
        <f aca="false">K1093-Q1093-X1093</f>
        <v>-1.0000000000291</v>
      </c>
      <c r="AF1093" s="25" t="n">
        <f aca="false">Q1093-AA1093</f>
        <v>0</v>
      </c>
      <c r="AG1093" s="19" t="n">
        <v>1390796.01087308</v>
      </c>
      <c r="AH1093" s="26" t="n">
        <f aca="false">IFERROR(AG1093/Q1093,0)</f>
        <v>0.810126500132272</v>
      </c>
      <c r="AI1093" s="27" t="n">
        <v>434346250.02765</v>
      </c>
      <c r="AJ1093" s="26" t="n">
        <f aca="false">IF(AI1093&gt;0,AprCoef/SQRT(AI1093),0)</f>
        <v>0.0227436573363697</v>
      </c>
      <c r="AK1093" s="24" t="n">
        <f aca="false">AI1093*AJ1093/365</f>
        <v>27064.7185642905</v>
      </c>
      <c r="AL1093" s="24" t="n">
        <f aca="false">AD1093</f>
        <v>41840.402132521</v>
      </c>
      <c r="AM1093" s="24" t="n">
        <f aca="false">AK1093-AL1093</f>
        <v>-14775.6835682305</v>
      </c>
      <c r="AN1093" s="28" t="str">
        <f aca="false">IF(A1093&gt;=Hip3LaunchDate,"YES","")</f>
        <v>YES</v>
      </c>
      <c r="AO1093" s="28" t="str">
        <f aca="false">IF(A1093&lt;Hip4LaunchDate,"pre-launch","live (zero-fee)")</f>
        <v>live (zero-fee)</v>
      </c>
      <c r="AP1093" s="30" t="n">
        <v>148</v>
      </c>
      <c r="AQ1093" s="30" t="n">
        <v>113</v>
      </c>
      <c r="AR1093" s="19" t="n">
        <v>90041.9347673762</v>
      </c>
    </row>
    <row r="1094" customFormat="false" ht="15" hidden="false" customHeight="false" outlineLevel="0" collapsed="false">
      <c r="A1094" s="18" t="n">
        <v>46155</v>
      </c>
      <c r="B1094" s="19" t="n">
        <v>4167182327.94</v>
      </c>
      <c r="C1094" s="19" t="n">
        <v>2370813929.34</v>
      </c>
      <c r="D1094" s="19" t="n">
        <v>111453205</v>
      </c>
      <c r="E1094" s="21" t="n">
        <f aca="false">B1094+C1094</f>
        <v>6537996257.28</v>
      </c>
      <c r="F1094" s="21" t="n">
        <f aca="false">E1094+D1094</f>
        <v>6649449462.28</v>
      </c>
      <c r="G1094" s="22" t="n">
        <f aca="false">IFERROR(C1094/E1094,0)</f>
        <v>0.362620875883818</v>
      </c>
      <c r="H1094" s="19" t="n">
        <v>1905818</v>
      </c>
      <c r="I1094" s="19" t="n">
        <v>52693</v>
      </c>
      <c r="J1094" s="19" t="n">
        <v>17797</v>
      </c>
      <c r="K1094" s="21" t="n">
        <f aca="false">H1094+I1094</f>
        <v>1958511</v>
      </c>
      <c r="L1094" s="19" t="n">
        <v>85682.4555808971</v>
      </c>
      <c r="M1094" s="21" t="n">
        <f aca="false">H1094-L1094</f>
        <v>1820135.5444191</v>
      </c>
      <c r="N1094" s="23" t="n">
        <f aca="false">IFERROR(M1094/B1094*10000,0)</f>
        <v>4.3677847552182</v>
      </c>
      <c r="O1094" s="19" t="n">
        <v>1719687</v>
      </c>
      <c r="P1094" s="19" t="n">
        <v>41602</v>
      </c>
      <c r="Q1094" s="21" t="n">
        <f aca="false">O1094+P1094</f>
        <v>1761289</v>
      </c>
      <c r="R1094" s="22" t="n">
        <f aca="false">IF(A1094&lt;HlpChangeDate,HlpSharePre,HlpSharePost)</f>
        <v>0.01</v>
      </c>
      <c r="S1094" s="21" t="n">
        <f aca="false">Q1094*R1094/(1-R1094)</f>
        <v>17790.797979798</v>
      </c>
      <c r="T1094" s="19" t="n">
        <v>17797</v>
      </c>
      <c r="U1094" s="21" t="n">
        <f aca="false">S1094-T1094</f>
        <v>-6.20202020202123</v>
      </c>
      <c r="V1094" s="21" t="n">
        <f aca="false">Y1094-O1094*R1094/(1-R1094)</f>
        <v>168760.424242424</v>
      </c>
      <c r="W1094" s="21" t="n">
        <f aca="false">Z1094-P1094*R1094/(1-R1094)</f>
        <v>10671.7777777778</v>
      </c>
      <c r="X1094" s="21" t="n">
        <f aca="false">S1094+V1094+W1094</f>
        <v>197223</v>
      </c>
      <c r="Y1094" s="19" t="n">
        <v>186131</v>
      </c>
      <c r="Z1094" s="19" t="n">
        <v>11092</v>
      </c>
      <c r="AA1094" s="19" t="n">
        <v>1761289</v>
      </c>
      <c r="AB1094" s="29" t="n">
        <v>38.79</v>
      </c>
      <c r="AC1094" s="29" t="n">
        <v>39.59125</v>
      </c>
      <c r="AD1094" s="24" t="n">
        <f aca="false">IFERROR(AA1094/AC1094,0)</f>
        <v>44486.8247403151</v>
      </c>
      <c r="AE1094" s="25" t="n">
        <f aca="false">K1094-Q1094-X1094</f>
        <v>-1.0000000000291</v>
      </c>
      <c r="AF1094" s="25" t="n">
        <f aca="false">Q1094-AA1094</f>
        <v>0</v>
      </c>
      <c r="AG1094" s="19" t="n">
        <v>1501373.5393579</v>
      </c>
      <c r="AH1094" s="26" t="n">
        <f aca="false">IFERROR(AG1094/Q1094,0)</f>
        <v>0.852428840103981</v>
      </c>
      <c r="AI1094" s="27" t="n">
        <v>434501016.774194</v>
      </c>
      <c r="AJ1094" s="26" t="n">
        <f aca="false">IF(AI1094&gt;0,AprCoef/SQRT(AI1094),0)</f>
        <v>0.0227396063960751</v>
      </c>
      <c r="AK1094" s="24" t="n">
        <f aca="false">AI1094*AJ1094/365</f>
        <v>27069.5400003824</v>
      </c>
      <c r="AL1094" s="24" t="n">
        <f aca="false">AD1094</f>
        <v>44486.8247403151</v>
      </c>
      <c r="AM1094" s="24" t="n">
        <f aca="false">AK1094-AL1094</f>
        <v>-17417.2847399327</v>
      </c>
      <c r="AN1094" s="28" t="str">
        <f aca="false">IF(A1094&gt;=Hip3LaunchDate,"YES","")</f>
        <v>YES</v>
      </c>
      <c r="AO1094" s="28" t="str">
        <f aca="false">IF(A1094&lt;Hip4LaunchDate,"pre-launch","live (zero-fee)")</f>
        <v>live (zero-fee)</v>
      </c>
      <c r="AP1094" s="30" t="n">
        <v>148</v>
      </c>
      <c r="AQ1094" s="30" t="n">
        <v>113</v>
      </c>
      <c r="AR1094" s="19" t="n">
        <v>83751.4661818804</v>
      </c>
    </row>
    <row r="1095" customFormat="false" ht="15" hidden="false" customHeight="false" outlineLevel="0" collapsed="false">
      <c r="A1095" s="18" t="n">
        <v>46156</v>
      </c>
      <c r="B1095" s="19" t="n">
        <v>5315894261.58</v>
      </c>
      <c r="C1095" s="19" t="n">
        <v>2768265128.04</v>
      </c>
      <c r="D1095" s="19" t="n">
        <v>208016733</v>
      </c>
      <c r="E1095" s="21" t="n">
        <f aca="false">B1095+C1095</f>
        <v>8084159389.62</v>
      </c>
      <c r="F1095" s="21" t="n">
        <f aca="false">E1095+D1095</f>
        <v>8292176122.62</v>
      </c>
      <c r="G1095" s="22" t="n">
        <f aca="false">IFERROR(C1095/E1095,0)</f>
        <v>0.342430795166462</v>
      </c>
      <c r="H1095" s="19" t="n">
        <v>2438921</v>
      </c>
      <c r="I1095" s="19" t="n">
        <v>103348</v>
      </c>
      <c r="J1095" s="19" t="n">
        <v>23169</v>
      </c>
      <c r="K1095" s="21" t="n">
        <f aca="false">H1095+I1095</f>
        <v>2542269</v>
      </c>
      <c r="L1095" s="19" t="n">
        <v>95930.2860898291</v>
      </c>
      <c r="M1095" s="21" t="n">
        <f aca="false">H1095-L1095</f>
        <v>2342990.71391017</v>
      </c>
      <c r="N1095" s="23" t="n">
        <f aca="false">IFERROR(M1095/B1095*10000,0)</f>
        <v>4.40751940993985</v>
      </c>
      <c r="O1095" s="19" t="n">
        <v>2203452</v>
      </c>
      <c r="P1095" s="19" t="n">
        <v>90313</v>
      </c>
      <c r="Q1095" s="21" t="n">
        <f aca="false">O1095+P1095</f>
        <v>2293765</v>
      </c>
      <c r="R1095" s="22" t="n">
        <f aca="false">IF(A1095&lt;HlpChangeDate,HlpSharePre,HlpSharePost)</f>
        <v>0.01</v>
      </c>
      <c r="S1095" s="21" t="n">
        <f aca="false">Q1095*R1095/(1-R1095)</f>
        <v>23169.3434343434</v>
      </c>
      <c r="T1095" s="19" t="n">
        <v>23169</v>
      </c>
      <c r="U1095" s="21" t="n">
        <f aca="false">S1095-T1095</f>
        <v>0.343434343434637</v>
      </c>
      <c r="V1095" s="21" t="n">
        <f aca="false">Y1095-O1095*R1095/(1-R1095)</f>
        <v>213211.909090909</v>
      </c>
      <c r="W1095" s="21" t="n">
        <f aca="false">Z1095-P1095*R1095/(1-R1095)</f>
        <v>12122.7474747475</v>
      </c>
      <c r="X1095" s="21" t="n">
        <f aca="false">S1095+V1095+W1095</f>
        <v>248504</v>
      </c>
      <c r="Y1095" s="19" t="n">
        <v>235469</v>
      </c>
      <c r="Z1095" s="19" t="n">
        <v>13035</v>
      </c>
      <c r="AA1095" s="19" t="n">
        <v>2293765</v>
      </c>
      <c r="AB1095" s="29" t="n">
        <v>44.161</v>
      </c>
      <c r="AC1095" s="29" t="n">
        <v>41.4725</v>
      </c>
      <c r="AD1095" s="24" t="n">
        <f aca="false">IFERROR(AA1095/AC1095,0)</f>
        <v>55308.0957260836</v>
      </c>
      <c r="AE1095" s="25" t="n">
        <f aca="false">K1095-Q1095-X1095</f>
        <v>0</v>
      </c>
      <c r="AF1095" s="25" t="n">
        <f aca="false">Q1095-AA1095</f>
        <v>0</v>
      </c>
      <c r="AG1095" s="19" t="n">
        <v>1851246.69610095</v>
      </c>
      <c r="AH1095" s="26" t="n">
        <f aca="false">IFERROR(AG1095/Q1095,0)</f>
        <v>0.807077750380248</v>
      </c>
      <c r="AI1095" s="27" t="n">
        <v>434655783.520737</v>
      </c>
      <c r="AJ1095" s="26" t="n">
        <f aca="false">IF(AI1095&gt;0,AprCoef/SQRT(AI1095),0)</f>
        <v>0.0227355576195847</v>
      </c>
      <c r="AK1095" s="24" t="n">
        <f aca="false">AI1095*AJ1095/365</f>
        <v>27074.360577867</v>
      </c>
      <c r="AL1095" s="24" t="n">
        <f aca="false">AD1095</f>
        <v>55308.0957260836</v>
      </c>
      <c r="AM1095" s="24" t="n">
        <f aca="false">AK1095-AL1095</f>
        <v>-28233.7351482166</v>
      </c>
      <c r="AN1095" s="28" t="str">
        <f aca="false">IF(A1095&gt;=Hip3LaunchDate,"YES","")</f>
        <v>YES</v>
      </c>
      <c r="AO1095" s="28" t="str">
        <f aca="false">IF(A1095&lt;Hip4LaunchDate,"pre-launch","live (zero-fee)")</f>
        <v>live (zero-fee)</v>
      </c>
      <c r="AP1095" s="30" t="n">
        <v>149</v>
      </c>
      <c r="AQ1095" s="30" t="n">
        <v>113</v>
      </c>
      <c r="AR1095" s="19" t="n">
        <v>93883.2255629314</v>
      </c>
    </row>
    <row r="1096" customFormat="false" ht="15" hidden="false" customHeight="false" outlineLevel="0" collapsed="false">
      <c r="A1096" s="18" t="n">
        <v>46157</v>
      </c>
      <c r="B1096" s="19" t="n">
        <v>5178753406.46</v>
      </c>
      <c r="C1096" s="19" t="n">
        <v>2956002966.25</v>
      </c>
      <c r="D1096" s="19" t="n">
        <v>192791720</v>
      </c>
      <c r="E1096" s="21" t="n">
        <f aca="false">B1096+C1096</f>
        <v>8134756372.71</v>
      </c>
      <c r="F1096" s="21" t="n">
        <f aca="false">E1096+D1096</f>
        <v>8327548092.71</v>
      </c>
      <c r="G1096" s="22" t="n">
        <f aca="false">IFERROR(C1096/E1096,0)</f>
        <v>0.363379409390381</v>
      </c>
      <c r="H1096" s="19" t="n">
        <v>2346261</v>
      </c>
      <c r="I1096" s="19" t="n">
        <v>94867</v>
      </c>
      <c r="J1096" s="19" t="n">
        <v>22443</v>
      </c>
      <c r="K1096" s="21" t="n">
        <f aca="false">H1096+I1096</f>
        <v>2441128</v>
      </c>
      <c r="L1096" s="19" t="n">
        <v>111373.294953385</v>
      </c>
      <c r="M1096" s="21" t="n">
        <f aca="false">H1096-L1096</f>
        <v>2234887.70504662</v>
      </c>
      <c r="N1096" s="23" t="n">
        <f aca="false">IFERROR(M1096/B1096*10000,0)</f>
        <v>4.31549357468693</v>
      </c>
      <c r="O1096" s="19" t="n">
        <v>2137741</v>
      </c>
      <c r="P1096" s="19" t="n">
        <v>84143</v>
      </c>
      <c r="Q1096" s="21" t="n">
        <f aca="false">O1096+P1096</f>
        <v>2221884</v>
      </c>
      <c r="R1096" s="22" t="n">
        <f aca="false">IF(A1096&lt;HlpChangeDate,HlpSharePre,HlpSharePost)</f>
        <v>0.01</v>
      </c>
      <c r="S1096" s="21" t="n">
        <f aca="false">Q1096*R1096/(1-R1096)</f>
        <v>22443.2727272727</v>
      </c>
      <c r="T1096" s="19" t="n">
        <v>22443</v>
      </c>
      <c r="U1096" s="21" t="n">
        <f aca="false">S1096-T1096</f>
        <v>0.272727272727934</v>
      </c>
      <c r="V1096" s="21" t="n">
        <f aca="false">Y1096-O1096*R1096/(1-R1096)</f>
        <v>186926.656565657</v>
      </c>
      <c r="W1096" s="21" t="n">
        <f aca="false">Z1096-P1096*R1096/(1-R1096)</f>
        <v>9875.07070707071</v>
      </c>
      <c r="X1096" s="21" t="n">
        <f aca="false">S1096+V1096+W1096</f>
        <v>219245</v>
      </c>
      <c r="Y1096" s="19" t="n">
        <v>208520</v>
      </c>
      <c r="Z1096" s="19" t="n">
        <v>10725</v>
      </c>
      <c r="AA1096" s="19" t="n">
        <v>2221884</v>
      </c>
      <c r="AB1096" s="29" t="n">
        <v>44.179</v>
      </c>
      <c r="AC1096" s="29" t="n">
        <v>44.4865</v>
      </c>
      <c r="AD1096" s="24" t="n">
        <f aca="false">IFERROR(AA1096/AC1096,0)</f>
        <v>49945.1294212851</v>
      </c>
      <c r="AE1096" s="25" t="n">
        <f aca="false">K1096-Q1096-X1096</f>
        <v>-1</v>
      </c>
      <c r="AF1096" s="25" t="n">
        <f aca="false">Q1096-AA1096</f>
        <v>0</v>
      </c>
      <c r="AG1096" s="19" t="n">
        <v>1821819.46313</v>
      </c>
      <c r="AH1096" s="26" t="n">
        <f aca="false">IFERROR(AG1096/Q1096,0)</f>
        <v>0.81994355381739</v>
      </c>
      <c r="AI1096" s="27" t="n">
        <v>434810550.267281</v>
      </c>
      <c r="AJ1096" s="26" t="n">
        <f aca="false">IF(AI1096&gt;0,AprCoef/SQRT(AI1096),0)</f>
        <v>0.0227315110049728</v>
      </c>
      <c r="AK1096" s="24" t="n">
        <f aca="false">AI1096*AJ1096/365</f>
        <v>27079.1802972027</v>
      </c>
      <c r="AL1096" s="24" t="n">
        <f aca="false">AD1096</f>
        <v>49945.1294212851</v>
      </c>
      <c r="AM1096" s="24" t="n">
        <f aca="false">AK1096-AL1096</f>
        <v>-22865.9491240824</v>
      </c>
      <c r="AN1096" s="28" t="str">
        <f aca="false">IF(A1096&gt;=Hip3LaunchDate,"YES","")</f>
        <v>YES</v>
      </c>
      <c r="AO1096" s="28" t="str">
        <f aca="false">IF(A1096&lt;Hip4LaunchDate,"pre-launch","live (zero-fee)")</f>
        <v>live (zero-fee)</v>
      </c>
      <c r="AP1096" s="30" t="n">
        <v>149</v>
      </c>
      <c r="AQ1096" s="30" t="n">
        <v>113</v>
      </c>
      <c r="AR1096" s="19" t="n">
        <v>107642.370354324</v>
      </c>
    </row>
    <row r="1097" customFormat="false" ht="15" hidden="false" customHeight="false" outlineLevel="0" collapsed="false">
      <c r="A1097" s="18" t="n">
        <v>46158</v>
      </c>
      <c r="B1097" s="19" t="n">
        <v>3179282899.59</v>
      </c>
      <c r="C1097" s="19" t="n">
        <v>302932910.2</v>
      </c>
      <c r="D1097" s="19" t="n">
        <v>127315216</v>
      </c>
      <c r="E1097" s="21" t="n">
        <f aca="false">B1097+C1097</f>
        <v>3482215809.79</v>
      </c>
      <c r="F1097" s="21" t="n">
        <f aca="false">E1097+D1097</f>
        <v>3609531025.79</v>
      </c>
      <c r="G1097" s="22" t="n">
        <f aca="false">IFERROR(C1097/E1097,0)</f>
        <v>0.0869942952267134</v>
      </c>
      <c r="H1097" s="19" t="n">
        <v>1282475</v>
      </c>
      <c r="I1097" s="19" t="n">
        <v>60919</v>
      </c>
      <c r="J1097" s="19" t="n">
        <v>12377</v>
      </c>
      <c r="K1097" s="21" t="n">
        <f aca="false">H1097+I1097</f>
        <v>1343394</v>
      </c>
      <c r="L1097" s="19" t="n">
        <v>18844.9163848666</v>
      </c>
      <c r="M1097" s="21" t="n">
        <f aca="false">H1097-L1097</f>
        <v>1263630.08361513</v>
      </c>
      <c r="N1097" s="23" t="n">
        <f aca="false">IFERROR(M1097/B1097*10000,0)</f>
        <v>3.97457578807501</v>
      </c>
      <c r="O1097" s="19" t="n">
        <v>1170741</v>
      </c>
      <c r="P1097" s="19" t="n">
        <v>54626</v>
      </c>
      <c r="Q1097" s="21" t="n">
        <f aca="false">O1097+P1097</f>
        <v>1225367</v>
      </c>
      <c r="R1097" s="22" t="n">
        <f aca="false">IF(A1097&lt;HlpChangeDate,HlpSharePre,HlpSharePost)</f>
        <v>0.01</v>
      </c>
      <c r="S1097" s="21" t="n">
        <f aca="false">Q1097*R1097/(1-R1097)</f>
        <v>12377.4444444444</v>
      </c>
      <c r="T1097" s="19" t="n">
        <v>12377</v>
      </c>
      <c r="U1097" s="21" t="n">
        <f aca="false">S1097-T1097</f>
        <v>0.444444444445253</v>
      </c>
      <c r="V1097" s="21" t="n">
        <f aca="false">Y1097-O1097*R1097/(1-R1097)</f>
        <v>99908.3333333333</v>
      </c>
      <c r="W1097" s="21" t="n">
        <f aca="false">Z1097-P1097*R1097/(1-R1097)</f>
        <v>5742.22222222222</v>
      </c>
      <c r="X1097" s="21" t="n">
        <f aca="false">S1097+V1097+W1097</f>
        <v>118028</v>
      </c>
      <c r="Y1097" s="19" t="n">
        <v>111734</v>
      </c>
      <c r="Z1097" s="19" t="n">
        <v>6294</v>
      </c>
      <c r="AA1097" s="19" t="n">
        <v>1225367</v>
      </c>
      <c r="AB1097" s="29" t="n">
        <v>41.822</v>
      </c>
      <c r="AC1097" s="29" t="n">
        <v>42.65575</v>
      </c>
      <c r="AD1097" s="24" t="n">
        <f aca="false">IFERROR(AA1097/AC1097,0)</f>
        <v>28726.8891063925</v>
      </c>
      <c r="AE1097" s="25" t="n">
        <f aca="false">K1097-Q1097-X1097</f>
        <v>-1</v>
      </c>
      <c r="AF1097" s="25" t="n">
        <f aca="false">Q1097-AA1097</f>
        <v>0</v>
      </c>
      <c r="AG1097" s="19" t="n">
        <v>1016347.27288008</v>
      </c>
      <c r="AH1097" s="26" t="n">
        <f aca="false">IFERROR(AG1097/Q1097,0)</f>
        <v>0.829422754880846</v>
      </c>
      <c r="AI1097" s="27" t="n">
        <v>434965317.013825</v>
      </c>
      <c r="AJ1097" s="26" t="n">
        <f aca="false">IF(AI1097&gt;0,AprCoef/SQRT(AI1097),0)</f>
        <v>0.0227274665503163</v>
      </c>
      <c r="AK1097" s="24" t="n">
        <f aca="false">AI1097*AJ1097/365</f>
        <v>27083.9991588477</v>
      </c>
      <c r="AL1097" s="24" t="n">
        <f aca="false">AD1097</f>
        <v>28726.8891063925</v>
      </c>
      <c r="AM1097" s="24" t="n">
        <f aca="false">AK1097-AL1097</f>
        <v>-1642.88994754471</v>
      </c>
      <c r="AN1097" s="28" t="str">
        <f aca="false">IF(A1097&gt;=Hip3LaunchDate,"YES","")</f>
        <v>YES</v>
      </c>
      <c r="AO1097" s="28" t="str">
        <f aca="false">IF(A1097&lt;Hip4LaunchDate,"pre-launch","live (zero-fee)")</f>
        <v>live (zero-fee)</v>
      </c>
      <c r="AP1097" s="30" t="n">
        <v>149</v>
      </c>
      <c r="AQ1097" s="30" t="n">
        <v>113</v>
      </c>
      <c r="AR1097" s="19" t="n">
        <v>16944.8169516972</v>
      </c>
    </row>
    <row r="1098" customFormat="false" ht="15" hidden="false" customHeight="false" outlineLevel="0" collapsed="false">
      <c r="A1098" s="18" t="n">
        <v>46159</v>
      </c>
      <c r="B1098" s="19" t="n">
        <v>3483019195.7</v>
      </c>
      <c r="C1098" s="19" t="n">
        <v>480977985.02</v>
      </c>
      <c r="D1098" s="19" t="n">
        <v>150653145</v>
      </c>
      <c r="E1098" s="21" t="n">
        <f aca="false">B1098+C1098</f>
        <v>3963997180.72</v>
      </c>
      <c r="F1098" s="21" t="n">
        <f aca="false">E1098+D1098</f>
        <v>4114650325.72</v>
      </c>
      <c r="G1098" s="22" t="n">
        <f aca="false">IFERROR(C1098/E1098,0)</f>
        <v>0.121336611276963</v>
      </c>
      <c r="H1098" s="19" t="n">
        <v>1442833</v>
      </c>
      <c r="I1098" s="19" t="n">
        <v>74652</v>
      </c>
      <c r="J1098" s="19" t="n">
        <v>14000</v>
      </c>
      <c r="K1098" s="21" t="n">
        <f aca="false">H1098+I1098</f>
        <v>1517485</v>
      </c>
      <c r="L1098" s="19" t="n">
        <v>20394.80501832</v>
      </c>
      <c r="M1098" s="21" t="n">
        <f aca="false">H1098-L1098</f>
        <v>1422438.19498168</v>
      </c>
      <c r="N1098" s="23" t="n">
        <f aca="false">IFERROR(M1098/B1098*10000,0)</f>
        <v>4.08392292737797</v>
      </c>
      <c r="O1098" s="19" t="n">
        <v>1319876</v>
      </c>
      <c r="P1098" s="19" t="n">
        <v>66106</v>
      </c>
      <c r="Q1098" s="21" t="n">
        <f aca="false">O1098+P1098</f>
        <v>1385982</v>
      </c>
      <c r="R1098" s="22" t="n">
        <f aca="false">IF(A1098&lt;HlpChangeDate,HlpSharePre,HlpSharePost)</f>
        <v>0.01</v>
      </c>
      <c r="S1098" s="21" t="n">
        <f aca="false">Q1098*R1098/(1-R1098)</f>
        <v>13999.8181818182</v>
      </c>
      <c r="T1098" s="19" t="n">
        <v>14000</v>
      </c>
      <c r="U1098" s="21" t="n">
        <f aca="false">S1098-T1098</f>
        <v>-0.181818181818016</v>
      </c>
      <c r="V1098" s="21" t="n">
        <f aca="false">Y1098-O1098*R1098/(1-R1098)</f>
        <v>109624.919191919</v>
      </c>
      <c r="W1098" s="21" t="n">
        <f aca="false">Z1098-P1098*R1098/(1-R1098)</f>
        <v>7878.26262626263</v>
      </c>
      <c r="X1098" s="21" t="n">
        <f aca="false">S1098+V1098+W1098</f>
        <v>131503</v>
      </c>
      <c r="Y1098" s="19" t="n">
        <v>122957</v>
      </c>
      <c r="Z1098" s="19" t="n">
        <v>8546</v>
      </c>
      <c r="AA1098" s="19" t="n">
        <v>1385982</v>
      </c>
      <c r="AB1098" s="29" t="n">
        <v>45.728</v>
      </c>
      <c r="AC1098" s="29" t="n">
        <v>44.04925</v>
      </c>
      <c r="AD1098" s="24" t="n">
        <f aca="false">IFERROR(AA1098/AC1098,0)</f>
        <v>31464.372265135</v>
      </c>
      <c r="AE1098" s="25" t="n">
        <f aca="false">K1098-Q1098-X1098</f>
        <v>0</v>
      </c>
      <c r="AF1098" s="25" t="n">
        <f aca="false">Q1098-AA1098</f>
        <v>0</v>
      </c>
      <c r="AG1098" s="19" t="n">
        <v>943146.345864058</v>
      </c>
      <c r="AH1098" s="26" t="n">
        <f aca="false">IFERROR(AG1098/Q1098,0)</f>
        <v>0.680489606549044</v>
      </c>
      <c r="AI1098" s="27" t="n">
        <v>435120083.760369</v>
      </c>
      <c r="AJ1098" s="26" t="n">
        <f aca="false">IF(AI1098&gt;0,AprCoef/SQRT(AI1098),0)</f>
        <v>0.0227234242536942</v>
      </c>
      <c r="AK1098" s="24" t="n">
        <f aca="false">AI1098*AJ1098/365</f>
        <v>27088.8171632598</v>
      </c>
      <c r="AL1098" s="24" t="n">
        <f aca="false">AD1098</f>
        <v>31464.372265135</v>
      </c>
      <c r="AM1098" s="24" t="n">
        <f aca="false">AK1098-AL1098</f>
        <v>-4375.55510187523</v>
      </c>
      <c r="AN1098" s="28" t="str">
        <f aca="false">IF(A1098&gt;=Hip3LaunchDate,"YES","")</f>
        <v>YES</v>
      </c>
      <c r="AO1098" s="28" t="str">
        <f aca="false">IF(A1098&lt;Hip4LaunchDate,"pre-launch","live (zero-fee)")</f>
        <v>live (zero-fee)</v>
      </c>
      <c r="AP1098" s="30" t="n">
        <v>150</v>
      </c>
      <c r="AQ1098" s="30" t="n">
        <v>114</v>
      </c>
      <c r="AR1098" s="19" t="n">
        <v>17073.3986942739</v>
      </c>
    </row>
    <row r="1099" customFormat="false" ht="15" hidden="false" customHeight="false" outlineLevel="0" collapsed="false">
      <c r="A1099" s="18" t="n">
        <v>46160</v>
      </c>
      <c r="B1099" s="19" t="n">
        <v>5881158113.55</v>
      </c>
      <c r="C1099" s="19" t="n">
        <v>3540504508.72</v>
      </c>
      <c r="D1099" s="19" t="n">
        <v>175295578</v>
      </c>
      <c r="E1099" s="21" t="n">
        <f aca="false">B1099+C1099</f>
        <v>9421662622.27</v>
      </c>
      <c r="F1099" s="21" t="n">
        <f aca="false">E1099+D1099</f>
        <v>9596958200.27</v>
      </c>
      <c r="G1099" s="22" t="n">
        <f aca="false">IFERROR(C1099/E1099,0)</f>
        <v>0.375783410069397</v>
      </c>
      <c r="H1099" s="19" t="n">
        <v>2398869</v>
      </c>
      <c r="I1099" s="19" t="n">
        <v>81857</v>
      </c>
      <c r="J1099" s="19" t="n">
        <v>22718</v>
      </c>
      <c r="K1099" s="21" t="n">
        <f aca="false">H1099+I1099</f>
        <v>2480726</v>
      </c>
      <c r="L1099" s="19" t="n">
        <v>121946.968645168</v>
      </c>
      <c r="M1099" s="21" t="n">
        <f aca="false">H1099-L1099</f>
        <v>2276922.03135483</v>
      </c>
      <c r="N1099" s="23" t="n">
        <f aca="false">IFERROR(M1099/B1099*10000,0)</f>
        <v>3.87155384601696</v>
      </c>
      <c r="O1099" s="19" t="n">
        <v>2178450</v>
      </c>
      <c r="P1099" s="19" t="n">
        <v>70649</v>
      </c>
      <c r="Q1099" s="21" t="n">
        <f aca="false">O1099+P1099</f>
        <v>2249099</v>
      </c>
      <c r="R1099" s="22" t="n">
        <f aca="false">IF(A1099&lt;HlpChangeDate,HlpSharePre,HlpSharePost)</f>
        <v>0.01</v>
      </c>
      <c r="S1099" s="21" t="n">
        <f aca="false">Q1099*R1099/(1-R1099)</f>
        <v>22718.1717171717</v>
      </c>
      <c r="T1099" s="19" t="n">
        <v>22718</v>
      </c>
      <c r="U1099" s="21" t="n">
        <f aca="false">S1099-T1099</f>
        <v>0.171717171717319</v>
      </c>
      <c r="V1099" s="21" t="n">
        <f aca="false">Y1099-O1099*R1099/(1-R1099)</f>
        <v>198414.454545455</v>
      </c>
      <c r="W1099" s="21" t="n">
        <f aca="false">Z1099-P1099*R1099/(1-R1099)</f>
        <v>10494.3737373737</v>
      </c>
      <c r="X1099" s="21" t="n">
        <f aca="false">S1099+V1099+W1099</f>
        <v>231627</v>
      </c>
      <c r="Y1099" s="19" t="n">
        <v>220419</v>
      </c>
      <c r="Z1099" s="19" t="n">
        <v>11208</v>
      </c>
      <c r="AA1099" s="19" t="n">
        <v>2249099</v>
      </c>
      <c r="AB1099" s="29" t="n">
        <v>47.74</v>
      </c>
      <c r="AC1099" s="29" t="n">
        <v>46.40625</v>
      </c>
      <c r="AD1099" s="24" t="n">
        <f aca="false">IFERROR(AA1099/AC1099,0)</f>
        <v>48465.432996633</v>
      </c>
      <c r="AE1099" s="25" t="n">
        <f aca="false">K1099-Q1099-X1099</f>
        <v>0</v>
      </c>
      <c r="AF1099" s="25" t="n">
        <f aca="false">Q1099-AA1099</f>
        <v>0</v>
      </c>
      <c r="AG1099" s="19" t="n">
        <v>2037760.71624684</v>
      </c>
      <c r="AH1099" s="26" t="n">
        <f aca="false">IFERROR(AG1099/Q1099,0)</f>
        <v>0.906034245823258</v>
      </c>
      <c r="AI1099" s="27" t="n">
        <v>435274850.506913</v>
      </c>
      <c r="AJ1099" s="26" t="n">
        <f aca="false">IF(AI1099&gt;0,AprCoef/SQRT(AI1099),0)</f>
        <v>0.0227193841131882</v>
      </c>
      <c r="AK1099" s="24" t="n">
        <f aca="false">AI1099*AJ1099/365</f>
        <v>27093.6343108962</v>
      </c>
      <c r="AL1099" s="24" t="n">
        <f aca="false">AD1099</f>
        <v>48465.432996633</v>
      </c>
      <c r="AM1099" s="24" t="n">
        <f aca="false">AK1099-AL1099</f>
        <v>-21371.7986857368</v>
      </c>
      <c r="AN1099" s="28" t="str">
        <f aca="false">IF(A1099&gt;=Hip3LaunchDate,"YES","")</f>
        <v>YES</v>
      </c>
      <c r="AO1099" s="28" t="str">
        <f aca="false">IF(A1099&lt;Hip4LaunchDate,"pre-launch","live (zero-fee)")</f>
        <v>live (zero-fee)</v>
      </c>
      <c r="AP1099" s="30" t="n">
        <v>151</v>
      </c>
      <c r="AQ1099" s="30" t="n">
        <v>115</v>
      </c>
      <c r="AR1099" s="19" t="n">
        <v>116172.439127761</v>
      </c>
    </row>
    <row r="1100" customFormat="false" ht="15" hidden="false" customHeight="false" outlineLevel="0" collapsed="false">
      <c r="A1100" s="18" t="n">
        <v>46161</v>
      </c>
      <c r="B1100" s="20"/>
      <c r="C1100" s="20"/>
      <c r="D1100" s="19" t="n">
        <v>146149107</v>
      </c>
      <c r="E1100" s="21" t="n">
        <f aca="false">B1100+C1100</f>
        <v>0</v>
      </c>
      <c r="F1100" s="21" t="n">
        <f aca="false">E1100+D1100</f>
        <v>146149107</v>
      </c>
      <c r="G1100" s="22" t="n">
        <f aca="false">IFERROR(C1100/E1100,0)</f>
        <v>0</v>
      </c>
      <c r="H1100" s="19" t="n">
        <v>1585955</v>
      </c>
      <c r="I1100" s="19" t="n">
        <v>71739</v>
      </c>
      <c r="J1100" s="19" t="n">
        <v>15309</v>
      </c>
      <c r="K1100" s="21" t="n">
        <f aca="false">H1100+I1100</f>
        <v>1657694</v>
      </c>
      <c r="L1100" s="19" t="n">
        <v>166353.022806776</v>
      </c>
      <c r="M1100" s="21" t="n">
        <f aca="false">H1100-L1100</f>
        <v>1419601.97719322</v>
      </c>
      <c r="N1100" s="23" t="n">
        <f aca="false">IFERROR(M1100/B1100*10000,0)</f>
        <v>0</v>
      </c>
      <c r="O1100" s="19" t="n">
        <v>1451085</v>
      </c>
      <c r="P1100" s="19" t="n">
        <v>64462</v>
      </c>
      <c r="Q1100" s="21" t="n">
        <f aca="false">O1100+P1100</f>
        <v>1515547</v>
      </c>
      <c r="R1100" s="22" t="n">
        <f aca="false">IF(A1100&lt;HlpChangeDate,HlpSharePre,HlpSharePost)</f>
        <v>0.01</v>
      </c>
      <c r="S1100" s="21" t="n">
        <f aca="false">Q1100*R1100/(1-R1100)</f>
        <v>15308.5555555556</v>
      </c>
      <c r="T1100" s="19" t="n">
        <v>15309</v>
      </c>
      <c r="U1100" s="21" t="n">
        <f aca="false">S1100-T1100</f>
        <v>-0.444444444443434</v>
      </c>
      <c r="V1100" s="21" t="n">
        <f aca="false">Y1100-O1100*R1100/(1-R1100)</f>
        <v>120211.575757576</v>
      </c>
      <c r="W1100" s="21" t="n">
        <f aca="false">Z1100-P1100*R1100/(1-R1100)</f>
        <v>6626.86868686869</v>
      </c>
      <c r="X1100" s="21" t="n">
        <f aca="false">S1100+V1100+W1100</f>
        <v>142147</v>
      </c>
      <c r="Y1100" s="19" t="n">
        <v>134869</v>
      </c>
      <c r="Z1100" s="19" t="n">
        <v>7278</v>
      </c>
      <c r="AA1100" s="19" t="n">
        <v>1515547</v>
      </c>
      <c r="AB1100" s="29" t="n">
        <v>48.029</v>
      </c>
      <c r="AC1100" s="29" t="n">
        <v>47.8775</v>
      </c>
      <c r="AD1100" s="24" t="n">
        <f aca="false">IFERROR(AA1100/AC1100,0)</f>
        <v>31654.681217691</v>
      </c>
      <c r="AE1100" s="25" t="n">
        <f aca="false">K1100-Q1100-X1100</f>
        <v>0</v>
      </c>
      <c r="AF1100" s="25" t="n">
        <f aca="false">Q1100-AA1100</f>
        <v>0</v>
      </c>
      <c r="AG1100" s="19" t="n">
        <v>1328879.71140599</v>
      </c>
      <c r="AH1100" s="26" t="n">
        <f aca="false">IFERROR(AG1100/Q1100,0)</f>
        <v>0.876831738907466</v>
      </c>
      <c r="AI1100" s="27" t="n">
        <v>435429617.253456</v>
      </c>
      <c r="AJ1100" s="26" t="n">
        <f aca="false">IF(AI1100&gt;0,AprCoef/SQRT(AI1100),0)</f>
        <v>0.0227153461268822</v>
      </c>
      <c r="AK1100" s="24" t="n">
        <f aca="false">AI1100*AJ1100/365</f>
        <v>27098.4506022139</v>
      </c>
      <c r="AL1100" s="24" t="n">
        <f aca="false">AD1100</f>
        <v>31654.681217691</v>
      </c>
      <c r="AM1100" s="24" t="n">
        <f aca="false">AK1100-AL1100</f>
        <v>-4556.23061547709</v>
      </c>
      <c r="AN1100" s="28" t="str">
        <f aca="false">IF(A1100&gt;=Hip3LaunchDate,"YES","")</f>
        <v>YES</v>
      </c>
      <c r="AO1100" s="28" t="str">
        <f aca="false">IF(A1100&lt;Hip4LaunchDate,"pre-launch","live (zero-fee)")</f>
        <v>live (zero-fee)</v>
      </c>
      <c r="AP1100" s="30" t="n">
        <v>151</v>
      </c>
      <c r="AQ1100" s="30" t="n">
        <v>115</v>
      </c>
      <c r="AR1100" s="19" t="n">
        <v>163168.368029568</v>
      </c>
    </row>
    <row r="1101" customFormat="false" ht="15" hidden="false" customHeight="false" outlineLevel="0" collapsed="false">
      <c r="A1101" s="18" t="n">
        <v>46162</v>
      </c>
      <c r="B1101" s="20"/>
      <c r="C1101" s="20"/>
      <c r="D1101" s="20"/>
      <c r="E1101" s="21" t="n">
        <f aca="false">B1101+C1101</f>
        <v>0</v>
      </c>
      <c r="F1101" s="21" t="n">
        <f aca="false">E1101+D1101</f>
        <v>0</v>
      </c>
      <c r="G1101" s="22" t="n">
        <f aca="false">IFERROR(C1101/E1101,0)</f>
        <v>0</v>
      </c>
      <c r="H1101" s="20"/>
      <c r="I1101" s="20"/>
      <c r="J1101" s="20"/>
      <c r="K1101" s="21" t="n">
        <f aca="false">H1101+I1101</f>
        <v>0</v>
      </c>
      <c r="L1101" s="19" t="n">
        <v>10384.3333650134</v>
      </c>
      <c r="M1101" s="21" t="n">
        <f aca="false">H1101-L1101</f>
        <v>-10384.3333650134</v>
      </c>
      <c r="N1101" s="23" t="n">
        <f aca="false">IFERROR(M1101/B1101*10000,0)</f>
        <v>0</v>
      </c>
      <c r="O1101" s="20"/>
      <c r="P1101" s="20"/>
      <c r="Q1101" s="21" t="n">
        <f aca="false">O1101+P1101</f>
        <v>0</v>
      </c>
      <c r="R1101" s="22" t="n">
        <f aca="false">IF(A1101&lt;HlpChangeDate,HlpSharePre,HlpSharePost)</f>
        <v>0.01</v>
      </c>
      <c r="S1101" s="21" t="n">
        <f aca="false">Q1101*R1101/(1-R1101)</f>
        <v>0</v>
      </c>
      <c r="T1101" s="20"/>
      <c r="U1101" s="21" t="n">
        <f aca="false">S1101-T1101</f>
        <v>0</v>
      </c>
      <c r="V1101" s="21" t="n">
        <f aca="false">Y1101-O1101*R1101/(1-R1101)</f>
        <v>0</v>
      </c>
      <c r="W1101" s="21" t="n">
        <f aca="false">Z1101-P1101*R1101/(1-R1101)</f>
        <v>0</v>
      </c>
      <c r="X1101" s="21" t="n">
        <f aca="false">S1101+V1101+W1101</f>
        <v>0</v>
      </c>
      <c r="Y1101" s="20"/>
      <c r="Z1101" s="20"/>
      <c r="AA1101" s="19" t="n">
        <v>0</v>
      </c>
      <c r="AB1101" s="29" t="n">
        <v>47.707</v>
      </c>
      <c r="AC1101" s="29" t="n">
        <v>47.726</v>
      </c>
      <c r="AD1101" s="24" t="n">
        <f aca="false">IFERROR(AA1101/AC1101,0)</f>
        <v>0</v>
      </c>
      <c r="AE1101" s="25" t="n">
        <f aca="false">K1101-Q1101-X1101</f>
        <v>0</v>
      </c>
      <c r="AF1101" s="25" t="n">
        <f aca="false">Q1101-AA1101</f>
        <v>0</v>
      </c>
      <c r="AG1101" s="19" t="n">
        <v>121523.704078198</v>
      </c>
      <c r="AH1101" s="26" t="n">
        <f aca="false">IFERROR(AG1101/Q1101,0)</f>
        <v>0</v>
      </c>
      <c r="AI1101" s="27" t="n">
        <v>435584384</v>
      </c>
      <c r="AJ1101" s="26" t="n">
        <f aca="false">IF(AI1101&gt;0,AprCoef/SQRT(AI1101),0)</f>
        <v>0.0227113102928624</v>
      </c>
      <c r="AK1101" s="24" t="n">
        <f aca="false">AI1101*AJ1101/365</f>
        <v>27103.2660376694</v>
      </c>
      <c r="AL1101" s="24" t="n">
        <f aca="false">AD1101</f>
        <v>0</v>
      </c>
      <c r="AM1101" s="24" t="n">
        <f aca="false">AK1101-AL1101</f>
        <v>27103.2660376694</v>
      </c>
      <c r="AN1101" s="28" t="str">
        <f aca="false">IF(A1101&gt;=Hip3LaunchDate,"YES","")</f>
        <v>YES</v>
      </c>
      <c r="AO1101" s="28" t="str">
        <f aca="false">IF(A1101&lt;Hip4LaunchDate,"pre-launch","live (zero-fee)")</f>
        <v>live (zero-fee)</v>
      </c>
      <c r="AP1101" s="30" t="n">
        <v>134</v>
      </c>
      <c r="AQ1101" s="30" t="n">
        <v>102</v>
      </c>
      <c r="AR1101" s="19" t="n">
        <v>10163.8577723663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8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15" t="s">
        <v>117</v>
      </c>
    </row>
    <row r="3" customFormat="false" ht="15" hidden="false" customHeight="false" outlineLevel="0" collapsed="false">
      <c r="A3" s="31" t="s">
        <v>118</v>
      </c>
    </row>
    <row r="5" customFormat="false" ht="15" hidden="false" customHeight="false" outlineLevel="0" collapsed="false">
      <c r="A5" s="32" t="s">
        <v>119</v>
      </c>
      <c r="B5" s="32" t="s">
        <v>120</v>
      </c>
      <c r="C5" s="32" t="s">
        <v>121</v>
      </c>
      <c r="D5" s="32" t="s">
        <v>122</v>
      </c>
      <c r="E5" s="32" t="s">
        <v>123</v>
      </c>
      <c r="F5" s="32" t="s">
        <v>124</v>
      </c>
      <c r="G5" s="32" t="s">
        <v>125</v>
      </c>
      <c r="H5" s="32" t="s">
        <v>126</v>
      </c>
      <c r="I5" s="32" t="s">
        <v>127</v>
      </c>
      <c r="J5" s="32" t="s">
        <v>128</v>
      </c>
      <c r="K5" s="32" t="s">
        <v>129</v>
      </c>
    </row>
    <row r="6" customFormat="false" ht="15" hidden="false" customHeight="false" outlineLevel="0" collapsed="false">
      <c r="A6" s="0" t="s">
        <v>130</v>
      </c>
      <c r="B6" s="0" t="s">
        <v>131</v>
      </c>
      <c r="C6" s="33" t="n">
        <v>1</v>
      </c>
      <c r="D6" s="33" t="n">
        <v>2</v>
      </c>
      <c r="E6" s="34" t="n">
        <v>0.5</v>
      </c>
      <c r="F6" s="34" t="n">
        <v>0.5</v>
      </c>
      <c r="G6" s="6" t="s">
        <v>132</v>
      </c>
      <c r="I6" s="35" t="n">
        <f aca="false">CoreBpsBlended*GrowthModeFactor*D6*E6</f>
        <v>0.2897</v>
      </c>
      <c r="J6" s="35" t="n">
        <f aca="false">CoreBpsBlended*D6*E6</f>
        <v>2.897</v>
      </c>
      <c r="K6" s="35" t="n">
        <f aca="false">CoreBpsBlended*GrowthModeFactor*D6*F6</f>
        <v>0.2897</v>
      </c>
    </row>
    <row r="7" customFormat="false" ht="15" hidden="false" customHeight="false" outlineLevel="0" collapsed="false">
      <c r="A7" s="0" t="s">
        <v>133</v>
      </c>
      <c r="B7" s="0" t="s">
        <v>134</v>
      </c>
      <c r="C7" s="33" t="n">
        <v>1</v>
      </c>
      <c r="D7" s="33" t="n">
        <v>2</v>
      </c>
      <c r="E7" s="34" t="n">
        <v>0.5</v>
      </c>
      <c r="F7" s="34" t="n">
        <v>0.5</v>
      </c>
      <c r="G7" s="6" t="s">
        <v>135</v>
      </c>
      <c r="H7" s="36" t="n">
        <v>46049</v>
      </c>
      <c r="I7" s="35" t="n">
        <f aca="false">CoreBpsBlended*GrowthModeFactor*D7*E7</f>
        <v>0.2897</v>
      </c>
      <c r="J7" s="35" t="n">
        <f aca="false">CoreBpsBlended*D7*E7</f>
        <v>2.897</v>
      </c>
      <c r="K7" s="35" t="n">
        <f aca="false">CoreBpsBlended*GrowthModeFactor*D7*F7</f>
        <v>0.2897</v>
      </c>
    </row>
    <row r="8" customFormat="false" ht="15" hidden="false" customHeight="false" outlineLevel="0" collapsed="false">
      <c r="A8" s="0" t="s">
        <v>136</v>
      </c>
      <c r="B8" s="0" t="s">
        <v>134</v>
      </c>
      <c r="C8" s="33" t="n">
        <v>1</v>
      </c>
      <c r="D8" s="33" t="n">
        <v>2</v>
      </c>
      <c r="E8" s="34" t="n">
        <v>0.5</v>
      </c>
      <c r="F8" s="34" t="n">
        <v>0.5</v>
      </c>
      <c r="G8" s="6" t="s">
        <v>132</v>
      </c>
      <c r="I8" s="35" t="n">
        <f aca="false">CoreBpsBlended*GrowthModeFactor*D8*E8</f>
        <v>0.2897</v>
      </c>
      <c r="J8" s="35" t="n">
        <f aca="false">CoreBpsBlended*D8*E8</f>
        <v>2.897</v>
      </c>
      <c r="K8" s="35" t="n">
        <f aca="false">CoreBpsBlended*GrowthModeFactor*D8*F8</f>
        <v>0.2897</v>
      </c>
    </row>
    <row r="9" customFormat="false" ht="15" hidden="false" customHeight="false" outlineLevel="0" collapsed="false">
      <c r="A9" s="0" t="s">
        <v>137</v>
      </c>
      <c r="B9" s="0" t="s">
        <v>134</v>
      </c>
      <c r="C9" s="33" t="n">
        <v>1</v>
      </c>
      <c r="D9" s="33" t="n">
        <v>2</v>
      </c>
      <c r="E9" s="34" t="n">
        <v>0.5</v>
      </c>
      <c r="F9" s="34" t="n">
        <v>0.5</v>
      </c>
      <c r="G9" s="6" t="s">
        <v>135</v>
      </c>
      <c r="H9" s="36" t="n">
        <v>46141</v>
      </c>
      <c r="I9" s="35" t="n">
        <f aca="false">CoreBpsBlended*GrowthModeFactor*D9*E9</f>
        <v>0.2897</v>
      </c>
      <c r="J9" s="35" t="n">
        <f aca="false">CoreBpsBlended*D9*E9</f>
        <v>2.897</v>
      </c>
      <c r="K9" s="35" t="n">
        <f aca="false">CoreBpsBlended*GrowthModeFactor*D9*F9</f>
        <v>0.2897</v>
      </c>
    </row>
    <row r="10" customFormat="false" ht="15" hidden="false" customHeight="false" outlineLevel="0" collapsed="false">
      <c r="A10" s="0" t="s">
        <v>138</v>
      </c>
      <c r="B10" s="0" t="s">
        <v>134</v>
      </c>
      <c r="C10" s="33" t="n">
        <v>1</v>
      </c>
      <c r="D10" s="33" t="n">
        <v>2</v>
      </c>
      <c r="E10" s="34" t="n">
        <v>0.5</v>
      </c>
      <c r="F10" s="34" t="n">
        <v>0.5</v>
      </c>
      <c r="G10" s="6" t="s">
        <v>132</v>
      </c>
      <c r="I10" s="35" t="n">
        <f aca="false">CoreBpsBlended*GrowthModeFactor*D10*E10</f>
        <v>0.2897</v>
      </c>
      <c r="J10" s="35" t="n">
        <f aca="false">CoreBpsBlended*D10*E10</f>
        <v>2.897</v>
      </c>
      <c r="K10" s="35" t="n">
        <f aca="false">CoreBpsBlended*GrowthModeFactor*D10*F10</f>
        <v>0.2897</v>
      </c>
    </row>
    <row r="11" customFormat="false" ht="15" hidden="false" customHeight="false" outlineLevel="0" collapsed="false">
      <c r="A11" s="0" t="s">
        <v>139</v>
      </c>
      <c r="B11" s="0" t="s">
        <v>134</v>
      </c>
      <c r="C11" s="33" t="n">
        <v>1</v>
      </c>
      <c r="D11" s="33" t="n">
        <v>2</v>
      </c>
      <c r="E11" s="34" t="n">
        <v>0.5</v>
      </c>
      <c r="F11" s="34" t="n">
        <v>0.5</v>
      </c>
      <c r="G11" s="6" t="s">
        <v>135</v>
      </c>
      <c r="H11" s="36" t="n">
        <v>46079</v>
      </c>
      <c r="I11" s="35" t="n">
        <f aca="false">CoreBpsBlended*GrowthModeFactor*D11*E11</f>
        <v>0.2897</v>
      </c>
      <c r="J11" s="35" t="n">
        <f aca="false">CoreBpsBlended*D11*E11</f>
        <v>2.897</v>
      </c>
      <c r="K11" s="35" t="n">
        <f aca="false">CoreBpsBlended*GrowthModeFactor*D11*F11</f>
        <v>0.2897</v>
      </c>
    </row>
    <row r="12" customFormat="false" ht="15" hidden="false" customHeight="false" outlineLevel="0" collapsed="false">
      <c r="A12" s="0" t="s">
        <v>140</v>
      </c>
      <c r="B12" s="0" t="s">
        <v>134</v>
      </c>
      <c r="C12" s="33" t="n">
        <v>1</v>
      </c>
      <c r="D12" s="33" t="n">
        <v>2</v>
      </c>
      <c r="E12" s="34" t="n">
        <v>0.5</v>
      </c>
      <c r="F12" s="34" t="n">
        <v>0.5</v>
      </c>
      <c r="G12" s="6" t="s">
        <v>132</v>
      </c>
      <c r="I12" s="35" t="n">
        <f aca="false">CoreBpsBlended*GrowthModeFactor*D12*E12</f>
        <v>0.2897</v>
      </c>
      <c r="J12" s="35" t="n">
        <f aca="false">CoreBpsBlended*D12*E12</f>
        <v>2.897</v>
      </c>
      <c r="K12" s="35" t="n">
        <f aca="false">CoreBpsBlended*GrowthModeFactor*D12*F12</f>
        <v>0.2897</v>
      </c>
    </row>
    <row r="13" customFormat="false" ht="15" hidden="false" customHeight="false" outlineLevel="0" collapsed="false">
      <c r="A13" s="0" t="s">
        <v>141</v>
      </c>
      <c r="B13" s="0" t="s">
        <v>134</v>
      </c>
      <c r="C13" s="33" t="n">
        <v>1</v>
      </c>
      <c r="D13" s="33" t="n">
        <v>2</v>
      </c>
      <c r="E13" s="34" t="n">
        <v>0.5</v>
      </c>
      <c r="F13" s="34" t="n">
        <v>0.5</v>
      </c>
      <c r="G13" s="6" t="s">
        <v>135</v>
      </c>
      <c r="H13" s="36" t="n">
        <v>46049</v>
      </c>
      <c r="I13" s="35" t="n">
        <f aca="false">CoreBpsBlended*GrowthModeFactor*D13*E13</f>
        <v>0.2897</v>
      </c>
      <c r="J13" s="35" t="n">
        <f aca="false">CoreBpsBlended*D13*E13</f>
        <v>2.897</v>
      </c>
      <c r="K13" s="35" t="n">
        <f aca="false">CoreBpsBlended*GrowthModeFactor*D13*F13</f>
        <v>0.2897</v>
      </c>
    </row>
    <row r="14" customFormat="false" ht="15" hidden="false" customHeight="false" outlineLevel="0" collapsed="false">
      <c r="A14" s="0" t="s">
        <v>142</v>
      </c>
      <c r="B14" s="0" t="s">
        <v>134</v>
      </c>
      <c r="C14" s="33" t="n">
        <v>1</v>
      </c>
      <c r="D14" s="33" t="n">
        <v>2</v>
      </c>
      <c r="E14" s="34" t="n">
        <v>0.5</v>
      </c>
      <c r="F14" s="34" t="n">
        <v>0.5</v>
      </c>
      <c r="G14" s="6" t="s">
        <v>135</v>
      </c>
      <c r="H14" s="36" t="n">
        <v>46049</v>
      </c>
      <c r="I14" s="35" t="n">
        <f aca="false">CoreBpsBlended*GrowthModeFactor*D14*E14</f>
        <v>0.2897</v>
      </c>
      <c r="J14" s="35" t="n">
        <f aca="false">CoreBpsBlended*D14*E14</f>
        <v>2.897</v>
      </c>
      <c r="K14" s="35" t="n">
        <f aca="false">CoreBpsBlended*GrowthModeFactor*D14*F14</f>
        <v>0.2897</v>
      </c>
    </row>
    <row r="15" customFormat="false" ht="15" hidden="false" customHeight="false" outlineLevel="0" collapsed="false">
      <c r="A15" s="0" t="s">
        <v>143</v>
      </c>
      <c r="B15" s="0" t="s">
        <v>134</v>
      </c>
      <c r="C15" s="33" t="n">
        <v>1</v>
      </c>
      <c r="D15" s="33" t="n">
        <v>2</v>
      </c>
      <c r="E15" s="34" t="n">
        <v>0.5</v>
      </c>
      <c r="F15" s="34" t="n">
        <v>0.5</v>
      </c>
      <c r="G15" s="6" t="s">
        <v>135</v>
      </c>
      <c r="H15" s="36" t="n">
        <v>46049</v>
      </c>
      <c r="I15" s="35" t="n">
        <f aca="false">CoreBpsBlended*GrowthModeFactor*D15*E15</f>
        <v>0.2897</v>
      </c>
      <c r="J15" s="35" t="n">
        <f aca="false">CoreBpsBlended*D15*E15</f>
        <v>2.897</v>
      </c>
      <c r="K15" s="35" t="n">
        <f aca="false">CoreBpsBlended*GrowthModeFactor*D15*F15</f>
        <v>0.2897</v>
      </c>
    </row>
    <row r="16" customFormat="false" ht="15" hidden="false" customHeight="false" outlineLevel="0" collapsed="false">
      <c r="A16" s="0" t="s">
        <v>144</v>
      </c>
      <c r="B16" s="0" t="s">
        <v>134</v>
      </c>
      <c r="C16" s="33" t="n">
        <v>1</v>
      </c>
      <c r="D16" s="33" t="n">
        <v>2</v>
      </c>
      <c r="E16" s="34" t="n">
        <v>0.5</v>
      </c>
      <c r="F16" s="34" t="n">
        <v>0.5</v>
      </c>
      <c r="G16" s="6" t="s">
        <v>135</v>
      </c>
      <c r="H16" s="36" t="n">
        <v>46099</v>
      </c>
      <c r="I16" s="35" t="n">
        <f aca="false">CoreBpsBlended*GrowthModeFactor*D16*E16</f>
        <v>0.2897</v>
      </c>
      <c r="J16" s="35" t="n">
        <f aca="false">CoreBpsBlended*D16*E16</f>
        <v>2.897</v>
      </c>
      <c r="K16" s="35" t="n">
        <f aca="false">CoreBpsBlended*GrowthModeFactor*D16*F16</f>
        <v>0.2897</v>
      </c>
    </row>
    <row r="17" customFormat="false" ht="15" hidden="false" customHeight="false" outlineLevel="0" collapsed="false">
      <c r="A17" s="0" t="s">
        <v>145</v>
      </c>
      <c r="B17" s="0" t="s">
        <v>134</v>
      </c>
      <c r="C17" s="33" t="n">
        <v>1</v>
      </c>
      <c r="D17" s="33" t="n">
        <v>2</v>
      </c>
      <c r="E17" s="34" t="n">
        <v>0.5</v>
      </c>
      <c r="F17" s="34" t="n">
        <v>0.5</v>
      </c>
      <c r="G17" s="6" t="s">
        <v>135</v>
      </c>
      <c r="H17" s="36" t="n">
        <v>46049</v>
      </c>
      <c r="I17" s="35" t="n">
        <f aca="false">CoreBpsBlended*GrowthModeFactor*D17*E17</f>
        <v>0.2897</v>
      </c>
      <c r="J17" s="35" t="n">
        <f aca="false">CoreBpsBlended*D17*E17</f>
        <v>2.897</v>
      </c>
      <c r="K17" s="35" t="n">
        <f aca="false">CoreBpsBlended*GrowthModeFactor*D17*F17</f>
        <v>0.2897</v>
      </c>
    </row>
    <row r="18" customFormat="false" ht="15" hidden="false" customHeight="false" outlineLevel="0" collapsed="false">
      <c r="A18" s="0" t="s">
        <v>146</v>
      </c>
      <c r="B18" s="0" t="s">
        <v>134</v>
      </c>
      <c r="C18" s="33" t="n">
        <v>1</v>
      </c>
      <c r="D18" s="33" t="n">
        <v>2</v>
      </c>
      <c r="E18" s="34" t="n">
        <v>0.5</v>
      </c>
      <c r="F18" s="34" t="n">
        <v>0.5</v>
      </c>
      <c r="G18" s="6" t="s">
        <v>135</v>
      </c>
      <c r="H18" s="36" t="n">
        <v>46049</v>
      </c>
      <c r="I18" s="35" t="n">
        <f aca="false">CoreBpsBlended*GrowthModeFactor*D18*E18</f>
        <v>0.2897</v>
      </c>
      <c r="J18" s="35" t="n">
        <f aca="false">CoreBpsBlended*D18*E18</f>
        <v>2.897</v>
      </c>
      <c r="K18" s="35" t="n">
        <f aca="false">CoreBpsBlended*GrowthModeFactor*D18*F18</f>
        <v>0.2897</v>
      </c>
    </row>
    <row r="19" customFormat="false" ht="15" hidden="false" customHeight="false" outlineLevel="0" collapsed="false">
      <c r="A19" s="0" t="s">
        <v>147</v>
      </c>
      <c r="B19" s="0" t="s">
        <v>134</v>
      </c>
      <c r="C19" s="33" t="n">
        <v>1</v>
      </c>
      <c r="D19" s="33" t="n">
        <v>2</v>
      </c>
      <c r="E19" s="34" t="n">
        <v>0.5</v>
      </c>
      <c r="F19" s="34" t="n">
        <v>0.5</v>
      </c>
      <c r="G19" s="6" t="s">
        <v>135</v>
      </c>
      <c r="H19" s="36" t="n">
        <v>46045</v>
      </c>
      <c r="I19" s="35" t="n">
        <f aca="false">CoreBpsBlended*GrowthModeFactor*D19*E19</f>
        <v>0.2897</v>
      </c>
      <c r="J19" s="35" t="n">
        <f aca="false">CoreBpsBlended*D19*E19</f>
        <v>2.897</v>
      </c>
      <c r="K19" s="35" t="n">
        <f aca="false">CoreBpsBlended*GrowthModeFactor*D19*F19</f>
        <v>0.2897</v>
      </c>
    </row>
    <row r="20" customFormat="false" ht="15" hidden="false" customHeight="false" outlineLevel="0" collapsed="false">
      <c r="A20" s="0" t="s">
        <v>148</v>
      </c>
      <c r="B20" s="0" t="s">
        <v>134</v>
      </c>
      <c r="C20" s="33" t="n">
        <v>1</v>
      </c>
      <c r="D20" s="33" t="n">
        <v>2</v>
      </c>
      <c r="E20" s="34" t="n">
        <v>0.5</v>
      </c>
      <c r="F20" s="34" t="n">
        <v>0.5</v>
      </c>
      <c r="G20" s="6" t="s">
        <v>135</v>
      </c>
      <c r="H20" s="36" t="n">
        <v>46059</v>
      </c>
      <c r="I20" s="35" t="n">
        <f aca="false">CoreBpsBlended*GrowthModeFactor*D20*E20</f>
        <v>0.2897</v>
      </c>
      <c r="J20" s="35" t="n">
        <f aca="false">CoreBpsBlended*D20*E20</f>
        <v>2.897</v>
      </c>
      <c r="K20" s="35" t="n">
        <f aca="false">CoreBpsBlended*GrowthModeFactor*D20*F20</f>
        <v>0.2897</v>
      </c>
    </row>
    <row r="21" customFormat="false" ht="15" hidden="false" customHeight="false" outlineLevel="0" collapsed="false">
      <c r="A21" s="0" t="s">
        <v>149</v>
      </c>
      <c r="B21" s="0" t="s">
        <v>134</v>
      </c>
      <c r="C21" s="33" t="n">
        <v>1</v>
      </c>
      <c r="D21" s="33" t="n">
        <v>2</v>
      </c>
      <c r="E21" s="34" t="n">
        <v>0.5</v>
      </c>
      <c r="F21" s="34" t="n">
        <v>0.5</v>
      </c>
      <c r="G21" s="6" t="s">
        <v>135</v>
      </c>
      <c r="H21" s="36" t="n">
        <v>46044</v>
      </c>
      <c r="I21" s="35" t="n">
        <f aca="false">CoreBpsBlended*GrowthModeFactor*D21*E21</f>
        <v>0.2897</v>
      </c>
      <c r="J21" s="35" t="n">
        <f aca="false">CoreBpsBlended*D21*E21</f>
        <v>2.897</v>
      </c>
      <c r="K21" s="35" t="n">
        <f aca="false">CoreBpsBlended*GrowthModeFactor*D21*F21</f>
        <v>0.2897</v>
      </c>
    </row>
    <row r="22" customFormat="false" ht="15" hidden="false" customHeight="false" outlineLevel="0" collapsed="false">
      <c r="A22" s="0" t="s">
        <v>150</v>
      </c>
      <c r="B22" s="0" t="s">
        <v>134</v>
      </c>
      <c r="C22" s="33" t="n">
        <v>1</v>
      </c>
      <c r="D22" s="33" t="n">
        <v>2</v>
      </c>
      <c r="E22" s="34" t="n">
        <v>0.5</v>
      </c>
      <c r="F22" s="34" t="n">
        <v>0.5</v>
      </c>
      <c r="G22" s="6" t="s">
        <v>135</v>
      </c>
      <c r="H22" s="36" t="n">
        <v>46042</v>
      </c>
      <c r="I22" s="35" t="n">
        <f aca="false">CoreBpsBlended*GrowthModeFactor*D22*E22</f>
        <v>0.2897</v>
      </c>
      <c r="J22" s="35" t="n">
        <f aca="false">CoreBpsBlended*D22*E22</f>
        <v>2.897</v>
      </c>
      <c r="K22" s="35" t="n">
        <f aca="false">CoreBpsBlended*GrowthModeFactor*D22*F22</f>
        <v>0.2897</v>
      </c>
    </row>
    <row r="23" customFormat="false" ht="15" hidden="false" customHeight="false" outlineLevel="0" collapsed="false">
      <c r="A23" s="0" t="s">
        <v>151</v>
      </c>
      <c r="B23" s="0" t="s">
        <v>134</v>
      </c>
      <c r="C23" s="33" t="n">
        <v>1</v>
      </c>
      <c r="D23" s="33" t="n">
        <v>2</v>
      </c>
      <c r="E23" s="34" t="n">
        <v>0.5</v>
      </c>
      <c r="F23" s="34" t="n">
        <v>0.5</v>
      </c>
      <c r="G23" s="6" t="s">
        <v>135</v>
      </c>
      <c r="H23" s="36" t="n">
        <v>46092</v>
      </c>
      <c r="I23" s="35" t="n">
        <f aca="false">CoreBpsBlended*GrowthModeFactor*D23*E23</f>
        <v>0.2897</v>
      </c>
      <c r="J23" s="35" t="n">
        <f aca="false">CoreBpsBlended*D23*E23</f>
        <v>2.897</v>
      </c>
      <c r="K23" s="35" t="n">
        <f aca="false">CoreBpsBlended*GrowthModeFactor*D23*F23</f>
        <v>0.2897</v>
      </c>
    </row>
    <row r="24" customFormat="false" ht="15" hidden="false" customHeight="false" outlineLevel="0" collapsed="false">
      <c r="A24" s="0" t="s">
        <v>152</v>
      </c>
      <c r="B24" s="0" t="s">
        <v>153</v>
      </c>
      <c r="C24" s="33" t="n">
        <v>1</v>
      </c>
      <c r="D24" s="33" t="n">
        <v>2</v>
      </c>
      <c r="E24" s="34" t="n">
        <v>0.5</v>
      </c>
      <c r="F24" s="34" t="n">
        <v>0.5</v>
      </c>
      <c r="G24" s="6" t="s">
        <v>132</v>
      </c>
      <c r="I24" s="35" t="n">
        <f aca="false">CoreBpsBlended*GrowthModeFactor*D24*E24</f>
        <v>0.2897</v>
      </c>
      <c r="J24" s="35" t="n">
        <f aca="false">CoreBpsBlended*D24*E24</f>
        <v>2.897</v>
      </c>
      <c r="K24" s="35" t="n">
        <f aca="false">CoreBpsBlended*GrowthModeFactor*D24*F24</f>
        <v>0.2897</v>
      </c>
    </row>
    <row r="25" customFormat="false" ht="15" hidden="false" customHeight="false" outlineLevel="0" collapsed="false">
      <c r="A25" s="0" t="s">
        <v>154</v>
      </c>
      <c r="B25" s="0" t="s">
        <v>153</v>
      </c>
      <c r="C25" s="33" t="n">
        <v>1</v>
      </c>
      <c r="D25" s="33" t="n">
        <v>2</v>
      </c>
      <c r="E25" s="34" t="n">
        <v>0.5</v>
      </c>
      <c r="F25" s="34" t="n">
        <v>0.5</v>
      </c>
      <c r="G25" s="6" t="s">
        <v>135</v>
      </c>
      <c r="H25" s="36" t="n">
        <v>45985</v>
      </c>
      <c r="I25" s="35" t="n">
        <f aca="false">CoreBpsBlended*GrowthModeFactor*D25*E25</f>
        <v>0.2897</v>
      </c>
      <c r="J25" s="35" t="n">
        <f aca="false">CoreBpsBlended*D25*E25</f>
        <v>2.897</v>
      </c>
      <c r="K25" s="35" t="n">
        <f aca="false">CoreBpsBlended*GrowthModeFactor*D25*F25</f>
        <v>0.2897</v>
      </c>
    </row>
    <row r="26" customFormat="false" ht="15" hidden="false" customHeight="false" outlineLevel="0" collapsed="false">
      <c r="A26" s="0" t="s">
        <v>155</v>
      </c>
      <c r="B26" s="0" t="s">
        <v>153</v>
      </c>
      <c r="C26" s="33" t="n">
        <v>1</v>
      </c>
      <c r="D26" s="33" t="n">
        <v>2</v>
      </c>
      <c r="E26" s="34" t="n">
        <v>0.5</v>
      </c>
      <c r="F26" s="34" t="n">
        <v>0.5</v>
      </c>
      <c r="G26" s="6" t="s">
        <v>135</v>
      </c>
      <c r="H26" s="36" t="n">
        <v>46051</v>
      </c>
      <c r="I26" s="35" t="n">
        <f aca="false">CoreBpsBlended*GrowthModeFactor*D26*E26</f>
        <v>0.2897</v>
      </c>
      <c r="J26" s="35" t="n">
        <f aca="false">CoreBpsBlended*D26*E26</f>
        <v>2.897</v>
      </c>
      <c r="K26" s="35" t="n">
        <f aca="false">CoreBpsBlended*GrowthModeFactor*D26*F26</f>
        <v>0.2897</v>
      </c>
    </row>
    <row r="27" customFormat="false" ht="15" hidden="false" customHeight="false" outlineLevel="0" collapsed="false">
      <c r="A27" s="0" t="s">
        <v>156</v>
      </c>
      <c r="B27" s="0" t="s">
        <v>153</v>
      </c>
      <c r="C27" s="33" t="n">
        <v>1</v>
      </c>
      <c r="D27" s="33" t="n">
        <v>2</v>
      </c>
      <c r="E27" s="34" t="n">
        <v>0.5</v>
      </c>
      <c r="F27" s="34" t="n">
        <v>0.5</v>
      </c>
      <c r="G27" s="6" t="s">
        <v>135</v>
      </c>
      <c r="H27" s="36" t="n">
        <v>45985</v>
      </c>
      <c r="I27" s="35" t="n">
        <f aca="false">CoreBpsBlended*GrowthModeFactor*D27*E27</f>
        <v>0.2897</v>
      </c>
      <c r="J27" s="35" t="n">
        <f aca="false">CoreBpsBlended*D27*E27</f>
        <v>2.897</v>
      </c>
      <c r="K27" s="35" t="n">
        <f aca="false">CoreBpsBlended*GrowthModeFactor*D27*F27</f>
        <v>0.2897</v>
      </c>
    </row>
    <row r="28" customFormat="false" ht="15" hidden="false" customHeight="false" outlineLevel="0" collapsed="false">
      <c r="A28" s="0" t="s">
        <v>157</v>
      </c>
      <c r="B28" s="0" t="s">
        <v>153</v>
      </c>
      <c r="C28" s="33" t="n">
        <v>1</v>
      </c>
      <c r="D28" s="33" t="n">
        <v>2</v>
      </c>
      <c r="E28" s="34" t="n">
        <v>0.5</v>
      </c>
      <c r="F28" s="34" t="n">
        <v>0.5</v>
      </c>
      <c r="G28" s="6" t="s">
        <v>135</v>
      </c>
      <c r="H28" s="36" t="n">
        <v>46112</v>
      </c>
      <c r="I28" s="35" t="n">
        <f aca="false">CoreBpsBlended*GrowthModeFactor*D28*E28</f>
        <v>0.2897</v>
      </c>
      <c r="J28" s="35" t="n">
        <f aca="false">CoreBpsBlended*D28*E28</f>
        <v>2.897</v>
      </c>
      <c r="K28" s="35" t="n">
        <f aca="false">CoreBpsBlended*GrowthModeFactor*D28*F28</f>
        <v>0.2897</v>
      </c>
    </row>
    <row r="29" customFormat="false" ht="15" hidden="false" customHeight="false" outlineLevel="0" collapsed="false">
      <c r="A29" s="0" t="s">
        <v>158</v>
      </c>
      <c r="B29" s="0" t="s">
        <v>153</v>
      </c>
      <c r="C29" s="33" t="n">
        <v>1</v>
      </c>
      <c r="D29" s="33" t="n">
        <v>2</v>
      </c>
      <c r="E29" s="34" t="n">
        <v>0.5</v>
      </c>
      <c r="F29" s="34" t="n">
        <v>0.5</v>
      </c>
      <c r="G29" s="6" t="s">
        <v>132</v>
      </c>
      <c r="I29" s="35" t="n">
        <f aca="false">CoreBpsBlended*GrowthModeFactor*D29*E29</f>
        <v>0.2897</v>
      </c>
      <c r="J29" s="35" t="n">
        <f aca="false">CoreBpsBlended*D29*E29</f>
        <v>2.897</v>
      </c>
      <c r="K29" s="35" t="n">
        <f aca="false">CoreBpsBlended*GrowthModeFactor*D29*F29</f>
        <v>0.2897</v>
      </c>
    </row>
    <row r="30" customFormat="false" ht="15" hidden="false" customHeight="false" outlineLevel="0" collapsed="false">
      <c r="A30" s="0" t="s">
        <v>159</v>
      </c>
      <c r="B30" s="0" t="s">
        <v>153</v>
      </c>
      <c r="C30" s="33" t="n">
        <v>1</v>
      </c>
      <c r="D30" s="33" t="n">
        <v>2</v>
      </c>
      <c r="E30" s="34" t="n">
        <v>0.5</v>
      </c>
      <c r="F30" s="34" t="n">
        <v>0.5</v>
      </c>
      <c r="G30" s="6" t="s">
        <v>135</v>
      </c>
      <c r="H30" s="36" t="n">
        <v>46089</v>
      </c>
      <c r="I30" s="35" t="n">
        <f aca="false">CoreBpsBlended*GrowthModeFactor*D30*E30</f>
        <v>0.2897</v>
      </c>
      <c r="J30" s="35" t="n">
        <f aca="false">CoreBpsBlended*D30*E30</f>
        <v>2.897</v>
      </c>
      <c r="K30" s="35" t="n">
        <f aca="false">CoreBpsBlended*GrowthModeFactor*D30*F30</f>
        <v>0.2897</v>
      </c>
    </row>
    <row r="31" customFormat="false" ht="15" hidden="false" customHeight="false" outlineLevel="0" collapsed="false">
      <c r="A31" s="0" t="s">
        <v>160</v>
      </c>
      <c r="B31" s="0" t="s">
        <v>153</v>
      </c>
      <c r="C31" s="33" t="n">
        <v>1</v>
      </c>
      <c r="D31" s="33" t="n">
        <v>2</v>
      </c>
      <c r="E31" s="34" t="n">
        <v>0.5</v>
      </c>
      <c r="F31" s="34" t="n">
        <v>0.5</v>
      </c>
      <c r="G31" s="6" t="s">
        <v>135</v>
      </c>
      <c r="H31" s="36" t="n">
        <v>46051</v>
      </c>
      <c r="I31" s="35" t="n">
        <f aca="false">CoreBpsBlended*GrowthModeFactor*D31*E31</f>
        <v>0.2897</v>
      </c>
      <c r="J31" s="35" t="n">
        <f aca="false">CoreBpsBlended*D31*E31</f>
        <v>2.897</v>
      </c>
      <c r="K31" s="35" t="n">
        <f aca="false">CoreBpsBlended*GrowthModeFactor*D31*F31</f>
        <v>0.2897</v>
      </c>
    </row>
    <row r="32" customFormat="false" ht="15" hidden="false" customHeight="false" outlineLevel="0" collapsed="false">
      <c r="A32" s="0" t="s">
        <v>161</v>
      </c>
      <c r="B32" s="0" t="s">
        <v>153</v>
      </c>
      <c r="C32" s="33" t="n">
        <v>1</v>
      </c>
      <c r="D32" s="33" t="n">
        <v>2</v>
      </c>
      <c r="E32" s="34" t="n">
        <v>0.5</v>
      </c>
      <c r="F32" s="34" t="n">
        <v>0.5</v>
      </c>
      <c r="G32" s="6" t="s">
        <v>135</v>
      </c>
      <c r="H32" s="36" t="n">
        <v>46051</v>
      </c>
      <c r="I32" s="35" t="n">
        <f aca="false">CoreBpsBlended*GrowthModeFactor*D32*E32</f>
        <v>0.2897</v>
      </c>
      <c r="J32" s="35" t="n">
        <f aca="false">CoreBpsBlended*D32*E32</f>
        <v>2.897</v>
      </c>
      <c r="K32" s="35" t="n">
        <f aca="false">CoreBpsBlended*GrowthModeFactor*D32*F32</f>
        <v>0.2897</v>
      </c>
    </row>
    <row r="33" customFormat="false" ht="15" hidden="false" customHeight="false" outlineLevel="0" collapsed="false">
      <c r="A33" s="0" t="s">
        <v>162</v>
      </c>
      <c r="B33" s="0" t="s">
        <v>153</v>
      </c>
      <c r="C33" s="33" t="n">
        <v>1</v>
      </c>
      <c r="D33" s="33" t="n">
        <v>2</v>
      </c>
      <c r="E33" s="34" t="n">
        <v>0.5</v>
      </c>
      <c r="F33" s="34" t="n">
        <v>0.5</v>
      </c>
      <c r="G33" s="6" t="s">
        <v>135</v>
      </c>
      <c r="H33" s="36" t="n">
        <v>46051</v>
      </c>
      <c r="I33" s="35" t="n">
        <f aca="false">CoreBpsBlended*GrowthModeFactor*D33*E33</f>
        <v>0.2897</v>
      </c>
      <c r="J33" s="35" t="n">
        <f aca="false">CoreBpsBlended*D33*E33</f>
        <v>2.897</v>
      </c>
      <c r="K33" s="35" t="n">
        <f aca="false">CoreBpsBlended*GrowthModeFactor*D33*F33</f>
        <v>0.2897</v>
      </c>
    </row>
    <row r="34" customFormat="false" ht="15" hidden="false" customHeight="false" outlineLevel="0" collapsed="false">
      <c r="A34" s="0" t="s">
        <v>163</v>
      </c>
      <c r="B34" s="0" t="s">
        <v>153</v>
      </c>
      <c r="C34" s="33" t="n">
        <v>1</v>
      </c>
      <c r="D34" s="33" t="n">
        <v>2</v>
      </c>
      <c r="E34" s="34" t="n">
        <v>0.5</v>
      </c>
      <c r="F34" s="34" t="n">
        <v>0.5</v>
      </c>
      <c r="G34" s="6" t="s">
        <v>135</v>
      </c>
      <c r="H34" s="36" t="n">
        <v>46051</v>
      </c>
      <c r="I34" s="35" t="n">
        <f aca="false">CoreBpsBlended*GrowthModeFactor*D34*E34</f>
        <v>0.2897</v>
      </c>
      <c r="J34" s="35" t="n">
        <f aca="false">CoreBpsBlended*D34*E34</f>
        <v>2.897</v>
      </c>
      <c r="K34" s="35" t="n">
        <f aca="false">CoreBpsBlended*GrowthModeFactor*D34*F34</f>
        <v>0.2897</v>
      </c>
    </row>
    <row r="35" customFormat="false" ht="15" hidden="false" customHeight="false" outlineLevel="0" collapsed="false">
      <c r="A35" s="0" t="s">
        <v>164</v>
      </c>
      <c r="B35" s="0" t="s">
        <v>153</v>
      </c>
      <c r="C35" s="33" t="n">
        <v>1</v>
      </c>
      <c r="D35" s="33" t="n">
        <v>2</v>
      </c>
      <c r="E35" s="34" t="n">
        <v>0.5</v>
      </c>
      <c r="F35" s="34" t="n">
        <v>0.5</v>
      </c>
      <c r="G35" s="6" t="s">
        <v>135</v>
      </c>
      <c r="H35" s="36" t="n">
        <v>45985</v>
      </c>
      <c r="I35" s="35" t="n">
        <f aca="false">CoreBpsBlended*GrowthModeFactor*D35*E35</f>
        <v>0.2897</v>
      </c>
      <c r="J35" s="35" t="n">
        <f aca="false">CoreBpsBlended*D35*E35</f>
        <v>2.897</v>
      </c>
      <c r="K35" s="35" t="n">
        <f aca="false">CoreBpsBlended*GrowthModeFactor*D35*F35</f>
        <v>0.2897</v>
      </c>
    </row>
    <row r="36" customFormat="false" ht="15" hidden="false" customHeight="false" outlineLevel="0" collapsed="false">
      <c r="A36" s="0" t="s">
        <v>165</v>
      </c>
      <c r="B36" s="0" t="s">
        <v>153</v>
      </c>
      <c r="C36" s="33" t="n">
        <v>1</v>
      </c>
      <c r="D36" s="33" t="n">
        <v>2</v>
      </c>
      <c r="E36" s="34" t="n">
        <v>0.5</v>
      </c>
      <c r="F36" s="34" t="n">
        <v>0.5</v>
      </c>
      <c r="G36" s="6" t="s">
        <v>135</v>
      </c>
      <c r="H36" s="36" t="n">
        <v>46111</v>
      </c>
      <c r="I36" s="35" t="n">
        <f aca="false">CoreBpsBlended*GrowthModeFactor*D36*E36</f>
        <v>0.2897</v>
      </c>
      <c r="J36" s="35" t="n">
        <f aca="false">CoreBpsBlended*D36*E36</f>
        <v>2.897</v>
      </c>
      <c r="K36" s="35" t="n">
        <f aca="false">CoreBpsBlended*GrowthModeFactor*D36*F36</f>
        <v>0.2897</v>
      </c>
    </row>
    <row r="37" customFormat="false" ht="15" hidden="false" customHeight="false" outlineLevel="0" collapsed="false">
      <c r="A37" s="0" t="s">
        <v>166</v>
      </c>
      <c r="B37" s="0" t="s">
        <v>153</v>
      </c>
      <c r="C37" s="33" t="n">
        <v>1</v>
      </c>
      <c r="D37" s="33" t="n">
        <v>2</v>
      </c>
      <c r="E37" s="34" t="n">
        <v>0.5</v>
      </c>
      <c r="F37" s="34" t="n">
        <v>0.5</v>
      </c>
      <c r="G37" s="6" t="s">
        <v>135</v>
      </c>
      <c r="H37" s="36" t="n">
        <v>46091</v>
      </c>
      <c r="I37" s="35" t="n">
        <f aca="false">CoreBpsBlended*GrowthModeFactor*D37*E37</f>
        <v>0.2897</v>
      </c>
      <c r="J37" s="35" t="n">
        <f aca="false">CoreBpsBlended*D37*E37</f>
        <v>2.897</v>
      </c>
      <c r="K37" s="35" t="n">
        <f aca="false">CoreBpsBlended*GrowthModeFactor*D37*F37</f>
        <v>0.2897</v>
      </c>
    </row>
    <row r="38" customFormat="false" ht="15" hidden="false" customHeight="false" outlineLevel="0" collapsed="false">
      <c r="A38" s="0" t="s">
        <v>167</v>
      </c>
      <c r="B38" s="0" t="s">
        <v>153</v>
      </c>
      <c r="C38" s="33" t="n">
        <v>1</v>
      </c>
      <c r="D38" s="33" t="n">
        <v>2</v>
      </c>
      <c r="E38" s="34" t="n">
        <v>0.5</v>
      </c>
      <c r="F38" s="34" t="n">
        <v>0.5</v>
      </c>
      <c r="G38" s="6" t="s">
        <v>132</v>
      </c>
      <c r="I38" s="35" t="n">
        <f aca="false">CoreBpsBlended*GrowthModeFactor*D38*E38</f>
        <v>0.2897</v>
      </c>
      <c r="J38" s="35" t="n">
        <f aca="false">CoreBpsBlended*D38*E38</f>
        <v>2.897</v>
      </c>
      <c r="K38" s="35" t="n">
        <f aca="false">CoreBpsBlended*GrowthModeFactor*D38*F38</f>
        <v>0.2897</v>
      </c>
    </row>
    <row r="39" customFormat="false" ht="15" hidden="false" customHeight="false" outlineLevel="0" collapsed="false">
      <c r="A39" s="0" t="s">
        <v>168</v>
      </c>
      <c r="B39" s="0" t="s">
        <v>153</v>
      </c>
      <c r="C39" s="33" t="n">
        <v>1</v>
      </c>
      <c r="D39" s="33" t="n">
        <v>2</v>
      </c>
      <c r="E39" s="34" t="n">
        <v>0.5</v>
      </c>
      <c r="F39" s="34" t="n">
        <v>0.5</v>
      </c>
      <c r="G39" s="6" t="s">
        <v>132</v>
      </c>
      <c r="I39" s="35" t="n">
        <f aca="false">CoreBpsBlended*GrowthModeFactor*D39*E39</f>
        <v>0.2897</v>
      </c>
      <c r="J39" s="35" t="n">
        <f aca="false">CoreBpsBlended*D39*E39</f>
        <v>2.897</v>
      </c>
      <c r="K39" s="35" t="n">
        <f aca="false">CoreBpsBlended*GrowthModeFactor*D39*F39</f>
        <v>0.2897</v>
      </c>
    </row>
    <row r="40" customFormat="false" ht="15" hidden="false" customHeight="false" outlineLevel="0" collapsed="false">
      <c r="A40" s="0" t="s">
        <v>169</v>
      </c>
      <c r="B40" s="0" t="s">
        <v>170</v>
      </c>
      <c r="C40" s="33" t="n">
        <v>0.1111</v>
      </c>
      <c r="D40" s="33" t="n">
        <v>1.1111</v>
      </c>
      <c r="E40" s="34" t="n">
        <v>0.900009000090001</v>
      </c>
      <c r="F40" s="34" t="n">
        <v>0.0999909999099991</v>
      </c>
      <c r="G40" s="6" t="s">
        <v>132</v>
      </c>
      <c r="I40" s="35" t="n">
        <f aca="false">CoreBpsBlended*GrowthModeFactor*D40*E40</f>
        <v>0.2897</v>
      </c>
      <c r="J40" s="35" t="n">
        <f aca="false">CoreBpsBlended*D40*E40</f>
        <v>2.897</v>
      </c>
      <c r="K40" s="35" t="n">
        <f aca="false">CoreBpsBlended*GrowthModeFactor*D40*F40</f>
        <v>0.03218567</v>
      </c>
    </row>
    <row r="41" customFormat="false" ht="15" hidden="false" customHeight="false" outlineLevel="0" collapsed="false">
      <c r="A41" s="0" t="s">
        <v>171</v>
      </c>
      <c r="B41" s="0" t="s">
        <v>170</v>
      </c>
      <c r="C41" s="33" t="n">
        <v>0.1111</v>
      </c>
      <c r="D41" s="33" t="n">
        <v>1.1111</v>
      </c>
      <c r="E41" s="34" t="n">
        <v>0.900009000090001</v>
      </c>
      <c r="F41" s="34" t="n">
        <v>0.0999909999099991</v>
      </c>
      <c r="G41" s="6" t="s">
        <v>132</v>
      </c>
      <c r="I41" s="35" t="n">
        <f aca="false">CoreBpsBlended*GrowthModeFactor*D41*E41</f>
        <v>0.2897</v>
      </c>
      <c r="J41" s="35" t="n">
        <f aca="false">CoreBpsBlended*D41*E41</f>
        <v>2.897</v>
      </c>
      <c r="K41" s="35" t="n">
        <f aca="false">CoreBpsBlended*GrowthModeFactor*D41*F41</f>
        <v>0.03218567</v>
      </c>
    </row>
    <row r="42" customFormat="false" ht="15" hidden="false" customHeight="false" outlineLevel="0" collapsed="false">
      <c r="A42" s="0" t="s">
        <v>172</v>
      </c>
      <c r="B42" s="0" t="s">
        <v>170</v>
      </c>
      <c r="C42" s="33" t="n">
        <v>0.1111</v>
      </c>
      <c r="D42" s="33" t="n">
        <v>1.1111</v>
      </c>
      <c r="E42" s="34" t="n">
        <v>0.900009000090001</v>
      </c>
      <c r="F42" s="34" t="n">
        <v>0.0999909999099991</v>
      </c>
      <c r="G42" s="6" t="s">
        <v>132</v>
      </c>
      <c r="I42" s="35" t="n">
        <f aca="false">CoreBpsBlended*GrowthModeFactor*D42*E42</f>
        <v>0.2897</v>
      </c>
      <c r="J42" s="35" t="n">
        <f aca="false">CoreBpsBlended*D42*E42</f>
        <v>2.897</v>
      </c>
      <c r="K42" s="35" t="n">
        <f aca="false">CoreBpsBlended*GrowthModeFactor*D42*F42</f>
        <v>0.03218567</v>
      </c>
    </row>
    <row r="43" customFormat="false" ht="15" hidden="false" customHeight="false" outlineLevel="0" collapsed="false">
      <c r="A43" s="0" t="s">
        <v>173</v>
      </c>
      <c r="B43" s="0" t="s">
        <v>170</v>
      </c>
      <c r="C43" s="33" t="n">
        <v>0.1111</v>
      </c>
      <c r="D43" s="33" t="n">
        <v>1.1111</v>
      </c>
      <c r="E43" s="34" t="n">
        <v>0.900009000090001</v>
      </c>
      <c r="F43" s="34" t="n">
        <v>0.0999909999099991</v>
      </c>
      <c r="G43" s="6" t="s">
        <v>132</v>
      </c>
      <c r="I43" s="35" t="n">
        <f aca="false">CoreBpsBlended*GrowthModeFactor*D43*E43</f>
        <v>0.2897</v>
      </c>
      <c r="J43" s="35" t="n">
        <f aca="false">CoreBpsBlended*D43*E43</f>
        <v>2.897</v>
      </c>
      <c r="K43" s="35" t="n">
        <f aca="false">CoreBpsBlended*GrowthModeFactor*D43*F43</f>
        <v>0.03218567</v>
      </c>
    </row>
    <row r="44" customFormat="false" ht="15" hidden="false" customHeight="false" outlineLevel="0" collapsed="false">
      <c r="A44" s="0" t="s">
        <v>174</v>
      </c>
      <c r="B44" s="0" t="s">
        <v>170</v>
      </c>
      <c r="C44" s="33" t="n">
        <v>0.1111</v>
      </c>
      <c r="D44" s="33" t="n">
        <v>1.1111</v>
      </c>
      <c r="E44" s="34" t="n">
        <v>0.900009000090001</v>
      </c>
      <c r="F44" s="34" t="n">
        <v>0.0999909999099991</v>
      </c>
      <c r="G44" s="6" t="s">
        <v>132</v>
      </c>
      <c r="I44" s="35" t="n">
        <f aca="false">CoreBpsBlended*GrowthModeFactor*D44*E44</f>
        <v>0.2897</v>
      </c>
      <c r="J44" s="35" t="n">
        <f aca="false">CoreBpsBlended*D44*E44</f>
        <v>2.897</v>
      </c>
      <c r="K44" s="35" t="n">
        <f aca="false">CoreBpsBlended*GrowthModeFactor*D44*F44</f>
        <v>0.03218567</v>
      </c>
    </row>
    <row r="45" customFormat="false" ht="15" hidden="false" customHeight="false" outlineLevel="0" collapsed="false">
      <c r="A45" s="0" t="s">
        <v>175</v>
      </c>
      <c r="B45" s="0" t="s">
        <v>170</v>
      </c>
      <c r="C45" s="33" t="n">
        <v>0.1111</v>
      </c>
      <c r="D45" s="33" t="n">
        <v>1.1111</v>
      </c>
      <c r="E45" s="34" t="n">
        <v>0.900009000090001</v>
      </c>
      <c r="F45" s="34" t="n">
        <v>0.0999909999099991</v>
      </c>
      <c r="G45" s="6" t="s">
        <v>132</v>
      </c>
      <c r="I45" s="35" t="n">
        <f aca="false">CoreBpsBlended*GrowthModeFactor*D45*E45</f>
        <v>0.2897</v>
      </c>
      <c r="J45" s="35" t="n">
        <f aca="false">CoreBpsBlended*D45*E45</f>
        <v>2.897</v>
      </c>
      <c r="K45" s="35" t="n">
        <f aca="false">CoreBpsBlended*GrowthModeFactor*D45*F45</f>
        <v>0.03218567</v>
      </c>
    </row>
    <row r="46" customFormat="false" ht="15" hidden="false" customHeight="false" outlineLevel="0" collapsed="false">
      <c r="A46" s="0" t="s">
        <v>176</v>
      </c>
      <c r="B46" s="0" t="s">
        <v>170</v>
      </c>
      <c r="C46" s="33" t="n">
        <v>0.1111</v>
      </c>
      <c r="D46" s="33" t="n">
        <v>1.1111</v>
      </c>
      <c r="E46" s="34" t="n">
        <v>0.900009000090001</v>
      </c>
      <c r="F46" s="34" t="n">
        <v>0.0999909999099991</v>
      </c>
      <c r="G46" s="6" t="s">
        <v>132</v>
      </c>
      <c r="I46" s="35" t="n">
        <f aca="false">CoreBpsBlended*GrowthModeFactor*D46*E46</f>
        <v>0.2897</v>
      </c>
      <c r="J46" s="35" t="n">
        <f aca="false">CoreBpsBlended*D46*E46</f>
        <v>2.897</v>
      </c>
      <c r="K46" s="35" t="n">
        <f aca="false">CoreBpsBlended*GrowthModeFactor*D46*F46</f>
        <v>0.03218567</v>
      </c>
    </row>
    <row r="47" customFormat="false" ht="15" hidden="false" customHeight="false" outlineLevel="0" collapsed="false">
      <c r="A47" s="0" t="s">
        <v>177</v>
      </c>
      <c r="B47" s="0" t="s">
        <v>170</v>
      </c>
      <c r="C47" s="33" t="n">
        <v>0.1111</v>
      </c>
      <c r="D47" s="33" t="n">
        <v>1.1111</v>
      </c>
      <c r="E47" s="34" t="n">
        <v>0.900009000090001</v>
      </c>
      <c r="F47" s="34" t="n">
        <v>0.0999909999099991</v>
      </c>
      <c r="G47" s="6" t="s">
        <v>132</v>
      </c>
      <c r="I47" s="35" t="n">
        <f aca="false">CoreBpsBlended*GrowthModeFactor*D47*E47</f>
        <v>0.2897</v>
      </c>
      <c r="J47" s="35" t="n">
        <f aca="false">CoreBpsBlended*D47*E47</f>
        <v>2.897</v>
      </c>
      <c r="K47" s="35" t="n">
        <f aca="false">CoreBpsBlended*GrowthModeFactor*D47*F47</f>
        <v>0.03218567</v>
      </c>
    </row>
    <row r="48" customFormat="false" ht="15" hidden="false" customHeight="false" outlineLevel="0" collapsed="false">
      <c r="A48" s="0" t="s">
        <v>178</v>
      </c>
      <c r="B48" s="0" t="s">
        <v>170</v>
      </c>
      <c r="C48" s="33" t="n">
        <v>0.1111</v>
      </c>
      <c r="D48" s="33" t="n">
        <v>1.1111</v>
      </c>
      <c r="E48" s="34" t="n">
        <v>0.900009000090001</v>
      </c>
      <c r="F48" s="34" t="n">
        <v>0.0999909999099991</v>
      </c>
      <c r="G48" s="6" t="s">
        <v>132</v>
      </c>
      <c r="I48" s="35" t="n">
        <f aca="false">CoreBpsBlended*GrowthModeFactor*D48*E48</f>
        <v>0.2897</v>
      </c>
      <c r="J48" s="35" t="n">
        <f aca="false">CoreBpsBlended*D48*E48</f>
        <v>2.897</v>
      </c>
      <c r="K48" s="35" t="n">
        <f aca="false">CoreBpsBlended*GrowthModeFactor*D48*F48</f>
        <v>0.03218567</v>
      </c>
    </row>
    <row r="49" customFormat="false" ht="15" hidden="false" customHeight="false" outlineLevel="0" collapsed="false">
      <c r="A49" s="0" t="s">
        <v>179</v>
      </c>
      <c r="B49" s="0" t="s">
        <v>170</v>
      </c>
      <c r="C49" s="33" t="n">
        <v>0.1111</v>
      </c>
      <c r="D49" s="33" t="n">
        <v>1.1111</v>
      </c>
      <c r="E49" s="34" t="n">
        <v>0.900009000090001</v>
      </c>
      <c r="F49" s="34" t="n">
        <v>0.0999909999099991</v>
      </c>
      <c r="G49" s="6" t="s">
        <v>132</v>
      </c>
      <c r="I49" s="35" t="n">
        <f aca="false">CoreBpsBlended*GrowthModeFactor*D49*E49</f>
        <v>0.2897</v>
      </c>
      <c r="J49" s="35" t="n">
        <f aca="false">CoreBpsBlended*D49*E49</f>
        <v>2.897</v>
      </c>
      <c r="K49" s="35" t="n">
        <f aca="false">CoreBpsBlended*GrowthModeFactor*D49*F49</f>
        <v>0.03218567</v>
      </c>
    </row>
    <row r="50" customFormat="false" ht="15" hidden="false" customHeight="false" outlineLevel="0" collapsed="false">
      <c r="A50" s="0" t="s">
        <v>180</v>
      </c>
      <c r="B50" s="0" t="s">
        <v>170</v>
      </c>
      <c r="C50" s="33" t="n">
        <v>0.1111</v>
      </c>
      <c r="D50" s="33" t="n">
        <v>1.1111</v>
      </c>
      <c r="E50" s="34" t="n">
        <v>0.900009000090001</v>
      </c>
      <c r="F50" s="34" t="n">
        <v>0.0999909999099991</v>
      </c>
      <c r="G50" s="6" t="s">
        <v>132</v>
      </c>
      <c r="I50" s="35" t="n">
        <f aca="false">CoreBpsBlended*GrowthModeFactor*D50*E50</f>
        <v>0.2897</v>
      </c>
      <c r="J50" s="35" t="n">
        <f aca="false">CoreBpsBlended*D50*E50</f>
        <v>2.897</v>
      </c>
      <c r="K50" s="35" t="n">
        <f aca="false">CoreBpsBlended*GrowthModeFactor*D50*F50</f>
        <v>0.03218567</v>
      </c>
    </row>
    <row r="51" customFormat="false" ht="15" hidden="false" customHeight="false" outlineLevel="0" collapsed="false">
      <c r="A51" s="0" t="s">
        <v>181</v>
      </c>
      <c r="B51" s="0" t="s">
        <v>170</v>
      </c>
      <c r="C51" s="33" t="n">
        <v>0.1111</v>
      </c>
      <c r="D51" s="33" t="n">
        <v>1.1111</v>
      </c>
      <c r="E51" s="34" t="n">
        <v>0.900009000090001</v>
      </c>
      <c r="F51" s="34" t="n">
        <v>0.0999909999099991</v>
      </c>
      <c r="G51" s="6" t="s">
        <v>132</v>
      </c>
      <c r="I51" s="35" t="n">
        <f aca="false">CoreBpsBlended*GrowthModeFactor*D51*E51</f>
        <v>0.2897</v>
      </c>
      <c r="J51" s="35" t="n">
        <f aca="false">CoreBpsBlended*D51*E51</f>
        <v>2.897</v>
      </c>
      <c r="K51" s="35" t="n">
        <f aca="false">CoreBpsBlended*GrowthModeFactor*D51*F51</f>
        <v>0.03218567</v>
      </c>
    </row>
    <row r="52" customFormat="false" ht="15" hidden="false" customHeight="false" outlineLevel="0" collapsed="false">
      <c r="A52" s="0" t="s">
        <v>182</v>
      </c>
      <c r="B52" s="0" t="s">
        <v>170</v>
      </c>
      <c r="C52" s="33" t="n">
        <v>0.1111</v>
      </c>
      <c r="D52" s="33" t="n">
        <v>1.1111</v>
      </c>
      <c r="E52" s="34" t="n">
        <v>0.900009000090001</v>
      </c>
      <c r="F52" s="34" t="n">
        <v>0.0999909999099991</v>
      </c>
      <c r="G52" s="6" t="s">
        <v>132</v>
      </c>
      <c r="I52" s="35" t="n">
        <f aca="false">CoreBpsBlended*GrowthModeFactor*D52*E52</f>
        <v>0.2897</v>
      </c>
      <c r="J52" s="35" t="n">
        <f aca="false">CoreBpsBlended*D52*E52</f>
        <v>2.897</v>
      </c>
      <c r="K52" s="35" t="n">
        <f aca="false">CoreBpsBlended*GrowthModeFactor*D52*F52</f>
        <v>0.03218567</v>
      </c>
    </row>
    <row r="53" customFormat="false" ht="15" hidden="false" customHeight="false" outlineLevel="0" collapsed="false">
      <c r="A53" s="0" t="s">
        <v>183</v>
      </c>
      <c r="B53" s="0" t="s">
        <v>170</v>
      </c>
      <c r="C53" s="33" t="n">
        <v>0.1111</v>
      </c>
      <c r="D53" s="33" t="n">
        <v>1.1111</v>
      </c>
      <c r="E53" s="34" t="n">
        <v>0.900009000090001</v>
      </c>
      <c r="F53" s="34" t="n">
        <v>0.0999909999099991</v>
      </c>
      <c r="G53" s="6" t="s">
        <v>132</v>
      </c>
      <c r="I53" s="35" t="n">
        <f aca="false">CoreBpsBlended*GrowthModeFactor*D53*E53</f>
        <v>0.2897</v>
      </c>
      <c r="J53" s="35" t="n">
        <f aca="false">CoreBpsBlended*D53*E53</f>
        <v>2.897</v>
      </c>
      <c r="K53" s="35" t="n">
        <f aca="false">CoreBpsBlended*GrowthModeFactor*D53*F53</f>
        <v>0.03218567</v>
      </c>
    </row>
    <row r="54" customFormat="false" ht="15" hidden="false" customHeight="false" outlineLevel="0" collapsed="false">
      <c r="A54" s="0" t="s">
        <v>184</v>
      </c>
      <c r="B54" s="0" t="s">
        <v>170</v>
      </c>
      <c r="C54" s="33" t="n">
        <v>0.1111</v>
      </c>
      <c r="D54" s="33" t="n">
        <v>1.1111</v>
      </c>
      <c r="E54" s="34" t="n">
        <v>0.900009000090001</v>
      </c>
      <c r="F54" s="34" t="n">
        <v>0.0999909999099991</v>
      </c>
      <c r="G54" s="6" t="s">
        <v>132</v>
      </c>
      <c r="I54" s="35" t="n">
        <f aca="false">CoreBpsBlended*GrowthModeFactor*D54*E54</f>
        <v>0.2897</v>
      </c>
      <c r="J54" s="35" t="n">
        <f aca="false">CoreBpsBlended*D54*E54</f>
        <v>2.897</v>
      </c>
      <c r="K54" s="35" t="n">
        <f aca="false">CoreBpsBlended*GrowthModeFactor*D54*F54</f>
        <v>0.03218567</v>
      </c>
    </row>
    <row r="55" customFormat="false" ht="15" hidden="false" customHeight="false" outlineLevel="0" collapsed="false">
      <c r="A55" s="0" t="s">
        <v>185</v>
      </c>
      <c r="B55" s="0" t="s">
        <v>170</v>
      </c>
      <c r="C55" s="33" t="n">
        <v>0.1111</v>
      </c>
      <c r="D55" s="33" t="n">
        <v>1.1111</v>
      </c>
      <c r="E55" s="34" t="n">
        <v>0.900009000090001</v>
      </c>
      <c r="F55" s="34" t="n">
        <v>0.0999909999099991</v>
      </c>
      <c r="G55" s="6" t="s">
        <v>132</v>
      </c>
      <c r="I55" s="35" t="n">
        <f aca="false">CoreBpsBlended*GrowthModeFactor*D55*E55</f>
        <v>0.2897</v>
      </c>
      <c r="J55" s="35" t="n">
        <f aca="false">CoreBpsBlended*D55*E55</f>
        <v>2.897</v>
      </c>
      <c r="K55" s="35" t="n">
        <f aca="false">CoreBpsBlended*GrowthModeFactor*D55*F55</f>
        <v>0.03218567</v>
      </c>
    </row>
    <row r="56" customFormat="false" ht="15" hidden="false" customHeight="false" outlineLevel="0" collapsed="false">
      <c r="A56" s="0" t="s">
        <v>186</v>
      </c>
      <c r="B56" s="0" t="s">
        <v>170</v>
      </c>
      <c r="C56" s="33" t="n">
        <v>0.1111</v>
      </c>
      <c r="D56" s="33" t="n">
        <v>1.1111</v>
      </c>
      <c r="E56" s="34" t="n">
        <v>0.900009000090001</v>
      </c>
      <c r="F56" s="34" t="n">
        <v>0.0999909999099991</v>
      </c>
      <c r="G56" s="6" t="s">
        <v>132</v>
      </c>
      <c r="I56" s="35" t="n">
        <f aca="false">CoreBpsBlended*GrowthModeFactor*D56*E56</f>
        <v>0.2897</v>
      </c>
      <c r="J56" s="35" t="n">
        <f aca="false">CoreBpsBlended*D56*E56</f>
        <v>2.897</v>
      </c>
      <c r="K56" s="35" t="n">
        <f aca="false">CoreBpsBlended*GrowthModeFactor*D56*F56</f>
        <v>0.03218567</v>
      </c>
    </row>
    <row r="57" customFormat="false" ht="15" hidden="false" customHeight="false" outlineLevel="0" collapsed="false">
      <c r="A57" s="0" t="s">
        <v>187</v>
      </c>
      <c r="B57" s="0" t="s">
        <v>170</v>
      </c>
      <c r="C57" s="33" t="n">
        <v>0.1111</v>
      </c>
      <c r="D57" s="33" t="n">
        <v>1.1111</v>
      </c>
      <c r="E57" s="34" t="n">
        <v>0.900009000090001</v>
      </c>
      <c r="F57" s="34" t="n">
        <v>0.0999909999099991</v>
      </c>
      <c r="G57" s="6" t="s">
        <v>132</v>
      </c>
      <c r="I57" s="35" t="n">
        <f aca="false">CoreBpsBlended*GrowthModeFactor*D57*E57</f>
        <v>0.2897</v>
      </c>
      <c r="J57" s="35" t="n">
        <f aca="false">CoreBpsBlended*D57*E57</f>
        <v>2.897</v>
      </c>
      <c r="K57" s="35" t="n">
        <f aca="false">CoreBpsBlended*GrowthModeFactor*D57*F57</f>
        <v>0.03218567</v>
      </c>
    </row>
    <row r="58" customFormat="false" ht="15" hidden="false" customHeight="false" outlineLevel="0" collapsed="false">
      <c r="A58" s="0" t="s">
        <v>188</v>
      </c>
      <c r="B58" s="0" t="s">
        <v>170</v>
      </c>
      <c r="C58" s="33" t="n">
        <v>0.1111</v>
      </c>
      <c r="D58" s="33" t="n">
        <v>1.1111</v>
      </c>
      <c r="E58" s="34" t="n">
        <v>0.900009000090001</v>
      </c>
      <c r="F58" s="34" t="n">
        <v>0.0999909999099991</v>
      </c>
      <c r="G58" s="6" t="s">
        <v>135</v>
      </c>
      <c r="H58" s="36" t="n">
        <v>46094</v>
      </c>
      <c r="I58" s="35" t="n">
        <f aca="false">CoreBpsBlended*GrowthModeFactor*D58*E58</f>
        <v>0.2897</v>
      </c>
      <c r="J58" s="35" t="n">
        <f aca="false">CoreBpsBlended*D58*E58</f>
        <v>2.897</v>
      </c>
      <c r="K58" s="35" t="n">
        <f aca="false">CoreBpsBlended*GrowthModeFactor*D58*F58</f>
        <v>0.03218567</v>
      </c>
    </row>
    <row r="59" customFormat="false" ht="15" hidden="false" customHeight="false" outlineLevel="0" collapsed="false">
      <c r="A59" s="0" t="s">
        <v>189</v>
      </c>
      <c r="B59" s="0" t="s">
        <v>170</v>
      </c>
      <c r="C59" s="33" t="n">
        <v>0.1111</v>
      </c>
      <c r="D59" s="33" t="n">
        <v>1.1111</v>
      </c>
      <c r="E59" s="34" t="n">
        <v>0.900009000090001</v>
      </c>
      <c r="F59" s="34" t="n">
        <v>0.0999909999099991</v>
      </c>
      <c r="G59" s="6" t="s">
        <v>132</v>
      </c>
      <c r="I59" s="35" t="n">
        <f aca="false">CoreBpsBlended*GrowthModeFactor*D59*E59</f>
        <v>0.2897</v>
      </c>
      <c r="J59" s="35" t="n">
        <f aca="false">CoreBpsBlended*D59*E59</f>
        <v>2.897</v>
      </c>
      <c r="K59" s="35" t="n">
        <f aca="false">CoreBpsBlended*GrowthModeFactor*D59*F59</f>
        <v>0.03218567</v>
      </c>
    </row>
    <row r="60" customFormat="false" ht="15" hidden="false" customHeight="false" outlineLevel="0" collapsed="false">
      <c r="A60" s="0" t="s">
        <v>190</v>
      </c>
      <c r="B60" s="0" t="s">
        <v>170</v>
      </c>
      <c r="C60" s="33" t="n">
        <v>0.1111</v>
      </c>
      <c r="D60" s="33" t="n">
        <v>1.1111</v>
      </c>
      <c r="E60" s="34" t="n">
        <v>0.900009000090001</v>
      </c>
      <c r="F60" s="34" t="n">
        <v>0.0999909999099991</v>
      </c>
      <c r="G60" s="6" t="s">
        <v>132</v>
      </c>
      <c r="I60" s="35" t="n">
        <f aca="false">CoreBpsBlended*GrowthModeFactor*D60*E60</f>
        <v>0.2897</v>
      </c>
      <c r="J60" s="35" t="n">
        <f aca="false">CoreBpsBlended*D60*E60</f>
        <v>2.897</v>
      </c>
      <c r="K60" s="35" t="n">
        <f aca="false">CoreBpsBlended*GrowthModeFactor*D60*F60</f>
        <v>0.03218567</v>
      </c>
    </row>
    <row r="61" customFormat="false" ht="15" hidden="false" customHeight="false" outlineLevel="0" collapsed="false">
      <c r="A61" s="0" t="s">
        <v>191</v>
      </c>
      <c r="B61" s="0" t="s">
        <v>170</v>
      </c>
      <c r="C61" s="33" t="n">
        <v>0.1111</v>
      </c>
      <c r="D61" s="33" t="n">
        <v>1.1111</v>
      </c>
      <c r="E61" s="34" t="n">
        <v>0.900009000090001</v>
      </c>
      <c r="F61" s="34" t="n">
        <v>0.0999909999099991</v>
      </c>
      <c r="G61" s="6" t="s">
        <v>132</v>
      </c>
      <c r="I61" s="35" t="n">
        <f aca="false">CoreBpsBlended*GrowthModeFactor*D61*E61</f>
        <v>0.2897</v>
      </c>
      <c r="J61" s="35" t="n">
        <f aca="false">CoreBpsBlended*D61*E61</f>
        <v>2.897</v>
      </c>
      <c r="K61" s="35" t="n">
        <f aca="false">CoreBpsBlended*GrowthModeFactor*D61*F61</f>
        <v>0.03218567</v>
      </c>
    </row>
    <row r="62" customFormat="false" ht="15" hidden="false" customHeight="false" outlineLevel="0" collapsed="false">
      <c r="A62" s="0" t="s">
        <v>192</v>
      </c>
      <c r="B62" s="0" t="s">
        <v>170</v>
      </c>
      <c r="C62" s="33" t="n">
        <v>0.1111</v>
      </c>
      <c r="D62" s="33" t="n">
        <v>1.1111</v>
      </c>
      <c r="E62" s="34" t="n">
        <v>0.900009000090001</v>
      </c>
      <c r="F62" s="34" t="n">
        <v>0.0999909999099991</v>
      </c>
      <c r="G62" s="6" t="s">
        <v>132</v>
      </c>
      <c r="I62" s="35" t="n">
        <f aca="false">CoreBpsBlended*GrowthModeFactor*D62*E62</f>
        <v>0.2897</v>
      </c>
      <c r="J62" s="35" t="n">
        <f aca="false">CoreBpsBlended*D62*E62</f>
        <v>2.897</v>
      </c>
      <c r="K62" s="35" t="n">
        <f aca="false">CoreBpsBlended*GrowthModeFactor*D62*F62</f>
        <v>0.03218567</v>
      </c>
    </row>
    <row r="63" customFormat="false" ht="15" hidden="false" customHeight="false" outlineLevel="0" collapsed="false">
      <c r="A63" s="0" t="s">
        <v>193</v>
      </c>
      <c r="B63" s="0" t="s">
        <v>170</v>
      </c>
      <c r="C63" s="33" t="n">
        <v>0.1111</v>
      </c>
      <c r="D63" s="33" t="n">
        <v>1.1111</v>
      </c>
      <c r="E63" s="34" t="n">
        <v>0.900009000090001</v>
      </c>
      <c r="F63" s="34" t="n">
        <v>0.0999909999099991</v>
      </c>
      <c r="G63" s="6" t="s">
        <v>132</v>
      </c>
      <c r="I63" s="35" t="n">
        <f aca="false">CoreBpsBlended*GrowthModeFactor*D63*E63</f>
        <v>0.2897</v>
      </c>
      <c r="J63" s="35" t="n">
        <f aca="false">CoreBpsBlended*D63*E63</f>
        <v>2.897</v>
      </c>
      <c r="K63" s="35" t="n">
        <f aca="false">CoreBpsBlended*GrowthModeFactor*D63*F63</f>
        <v>0.03218567</v>
      </c>
    </row>
    <row r="64" customFormat="false" ht="15" hidden="false" customHeight="false" outlineLevel="0" collapsed="false">
      <c r="A64" s="0" t="s">
        <v>194</v>
      </c>
      <c r="B64" s="0" t="s">
        <v>170</v>
      </c>
      <c r="C64" s="33" t="n">
        <v>0.1111</v>
      </c>
      <c r="D64" s="33" t="n">
        <v>1.1111</v>
      </c>
      <c r="E64" s="34" t="n">
        <v>0.900009000090001</v>
      </c>
      <c r="F64" s="34" t="n">
        <v>0.0999909999099991</v>
      </c>
      <c r="G64" s="6" t="s">
        <v>132</v>
      </c>
      <c r="I64" s="35" t="n">
        <f aca="false">CoreBpsBlended*GrowthModeFactor*D64*E64</f>
        <v>0.2897</v>
      </c>
      <c r="J64" s="35" t="n">
        <f aca="false">CoreBpsBlended*D64*E64</f>
        <v>2.897</v>
      </c>
      <c r="K64" s="35" t="n">
        <f aca="false">CoreBpsBlended*GrowthModeFactor*D64*F64</f>
        <v>0.03218567</v>
      </c>
    </row>
    <row r="65" customFormat="false" ht="15" hidden="false" customHeight="false" outlineLevel="0" collapsed="false">
      <c r="A65" s="0" t="s">
        <v>195</v>
      </c>
      <c r="B65" s="0" t="s">
        <v>196</v>
      </c>
      <c r="C65" s="33" t="n">
        <v>1</v>
      </c>
      <c r="D65" s="33" t="n">
        <v>2</v>
      </c>
      <c r="E65" s="34" t="n">
        <v>0.5</v>
      </c>
      <c r="F65" s="34" t="n">
        <v>0.5</v>
      </c>
      <c r="G65" s="6" t="s">
        <v>135</v>
      </c>
      <c r="H65" s="36" t="n">
        <v>46051</v>
      </c>
      <c r="I65" s="35" t="n">
        <f aca="false">CoreBpsBlended*GrowthModeFactor*D65*E65</f>
        <v>0.2897</v>
      </c>
      <c r="J65" s="35" t="n">
        <f aca="false">CoreBpsBlended*D65*E65</f>
        <v>2.897</v>
      </c>
      <c r="K65" s="35" t="n">
        <f aca="false">CoreBpsBlended*GrowthModeFactor*D65*F65</f>
        <v>0.2897</v>
      </c>
    </row>
    <row r="66" customFormat="false" ht="15" hidden="false" customHeight="false" outlineLevel="0" collapsed="false">
      <c r="A66" s="0" t="s">
        <v>197</v>
      </c>
      <c r="B66" s="0" t="s">
        <v>196</v>
      </c>
      <c r="C66" s="33" t="n">
        <v>1</v>
      </c>
      <c r="D66" s="33" t="n">
        <v>2</v>
      </c>
      <c r="E66" s="34" t="n">
        <v>0.5</v>
      </c>
      <c r="F66" s="34" t="n">
        <v>0.5</v>
      </c>
      <c r="G66" s="6" t="s">
        <v>135</v>
      </c>
      <c r="H66" s="36" t="n">
        <v>46037</v>
      </c>
      <c r="I66" s="35" t="n">
        <f aca="false">CoreBpsBlended*GrowthModeFactor*D66*E66</f>
        <v>0.2897</v>
      </c>
      <c r="J66" s="35" t="n">
        <f aca="false">CoreBpsBlended*D66*E66</f>
        <v>2.897</v>
      </c>
      <c r="K66" s="35" t="n">
        <f aca="false">CoreBpsBlended*GrowthModeFactor*D66*F66</f>
        <v>0.2897</v>
      </c>
    </row>
    <row r="67" customFormat="false" ht="15" hidden="false" customHeight="false" outlineLevel="0" collapsed="false">
      <c r="A67" s="0" t="s">
        <v>198</v>
      </c>
      <c r="B67" s="0" t="s">
        <v>196</v>
      </c>
      <c r="C67" s="33" t="n">
        <v>1</v>
      </c>
      <c r="D67" s="33" t="n">
        <v>2</v>
      </c>
      <c r="E67" s="34" t="n">
        <v>0.5</v>
      </c>
      <c r="F67" s="34" t="n">
        <v>0.5</v>
      </c>
      <c r="G67" s="6" t="s">
        <v>132</v>
      </c>
      <c r="H67" s="36" t="n">
        <v>46123</v>
      </c>
      <c r="I67" s="35" t="n">
        <f aca="false">CoreBpsBlended*GrowthModeFactor*D67*E67</f>
        <v>0.2897</v>
      </c>
      <c r="J67" s="35" t="n">
        <f aca="false">CoreBpsBlended*D67*E67</f>
        <v>2.897</v>
      </c>
      <c r="K67" s="35" t="n">
        <f aca="false">CoreBpsBlended*GrowthModeFactor*D67*F67</f>
        <v>0.2897</v>
      </c>
    </row>
    <row r="68" customFormat="false" ht="15" hidden="false" customHeight="false" outlineLevel="0" collapsed="false">
      <c r="A68" s="0" t="s">
        <v>199</v>
      </c>
      <c r="B68" s="0" t="s">
        <v>196</v>
      </c>
      <c r="C68" s="33" t="n">
        <v>1</v>
      </c>
      <c r="D68" s="33" t="n">
        <v>2</v>
      </c>
      <c r="E68" s="34" t="n">
        <v>0.5</v>
      </c>
      <c r="F68" s="34" t="n">
        <v>0.5</v>
      </c>
      <c r="G68" s="6" t="s">
        <v>135</v>
      </c>
      <c r="H68" s="36" t="n">
        <v>46135</v>
      </c>
      <c r="I68" s="35" t="n">
        <f aca="false">CoreBpsBlended*GrowthModeFactor*D68*E68</f>
        <v>0.2897</v>
      </c>
      <c r="J68" s="35" t="n">
        <f aca="false">CoreBpsBlended*D68*E68</f>
        <v>2.897</v>
      </c>
      <c r="K68" s="35" t="n">
        <f aca="false">CoreBpsBlended*GrowthModeFactor*D68*F68</f>
        <v>0.2897</v>
      </c>
    </row>
    <row r="69" customFormat="false" ht="15" hidden="false" customHeight="false" outlineLevel="0" collapsed="false">
      <c r="A69" s="0" t="s">
        <v>200</v>
      </c>
      <c r="B69" s="0" t="s">
        <v>196</v>
      </c>
      <c r="C69" s="33" t="n">
        <v>1</v>
      </c>
      <c r="D69" s="33" t="n">
        <v>2</v>
      </c>
      <c r="E69" s="34" t="n">
        <v>0.5</v>
      </c>
      <c r="F69" s="34" t="n">
        <v>0.5</v>
      </c>
      <c r="G69" s="6" t="s">
        <v>135</v>
      </c>
      <c r="H69" s="36" t="n">
        <v>46078</v>
      </c>
      <c r="I69" s="35" t="n">
        <f aca="false">CoreBpsBlended*GrowthModeFactor*D69*E69</f>
        <v>0.2897</v>
      </c>
      <c r="J69" s="35" t="n">
        <f aca="false">CoreBpsBlended*D69*E69</f>
        <v>2.897</v>
      </c>
      <c r="K69" s="35" t="n">
        <f aca="false">CoreBpsBlended*GrowthModeFactor*D69*F69</f>
        <v>0.2897</v>
      </c>
    </row>
    <row r="70" customFormat="false" ht="15" hidden="false" customHeight="false" outlineLevel="0" collapsed="false">
      <c r="A70" s="0" t="s">
        <v>201</v>
      </c>
      <c r="B70" s="0" t="s">
        <v>196</v>
      </c>
      <c r="C70" s="33" t="n">
        <v>1</v>
      </c>
      <c r="D70" s="33" t="n">
        <v>2</v>
      </c>
      <c r="E70" s="34" t="n">
        <v>0.5</v>
      </c>
      <c r="F70" s="34" t="n">
        <v>0.5</v>
      </c>
      <c r="G70" s="6" t="s">
        <v>132</v>
      </c>
      <c r="I70" s="35" t="n">
        <f aca="false">CoreBpsBlended*GrowthModeFactor*D70*E70</f>
        <v>0.2897</v>
      </c>
      <c r="J70" s="35" t="n">
        <f aca="false">CoreBpsBlended*D70*E70</f>
        <v>2.897</v>
      </c>
      <c r="K70" s="35" t="n">
        <f aca="false">CoreBpsBlended*GrowthModeFactor*D70*F70</f>
        <v>0.2897</v>
      </c>
    </row>
    <row r="71" customFormat="false" ht="15" hidden="false" customHeight="false" outlineLevel="0" collapsed="false">
      <c r="A71" s="0" t="s">
        <v>202</v>
      </c>
      <c r="B71" s="0" t="s">
        <v>196</v>
      </c>
      <c r="C71" s="33" t="n">
        <v>1</v>
      </c>
      <c r="D71" s="33" t="n">
        <v>2</v>
      </c>
      <c r="E71" s="34" t="n">
        <v>0.5</v>
      </c>
      <c r="F71" s="34" t="n">
        <v>0.5</v>
      </c>
      <c r="G71" s="6" t="s">
        <v>135</v>
      </c>
      <c r="H71" s="36" t="n">
        <v>46051</v>
      </c>
      <c r="I71" s="35" t="n">
        <f aca="false">CoreBpsBlended*GrowthModeFactor*D71*E71</f>
        <v>0.2897</v>
      </c>
      <c r="J71" s="35" t="n">
        <f aca="false">CoreBpsBlended*D71*E71</f>
        <v>2.897</v>
      </c>
      <c r="K71" s="35" t="n">
        <f aca="false">CoreBpsBlended*GrowthModeFactor*D71*F71</f>
        <v>0.2897</v>
      </c>
    </row>
    <row r="72" customFormat="false" ht="15" hidden="false" customHeight="false" outlineLevel="0" collapsed="false">
      <c r="A72" s="0" t="s">
        <v>203</v>
      </c>
      <c r="B72" s="0" t="s">
        <v>196</v>
      </c>
      <c r="C72" s="33" t="n">
        <v>1</v>
      </c>
      <c r="D72" s="33" t="n">
        <v>2</v>
      </c>
      <c r="E72" s="34" t="n">
        <v>0.5</v>
      </c>
      <c r="F72" s="34" t="n">
        <v>0.5</v>
      </c>
      <c r="G72" s="6" t="s">
        <v>132</v>
      </c>
      <c r="I72" s="35" t="n">
        <f aca="false">CoreBpsBlended*GrowthModeFactor*D72*E72</f>
        <v>0.2897</v>
      </c>
      <c r="J72" s="35" t="n">
        <f aca="false">CoreBpsBlended*D72*E72</f>
        <v>2.897</v>
      </c>
      <c r="K72" s="35" t="n">
        <f aca="false">CoreBpsBlended*GrowthModeFactor*D72*F72</f>
        <v>0.2897</v>
      </c>
    </row>
    <row r="73" customFormat="false" ht="15" hidden="false" customHeight="false" outlineLevel="0" collapsed="false">
      <c r="A73" s="0" t="s">
        <v>204</v>
      </c>
      <c r="B73" s="0" t="s">
        <v>196</v>
      </c>
      <c r="C73" s="33" t="n">
        <v>1</v>
      </c>
      <c r="D73" s="33" t="n">
        <v>2</v>
      </c>
      <c r="E73" s="34" t="n">
        <v>0.5</v>
      </c>
      <c r="F73" s="34" t="n">
        <v>0.5</v>
      </c>
      <c r="G73" s="6" t="s">
        <v>135</v>
      </c>
      <c r="H73" s="36" t="n">
        <v>46077</v>
      </c>
      <c r="I73" s="35" t="n">
        <f aca="false">CoreBpsBlended*GrowthModeFactor*D73*E73</f>
        <v>0.2897</v>
      </c>
      <c r="J73" s="35" t="n">
        <f aca="false">CoreBpsBlended*D73*E73</f>
        <v>2.897</v>
      </c>
      <c r="K73" s="35" t="n">
        <f aca="false">CoreBpsBlended*GrowthModeFactor*D73*F73</f>
        <v>0.2897</v>
      </c>
    </row>
    <row r="74" customFormat="false" ht="15" hidden="false" customHeight="false" outlineLevel="0" collapsed="false">
      <c r="A74" s="0" t="s">
        <v>205</v>
      </c>
      <c r="B74" s="0" t="s">
        <v>196</v>
      </c>
      <c r="C74" s="33" t="n">
        <v>1</v>
      </c>
      <c r="D74" s="33" t="n">
        <v>2</v>
      </c>
      <c r="E74" s="34" t="n">
        <v>0.5</v>
      </c>
      <c r="F74" s="34" t="n">
        <v>0.5</v>
      </c>
      <c r="G74" s="6" t="s">
        <v>135</v>
      </c>
      <c r="H74" s="36" t="n">
        <v>46064</v>
      </c>
      <c r="I74" s="35" t="n">
        <f aca="false">CoreBpsBlended*GrowthModeFactor*D74*E74</f>
        <v>0.2897</v>
      </c>
      <c r="J74" s="35" t="n">
        <f aca="false">CoreBpsBlended*D74*E74</f>
        <v>2.897</v>
      </c>
      <c r="K74" s="35" t="n">
        <f aca="false">CoreBpsBlended*GrowthModeFactor*D74*F74</f>
        <v>0.2897</v>
      </c>
    </row>
    <row r="75" customFormat="false" ht="15" hidden="false" customHeight="false" outlineLevel="0" collapsed="false">
      <c r="A75" s="0" t="s">
        <v>206</v>
      </c>
      <c r="B75" s="0" t="s">
        <v>196</v>
      </c>
      <c r="C75" s="33" t="n">
        <v>1</v>
      </c>
      <c r="D75" s="33" t="n">
        <v>2</v>
      </c>
      <c r="E75" s="34" t="n">
        <v>0.5</v>
      </c>
      <c r="F75" s="34" t="n">
        <v>0.5</v>
      </c>
      <c r="G75" s="6" t="s">
        <v>135</v>
      </c>
      <c r="H75" s="36" t="n">
        <v>46077</v>
      </c>
      <c r="I75" s="35" t="n">
        <f aca="false">CoreBpsBlended*GrowthModeFactor*D75*E75</f>
        <v>0.2897</v>
      </c>
      <c r="J75" s="35" t="n">
        <f aca="false">CoreBpsBlended*D75*E75</f>
        <v>2.897</v>
      </c>
      <c r="K75" s="35" t="n">
        <f aca="false">CoreBpsBlended*GrowthModeFactor*D75*F75</f>
        <v>0.2897</v>
      </c>
    </row>
    <row r="76" customFormat="false" ht="15" hidden="false" customHeight="false" outlineLevel="0" collapsed="false">
      <c r="A76" s="0" t="s">
        <v>207</v>
      </c>
      <c r="B76" s="0" t="s">
        <v>196</v>
      </c>
      <c r="C76" s="33" t="n">
        <v>1</v>
      </c>
      <c r="D76" s="33" t="n">
        <v>2</v>
      </c>
      <c r="E76" s="34" t="n">
        <v>0.5</v>
      </c>
      <c r="F76" s="34" t="n">
        <v>0.5</v>
      </c>
      <c r="G76" s="6" t="s">
        <v>135</v>
      </c>
      <c r="H76" s="36" t="n">
        <v>46091</v>
      </c>
      <c r="I76" s="35" t="n">
        <f aca="false">CoreBpsBlended*GrowthModeFactor*D76*E76</f>
        <v>0.2897</v>
      </c>
      <c r="J76" s="35" t="n">
        <f aca="false">CoreBpsBlended*D76*E76</f>
        <v>2.897</v>
      </c>
      <c r="K76" s="35" t="n">
        <f aca="false">CoreBpsBlended*GrowthModeFactor*D76*F76</f>
        <v>0.2897</v>
      </c>
    </row>
    <row r="77" customFormat="false" ht="15" hidden="false" customHeight="false" outlineLevel="0" collapsed="false">
      <c r="A77" s="0" t="s">
        <v>208</v>
      </c>
      <c r="B77" s="0" t="s">
        <v>196</v>
      </c>
      <c r="C77" s="33" t="n">
        <v>1</v>
      </c>
      <c r="D77" s="33" t="n">
        <v>2</v>
      </c>
      <c r="E77" s="34" t="n">
        <v>0.5</v>
      </c>
      <c r="F77" s="34" t="n">
        <v>0.5</v>
      </c>
      <c r="G77" s="6" t="s">
        <v>135</v>
      </c>
      <c r="H77" s="36" t="n">
        <v>46078</v>
      </c>
      <c r="I77" s="35" t="n">
        <f aca="false">CoreBpsBlended*GrowthModeFactor*D77*E77</f>
        <v>0.2897</v>
      </c>
      <c r="J77" s="35" t="n">
        <f aca="false">CoreBpsBlended*D77*E77</f>
        <v>2.897</v>
      </c>
      <c r="K77" s="35" t="n">
        <f aca="false">CoreBpsBlended*GrowthModeFactor*D77*F77</f>
        <v>0.2897</v>
      </c>
    </row>
    <row r="78" customFormat="false" ht="15" hidden="false" customHeight="false" outlineLevel="0" collapsed="false">
      <c r="A78" s="0" t="s">
        <v>209</v>
      </c>
      <c r="B78" s="0" t="s">
        <v>196</v>
      </c>
      <c r="C78" s="33" t="n">
        <v>1</v>
      </c>
      <c r="D78" s="33" t="n">
        <v>2</v>
      </c>
      <c r="E78" s="34" t="n">
        <v>0.5</v>
      </c>
      <c r="F78" s="34" t="n">
        <v>0.5</v>
      </c>
      <c r="G78" s="6" t="s">
        <v>135</v>
      </c>
      <c r="H78" s="36" t="n">
        <v>46050</v>
      </c>
      <c r="I78" s="35" t="n">
        <f aca="false">CoreBpsBlended*GrowthModeFactor*D78*E78</f>
        <v>0.2897</v>
      </c>
      <c r="J78" s="35" t="n">
        <f aca="false">CoreBpsBlended*D78*E78</f>
        <v>2.897</v>
      </c>
      <c r="K78" s="35" t="n">
        <f aca="false">CoreBpsBlended*GrowthModeFactor*D78*F78</f>
        <v>0.2897</v>
      </c>
    </row>
    <row r="79" customFormat="false" ht="15" hidden="false" customHeight="false" outlineLevel="0" collapsed="false">
      <c r="A79" s="0" t="s">
        <v>210</v>
      </c>
      <c r="B79" s="0" t="s">
        <v>196</v>
      </c>
      <c r="C79" s="33" t="n">
        <v>1</v>
      </c>
      <c r="D79" s="33" t="n">
        <v>2</v>
      </c>
      <c r="E79" s="34" t="n">
        <v>0.5</v>
      </c>
      <c r="F79" s="34" t="n">
        <v>0.5</v>
      </c>
      <c r="G79" s="6" t="s">
        <v>135</v>
      </c>
      <c r="H79" s="36" t="n">
        <v>46029</v>
      </c>
      <c r="I79" s="35" t="n">
        <f aca="false">CoreBpsBlended*GrowthModeFactor*D79*E79</f>
        <v>0.2897</v>
      </c>
      <c r="J79" s="35" t="n">
        <f aca="false">CoreBpsBlended*D79*E79</f>
        <v>2.897</v>
      </c>
      <c r="K79" s="35" t="n">
        <f aca="false">CoreBpsBlended*GrowthModeFactor*D79*F79</f>
        <v>0.2897</v>
      </c>
    </row>
    <row r="80" customFormat="false" ht="15" hidden="false" customHeight="false" outlineLevel="0" collapsed="false">
      <c r="A80" s="0" t="s">
        <v>211</v>
      </c>
      <c r="B80" s="0" t="s">
        <v>196</v>
      </c>
      <c r="C80" s="33" t="n">
        <v>1</v>
      </c>
      <c r="D80" s="33" t="n">
        <v>2</v>
      </c>
      <c r="E80" s="34" t="n">
        <v>0.5</v>
      </c>
      <c r="F80" s="34" t="n">
        <v>0.5</v>
      </c>
      <c r="G80" s="6" t="s">
        <v>135</v>
      </c>
      <c r="H80" s="36" t="n">
        <v>46121</v>
      </c>
      <c r="I80" s="35" t="n">
        <f aca="false">CoreBpsBlended*GrowthModeFactor*D80*E80</f>
        <v>0.2897</v>
      </c>
      <c r="J80" s="35" t="n">
        <f aca="false">CoreBpsBlended*D80*E80</f>
        <v>2.897</v>
      </c>
      <c r="K80" s="35" t="n">
        <f aca="false">CoreBpsBlended*GrowthModeFactor*D80*F80</f>
        <v>0.2897</v>
      </c>
    </row>
    <row r="81" customFormat="false" ht="15" hidden="false" customHeight="false" outlineLevel="0" collapsed="false">
      <c r="A81" s="0" t="s">
        <v>212</v>
      </c>
      <c r="B81" s="0" t="s">
        <v>196</v>
      </c>
      <c r="C81" s="33" t="n">
        <v>1</v>
      </c>
      <c r="D81" s="33" t="n">
        <v>2</v>
      </c>
      <c r="E81" s="34" t="n">
        <v>0.5</v>
      </c>
      <c r="F81" s="34" t="n">
        <v>0.5</v>
      </c>
      <c r="G81" s="6" t="s">
        <v>135</v>
      </c>
      <c r="H81" s="36" t="n">
        <v>46038</v>
      </c>
      <c r="I81" s="35" t="n">
        <f aca="false">CoreBpsBlended*GrowthModeFactor*D81*E81</f>
        <v>0.2897</v>
      </c>
      <c r="J81" s="35" t="n">
        <f aca="false">CoreBpsBlended*D81*E81</f>
        <v>2.897</v>
      </c>
      <c r="K81" s="35" t="n">
        <f aca="false">CoreBpsBlended*GrowthModeFactor*D81*F81</f>
        <v>0.2897</v>
      </c>
    </row>
    <row r="82" customFormat="false" ht="15" hidden="false" customHeight="false" outlineLevel="0" collapsed="false">
      <c r="A82" s="0" t="s">
        <v>213</v>
      </c>
      <c r="B82" s="0" t="s">
        <v>196</v>
      </c>
      <c r="C82" s="33" t="n">
        <v>1</v>
      </c>
      <c r="D82" s="33" t="n">
        <v>2</v>
      </c>
      <c r="E82" s="34" t="n">
        <v>0.5</v>
      </c>
      <c r="F82" s="34" t="n">
        <v>0.5</v>
      </c>
      <c r="G82" s="6" t="s">
        <v>135</v>
      </c>
      <c r="H82" s="36" t="n">
        <v>46029</v>
      </c>
      <c r="I82" s="35" t="n">
        <f aca="false">CoreBpsBlended*GrowthModeFactor*D82*E82</f>
        <v>0.2897</v>
      </c>
      <c r="J82" s="35" t="n">
        <f aca="false">CoreBpsBlended*D82*E82</f>
        <v>2.897</v>
      </c>
      <c r="K82" s="35" t="n">
        <f aca="false">CoreBpsBlended*GrowthModeFactor*D82*F82</f>
        <v>0.2897</v>
      </c>
    </row>
    <row r="83" customFormat="false" ht="15" hidden="false" customHeight="false" outlineLevel="0" collapsed="false">
      <c r="A83" s="0" t="s">
        <v>214</v>
      </c>
      <c r="B83" s="0" t="s">
        <v>196</v>
      </c>
      <c r="C83" s="33" t="n">
        <v>1</v>
      </c>
      <c r="D83" s="33" t="n">
        <v>2</v>
      </c>
      <c r="E83" s="34" t="n">
        <v>0.5</v>
      </c>
      <c r="F83" s="34" t="n">
        <v>0.5</v>
      </c>
      <c r="G83" s="6" t="s">
        <v>135</v>
      </c>
      <c r="H83" s="36" t="n">
        <v>46043</v>
      </c>
      <c r="I83" s="35" t="n">
        <f aca="false">CoreBpsBlended*GrowthModeFactor*D83*E83</f>
        <v>0.2897</v>
      </c>
      <c r="J83" s="35" t="n">
        <f aca="false">CoreBpsBlended*D83*E83</f>
        <v>2.897</v>
      </c>
      <c r="K83" s="35" t="n">
        <f aca="false">CoreBpsBlended*GrowthModeFactor*D83*F83</f>
        <v>0.2897</v>
      </c>
    </row>
    <row r="84" customFormat="false" ht="15" hidden="false" customHeight="false" outlineLevel="0" collapsed="false">
      <c r="A84" s="0" t="s">
        <v>215</v>
      </c>
      <c r="B84" s="0" t="s">
        <v>196</v>
      </c>
      <c r="C84" s="33" t="n">
        <v>1</v>
      </c>
      <c r="D84" s="33" t="n">
        <v>2</v>
      </c>
      <c r="E84" s="34" t="n">
        <v>0.5</v>
      </c>
      <c r="F84" s="34" t="n">
        <v>0.5</v>
      </c>
      <c r="G84" s="6" t="s">
        <v>135</v>
      </c>
      <c r="H84" s="36" t="n">
        <v>46057</v>
      </c>
      <c r="I84" s="35" t="n">
        <f aca="false">CoreBpsBlended*GrowthModeFactor*D84*E84</f>
        <v>0.2897</v>
      </c>
      <c r="J84" s="35" t="n">
        <f aca="false">CoreBpsBlended*D84*E84</f>
        <v>2.897</v>
      </c>
      <c r="K84" s="35" t="n">
        <f aca="false">CoreBpsBlended*GrowthModeFactor*D84*F84</f>
        <v>0.2897</v>
      </c>
    </row>
    <row r="85" customFormat="false" ht="15" hidden="false" customHeight="false" outlineLevel="0" collapsed="false">
      <c r="A85" s="0" t="s">
        <v>216</v>
      </c>
      <c r="B85" s="0" t="s">
        <v>196</v>
      </c>
      <c r="C85" s="33" t="n">
        <v>1</v>
      </c>
      <c r="D85" s="33" t="n">
        <v>2</v>
      </c>
      <c r="E85" s="34" t="n">
        <v>0.5</v>
      </c>
      <c r="F85" s="34" t="n">
        <v>0.5</v>
      </c>
      <c r="G85" s="6" t="s">
        <v>135</v>
      </c>
      <c r="H85" s="36" t="n">
        <v>46044</v>
      </c>
      <c r="I85" s="35" t="n">
        <f aca="false">CoreBpsBlended*GrowthModeFactor*D85*E85</f>
        <v>0.2897</v>
      </c>
      <c r="J85" s="35" t="n">
        <f aca="false">CoreBpsBlended*D85*E85</f>
        <v>2.897</v>
      </c>
      <c r="K85" s="35" t="n">
        <f aca="false">CoreBpsBlended*GrowthModeFactor*D85*F85</f>
        <v>0.2897</v>
      </c>
    </row>
    <row r="86" customFormat="false" ht="15" hidden="false" customHeight="false" outlineLevel="0" collapsed="false">
      <c r="A86" s="0" t="s">
        <v>217</v>
      </c>
      <c r="B86" s="0" t="s">
        <v>196</v>
      </c>
      <c r="C86" s="33" t="n">
        <v>1</v>
      </c>
      <c r="D86" s="33" t="n">
        <v>2</v>
      </c>
      <c r="E86" s="34" t="n">
        <v>0.5</v>
      </c>
      <c r="F86" s="34" t="n">
        <v>0.5</v>
      </c>
      <c r="G86" s="6" t="s">
        <v>135</v>
      </c>
      <c r="H86" s="36" t="n">
        <v>46029</v>
      </c>
      <c r="I86" s="35" t="n">
        <f aca="false">CoreBpsBlended*GrowthModeFactor*D86*E86</f>
        <v>0.2897</v>
      </c>
      <c r="J86" s="35" t="n">
        <f aca="false">CoreBpsBlended*D86*E86</f>
        <v>2.897</v>
      </c>
      <c r="K86" s="35" t="n">
        <f aca="false">CoreBpsBlended*GrowthModeFactor*D86*F86</f>
        <v>0.2897</v>
      </c>
    </row>
    <row r="87" customFormat="false" ht="15" hidden="false" customHeight="false" outlineLevel="0" collapsed="false">
      <c r="A87" s="0" t="s">
        <v>218</v>
      </c>
      <c r="B87" s="0" t="s">
        <v>196</v>
      </c>
      <c r="C87" s="33" t="n">
        <v>1</v>
      </c>
      <c r="D87" s="33" t="n">
        <v>2</v>
      </c>
      <c r="E87" s="34" t="n">
        <v>0.5</v>
      </c>
      <c r="F87" s="34" t="n">
        <v>0.5</v>
      </c>
      <c r="G87" s="6" t="s">
        <v>135</v>
      </c>
      <c r="H87" s="36" t="n">
        <v>46121</v>
      </c>
      <c r="I87" s="35" t="n">
        <f aca="false">CoreBpsBlended*GrowthModeFactor*D87*E87</f>
        <v>0.2897</v>
      </c>
      <c r="J87" s="35" t="n">
        <f aca="false">CoreBpsBlended*D87*E87</f>
        <v>2.897</v>
      </c>
      <c r="K87" s="35" t="n">
        <f aca="false">CoreBpsBlended*GrowthModeFactor*D87*F87</f>
        <v>0.2897</v>
      </c>
    </row>
    <row r="88" customFormat="false" ht="15" hidden="false" customHeight="false" outlineLevel="0" collapsed="false">
      <c r="A88" s="0" t="s">
        <v>219</v>
      </c>
      <c r="B88" s="0" t="s">
        <v>220</v>
      </c>
      <c r="C88" s="33" t="n">
        <v>1</v>
      </c>
      <c r="D88" s="33" t="n">
        <v>2</v>
      </c>
      <c r="E88" s="34" t="n">
        <v>0.5</v>
      </c>
      <c r="F88" s="34" t="n">
        <v>0.5</v>
      </c>
      <c r="G88" s="6" t="s">
        <v>132</v>
      </c>
      <c r="I88" s="35" t="n">
        <f aca="false">CoreBpsBlended*GrowthModeFactor*D88*E88</f>
        <v>0.2897</v>
      </c>
      <c r="J88" s="35" t="n">
        <f aca="false">CoreBpsBlended*D88*E88</f>
        <v>2.897</v>
      </c>
      <c r="K88" s="35" t="n">
        <f aca="false">CoreBpsBlended*GrowthModeFactor*D88*F88</f>
        <v>0.2897</v>
      </c>
    </row>
    <row r="89" customFormat="false" ht="15" hidden="false" customHeight="false" outlineLevel="0" collapsed="false">
      <c r="A89" s="0" t="s">
        <v>221</v>
      </c>
      <c r="B89" s="0" t="s">
        <v>220</v>
      </c>
      <c r="C89" s="33" t="n">
        <v>1</v>
      </c>
      <c r="D89" s="33" t="n">
        <v>2</v>
      </c>
      <c r="E89" s="34" t="n">
        <v>0.5</v>
      </c>
      <c r="F89" s="34" t="n">
        <v>0.5</v>
      </c>
      <c r="G89" s="6" t="s">
        <v>132</v>
      </c>
      <c r="I89" s="35" t="n">
        <f aca="false">CoreBpsBlended*GrowthModeFactor*D89*E89</f>
        <v>0.2897</v>
      </c>
      <c r="J89" s="35" t="n">
        <f aca="false">CoreBpsBlended*D89*E89</f>
        <v>2.897</v>
      </c>
      <c r="K89" s="35" t="n">
        <f aca="false">CoreBpsBlended*GrowthModeFactor*D89*F89</f>
        <v>0.2897</v>
      </c>
    </row>
    <row r="90" customFormat="false" ht="15" hidden="false" customHeight="false" outlineLevel="0" collapsed="false">
      <c r="A90" s="0" t="s">
        <v>222</v>
      </c>
      <c r="B90" s="0" t="s">
        <v>220</v>
      </c>
      <c r="C90" s="33" t="n">
        <v>1</v>
      </c>
      <c r="D90" s="33" t="n">
        <v>2</v>
      </c>
      <c r="E90" s="34" t="n">
        <v>0.5</v>
      </c>
      <c r="F90" s="34" t="n">
        <v>0.5</v>
      </c>
      <c r="G90" s="6" t="s">
        <v>132</v>
      </c>
      <c r="I90" s="35" t="n">
        <f aca="false">CoreBpsBlended*GrowthModeFactor*D90*E90</f>
        <v>0.2897</v>
      </c>
      <c r="J90" s="35" t="n">
        <f aca="false">CoreBpsBlended*D90*E90</f>
        <v>2.897</v>
      </c>
      <c r="K90" s="35" t="n">
        <f aca="false">CoreBpsBlended*GrowthModeFactor*D90*F90</f>
        <v>0.2897</v>
      </c>
    </row>
    <row r="91" customFormat="false" ht="15" hidden="false" customHeight="false" outlineLevel="0" collapsed="false">
      <c r="A91" s="0" t="s">
        <v>223</v>
      </c>
      <c r="B91" s="0" t="s">
        <v>220</v>
      </c>
      <c r="C91" s="33" t="n">
        <v>1</v>
      </c>
      <c r="D91" s="33" t="n">
        <v>2</v>
      </c>
      <c r="E91" s="34" t="n">
        <v>0.5</v>
      </c>
      <c r="F91" s="34" t="n">
        <v>0.5</v>
      </c>
      <c r="G91" s="6" t="s">
        <v>132</v>
      </c>
      <c r="I91" s="35" t="n">
        <f aca="false">CoreBpsBlended*GrowthModeFactor*D91*E91</f>
        <v>0.2897</v>
      </c>
      <c r="J91" s="35" t="n">
        <f aca="false">CoreBpsBlended*D91*E91</f>
        <v>2.897</v>
      </c>
      <c r="K91" s="35" t="n">
        <f aca="false">CoreBpsBlended*GrowthModeFactor*D91*F91</f>
        <v>0.2897</v>
      </c>
    </row>
    <row r="92" customFormat="false" ht="15" hidden="false" customHeight="false" outlineLevel="0" collapsed="false">
      <c r="A92" s="0" t="s">
        <v>224</v>
      </c>
      <c r="B92" s="0" t="s">
        <v>225</v>
      </c>
      <c r="C92" s="33" t="n">
        <v>1</v>
      </c>
      <c r="D92" s="33" t="n">
        <v>2</v>
      </c>
      <c r="E92" s="34" t="n">
        <v>0.5</v>
      </c>
      <c r="F92" s="34" t="n">
        <v>0.5</v>
      </c>
      <c r="G92" s="6" t="s">
        <v>132</v>
      </c>
      <c r="I92" s="35" t="n">
        <f aca="false">CoreBpsBlended*GrowthModeFactor*D92*E92</f>
        <v>0.2897</v>
      </c>
      <c r="J92" s="35" t="n">
        <f aca="false">CoreBpsBlended*D92*E92</f>
        <v>2.897</v>
      </c>
      <c r="K92" s="35" t="n">
        <f aca="false">CoreBpsBlended*GrowthModeFactor*D92*F92</f>
        <v>0.2897</v>
      </c>
    </row>
    <row r="93" customFormat="false" ht="15" hidden="false" customHeight="false" outlineLevel="0" collapsed="false">
      <c r="A93" s="0" t="s">
        <v>226</v>
      </c>
      <c r="B93" s="0" t="s">
        <v>225</v>
      </c>
      <c r="C93" s="33" t="n">
        <v>1</v>
      </c>
      <c r="D93" s="33" t="n">
        <v>2</v>
      </c>
      <c r="E93" s="34" t="n">
        <v>0.5</v>
      </c>
      <c r="F93" s="34" t="n">
        <v>0.5</v>
      </c>
      <c r="G93" s="6" t="s">
        <v>135</v>
      </c>
      <c r="H93" s="36" t="n">
        <v>46056</v>
      </c>
      <c r="I93" s="35" t="n">
        <f aca="false">CoreBpsBlended*GrowthModeFactor*D93*E93</f>
        <v>0.2897</v>
      </c>
      <c r="J93" s="35" t="n">
        <f aca="false">CoreBpsBlended*D93*E93</f>
        <v>2.897</v>
      </c>
      <c r="K93" s="35" t="n">
        <f aca="false">CoreBpsBlended*GrowthModeFactor*D93*F93</f>
        <v>0.2897</v>
      </c>
    </row>
    <row r="94" customFormat="false" ht="15" hidden="false" customHeight="false" outlineLevel="0" collapsed="false">
      <c r="A94" s="0" t="s">
        <v>227</v>
      </c>
      <c r="B94" s="0" t="s">
        <v>225</v>
      </c>
      <c r="C94" s="33" t="n">
        <v>1</v>
      </c>
      <c r="D94" s="33" t="n">
        <v>2</v>
      </c>
      <c r="E94" s="34" t="n">
        <v>0.5</v>
      </c>
      <c r="F94" s="34" t="n">
        <v>0.5</v>
      </c>
      <c r="G94" s="6" t="s">
        <v>135</v>
      </c>
      <c r="H94" s="36" t="n">
        <v>46056</v>
      </c>
      <c r="I94" s="35" t="n">
        <f aca="false">CoreBpsBlended*GrowthModeFactor*D94*E94</f>
        <v>0.2897</v>
      </c>
      <c r="J94" s="35" t="n">
        <f aca="false">CoreBpsBlended*D94*E94</f>
        <v>2.897</v>
      </c>
      <c r="K94" s="35" t="n">
        <f aca="false">CoreBpsBlended*GrowthModeFactor*D94*F94</f>
        <v>0.2897</v>
      </c>
    </row>
    <row r="95" customFormat="false" ht="15" hidden="false" customHeight="false" outlineLevel="0" collapsed="false">
      <c r="A95" s="0" t="s">
        <v>228</v>
      </c>
      <c r="B95" s="0" t="s">
        <v>225</v>
      </c>
      <c r="C95" s="33" t="n">
        <v>1</v>
      </c>
      <c r="D95" s="33" t="n">
        <v>2</v>
      </c>
      <c r="E95" s="34" t="n">
        <v>0.5</v>
      </c>
      <c r="F95" s="34" t="n">
        <v>0.5</v>
      </c>
      <c r="G95" s="6" t="s">
        <v>135</v>
      </c>
      <c r="H95" s="36" t="n">
        <v>46056</v>
      </c>
      <c r="I95" s="35" t="n">
        <f aca="false">CoreBpsBlended*GrowthModeFactor*D95*E95</f>
        <v>0.2897</v>
      </c>
      <c r="J95" s="35" t="n">
        <f aca="false">CoreBpsBlended*D95*E95</f>
        <v>2.897</v>
      </c>
      <c r="K95" s="35" t="n">
        <f aca="false">CoreBpsBlended*GrowthModeFactor*D95*F95</f>
        <v>0.2897</v>
      </c>
    </row>
    <row r="96" customFormat="false" ht="15" hidden="false" customHeight="false" outlineLevel="0" collapsed="false">
      <c r="A96" s="0" t="s">
        <v>229</v>
      </c>
      <c r="B96" s="0" t="s">
        <v>225</v>
      </c>
      <c r="C96" s="33" t="n">
        <v>1</v>
      </c>
      <c r="D96" s="33" t="n">
        <v>2</v>
      </c>
      <c r="E96" s="34" t="n">
        <v>0.5</v>
      </c>
      <c r="F96" s="34" t="n">
        <v>0.5</v>
      </c>
      <c r="G96" s="6" t="s">
        <v>132</v>
      </c>
      <c r="I96" s="35" t="n">
        <f aca="false">CoreBpsBlended*GrowthModeFactor*D96*E96</f>
        <v>0.2897</v>
      </c>
      <c r="J96" s="35" t="n">
        <f aca="false">CoreBpsBlended*D96*E96</f>
        <v>2.897</v>
      </c>
      <c r="K96" s="35" t="n">
        <f aca="false">CoreBpsBlended*GrowthModeFactor*D96*F96</f>
        <v>0.2897</v>
      </c>
    </row>
    <row r="97" customFormat="false" ht="15" hidden="false" customHeight="false" outlineLevel="0" collapsed="false">
      <c r="A97" s="0" t="s">
        <v>230</v>
      </c>
      <c r="B97" s="0" t="s">
        <v>225</v>
      </c>
      <c r="C97" s="33" t="n">
        <v>1</v>
      </c>
      <c r="D97" s="33" t="n">
        <v>2</v>
      </c>
      <c r="E97" s="34" t="n">
        <v>0.5</v>
      </c>
      <c r="F97" s="34" t="n">
        <v>0.5</v>
      </c>
      <c r="G97" s="6" t="s">
        <v>135</v>
      </c>
      <c r="H97" s="36" t="n">
        <v>46056</v>
      </c>
      <c r="I97" s="35" t="n">
        <f aca="false">CoreBpsBlended*GrowthModeFactor*D97*E97</f>
        <v>0.2897</v>
      </c>
      <c r="J97" s="35" t="n">
        <f aca="false">CoreBpsBlended*D97*E97</f>
        <v>2.897</v>
      </c>
      <c r="K97" s="35" t="n">
        <f aca="false">CoreBpsBlended*GrowthModeFactor*D97*F97</f>
        <v>0.2897</v>
      </c>
    </row>
    <row r="98" customFormat="false" ht="15" hidden="false" customHeight="false" outlineLevel="0" collapsed="false">
      <c r="A98" s="0" t="s">
        <v>231</v>
      </c>
      <c r="B98" s="0" t="s">
        <v>225</v>
      </c>
      <c r="C98" s="33" t="n">
        <v>1</v>
      </c>
      <c r="D98" s="33" t="n">
        <v>2</v>
      </c>
      <c r="E98" s="34" t="n">
        <v>0.5</v>
      </c>
      <c r="F98" s="34" t="n">
        <v>0.5</v>
      </c>
      <c r="G98" s="6" t="s">
        <v>135</v>
      </c>
      <c r="H98" s="36" t="n">
        <v>46056</v>
      </c>
      <c r="I98" s="35" t="n">
        <f aca="false">CoreBpsBlended*GrowthModeFactor*D98*E98</f>
        <v>0.2897</v>
      </c>
      <c r="J98" s="35" t="n">
        <f aca="false">CoreBpsBlended*D98*E98</f>
        <v>2.897</v>
      </c>
      <c r="K98" s="35" t="n">
        <f aca="false">CoreBpsBlended*GrowthModeFactor*D98*F98</f>
        <v>0.2897</v>
      </c>
    </row>
    <row r="99" customFormat="false" ht="15" hidden="false" customHeight="false" outlineLevel="0" collapsed="false">
      <c r="A99" s="0" t="s">
        <v>232</v>
      </c>
      <c r="B99" s="0" t="s">
        <v>225</v>
      </c>
      <c r="C99" s="33" t="n">
        <v>1</v>
      </c>
      <c r="D99" s="33" t="n">
        <v>2</v>
      </c>
      <c r="E99" s="34" t="n">
        <v>0.5</v>
      </c>
      <c r="F99" s="34" t="n">
        <v>0.5</v>
      </c>
      <c r="G99" s="6" t="s">
        <v>135</v>
      </c>
      <c r="H99" s="36" t="n">
        <v>46056</v>
      </c>
      <c r="I99" s="35" t="n">
        <f aca="false">CoreBpsBlended*GrowthModeFactor*D99*E99</f>
        <v>0.2897</v>
      </c>
      <c r="J99" s="35" t="n">
        <f aca="false">CoreBpsBlended*D99*E99</f>
        <v>2.897</v>
      </c>
      <c r="K99" s="35" t="n">
        <f aca="false">CoreBpsBlended*GrowthModeFactor*D99*F99</f>
        <v>0.2897</v>
      </c>
    </row>
    <row r="100" customFormat="false" ht="15" hidden="false" customHeight="false" outlineLevel="0" collapsed="false">
      <c r="A100" s="0" t="s">
        <v>233</v>
      </c>
      <c r="B100" s="0" t="s">
        <v>225</v>
      </c>
      <c r="C100" s="33" t="n">
        <v>1</v>
      </c>
      <c r="D100" s="33" t="n">
        <v>2</v>
      </c>
      <c r="E100" s="34" t="n">
        <v>0.5</v>
      </c>
      <c r="F100" s="34" t="n">
        <v>0.5</v>
      </c>
      <c r="G100" s="6" t="s">
        <v>132</v>
      </c>
      <c r="I100" s="35" t="n">
        <f aca="false">CoreBpsBlended*GrowthModeFactor*D100*E100</f>
        <v>0.2897</v>
      </c>
      <c r="J100" s="35" t="n">
        <f aca="false">CoreBpsBlended*D100*E100</f>
        <v>2.897</v>
      </c>
      <c r="K100" s="35" t="n">
        <f aca="false">CoreBpsBlended*GrowthModeFactor*D100*F100</f>
        <v>0.2897</v>
      </c>
    </row>
    <row r="101" customFormat="false" ht="15" hidden="false" customHeight="false" outlineLevel="0" collapsed="false">
      <c r="A101" s="0" t="s">
        <v>234</v>
      </c>
      <c r="B101" s="0" t="s">
        <v>225</v>
      </c>
      <c r="C101" s="33" t="n">
        <v>1</v>
      </c>
      <c r="D101" s="33" t="n">
        <v>2</v>
      </c>
      <c r="E101" s="34" t="n">
        <v>0.5</v>
      </c>
      <c r="F101" s="34" t="n">
        <v>0.5</v>
      </c>
      <c r="G101" s="6" t="s">
        <v>135</v>
      </c>
      <c r="H101" s="36" t="n">
        <v>46056</v>
      </c>
      <c r="I101" s="35" t="n">
        <f aca="false">CoreBpsBlended*GrowthModeFactor*D101*E101</f>
        <v>0.2897</v>
      </c>
      <c r="J101" s="35" t="n">
        <f aca="false">CoreBpsBlended*D101*E101</f>
        <v>2.897</v>
      </c>
      <c r="K101" s="35" t="n">
        <f aca="false">CoreBpsBlended*GrowthModeFactor*D101*F101</f>
        <v>0.2897</v>
      </c>
    </row>
    <row r="102" customFormat="false" ht="15" hidden="false" customHeight="false" outlineLevel="0" collapsed="false">
      <c r="A102" s="0" t="s">
        <v>235</v>
      </c>
      <c r="B102" s="0" t="s">
        <v>225</v>
      </c>
      <c r="C102" s="33" t="n">
        <v>1</v>
      </c>
      <c r="D102" s="33" t="n">
        <v>2</v>
      </c>
      <c r="E102" s="34" t="n">
        <v>0.5</v>
      </c>
      <c r="F102" s="34" t="n">
        <v>0.5</v>
      </c>
      <c r="G102" s="6" t="s">
        <v>135</v>
      </c>
      <c r="H102" s="36" t="n">
        <v>46056</v>
      </c>
      <c r="I102" s="35" t="n">
        <f aca="false">CoreBpsBlended*GrowthModeFactor*D102*E102</f>
        <v>0.2897</v>
      </c>
      <c r="J102" s="35" t="n">
        <f aca="false">CoreBpsBlended*D102*E102</f>
        <v>2.897</v>
      </c>
      <c r="K102" s="35" t="n">
        <f aca="false">CoreBpsBlended*GrowthModeFactor*D102*F102</f>
        <v>0.2897</v>
      </c>
    </row>
    <row r="103" customFormat="false" ht="15" hidden="false" customHeight="false" outlineLevel="0" collapsed="false">
      <c r="A103" s="0" t="s">
        <v>236</v>
      </c>
      <c r="B103" s="0" t="s">
        <v>225</v>
      </c>
      <c r="C103" s="33" t="n">
        <v>1</v>
      </c>
      <c r="D103" s="33" t="n">
        <v>2</v>
      </c>
      <c r="E103" s="34" t="n">
        <v>0.5</v>
      </c>
      <c r="F103" s="34" t="n">
        <v>0.5</v>
      </c>
      <c r="G103" s="6" t="s">
        <v>132</v>
      </c>
      <c r="I103" s="35" t="n">
        <f aca="false">CoreBpsBlended*GrowthModeFactor*D103*E103</f>
        <v>0.2897</v>
      </c>
      <c r="J103" s="35" t="n">
        <f aca="false">CoreBpsBlended*D103*E103</f>
        <v>2.897</v>
      </c>
      <c r="K103" s="35" t="n">
        <f aca="false">CoreBpsBlended*GrowthModeFactor*D103*F103</f>
        <v>0.2897</v>
      </c>
    </row>
    <row r="104" customFormat="false" ht="15" hidden="false" customHeight="false" outlineLevel="0" collapsed="false">
      <c r="A104" s="0" t="s">
        <v>237</v>
      </c>
      <c r="B104" s="0" t="s">
        <v>225</v>
      </c>
      <c r="C104" s="33" t="n">
        <v>1</v>
      </c>
      <c r="D104" s="33" t="n">
        <v>2</v>
      </c>
      <c r="E104" s="34" t="n">
        <v>0.5</v>
      </c>
      <c r="F104" s="34" t="n">
        <v>0.5</v>
      </c>
      <c r="G104" s="6" t="s">
        <v>135</v>
      </c>
      <c r="H104" s="36" t="n">
        <v>46132</v>
      </c>
      <c r="I104" s="35" t="n">
        <f aca="false">CoreBpsBlended*GrowthModeFactor*D104*E104</f>
        <v>0.2897</v>
      </c>
      <c r="J104" s="35" t="n">
        <f aca="false">CoreBpsBlended*D104*E104</f>
        <v>2.897</v>
      </c>
      <c r="K104" s="35" t="n">
        <f aca="false">CoreBpsBlended*GrowthModeFactor*D104*F104</f>
        <v>0.2897</v>
      </c>
    </row>
    <row r="105" customFormat="false" ht="15" hidden="false" customHeight="false" outlineLevel="0" collapsed="false">
      <c r="A105" s="0" t="s">
        <v>238</v>
      </c>
      <c r="B105" s="0" t="s">
        <v>225</v>
      </c>
      <c r="C105" s="33" t="n">
        <v>1</v>
      </c>
      <c r="D105" s="33" t="n">
        <v>2</v>
      </c>
      <c r="E105" s="34" t="n">
        <v>0.5</v>
      </c>
      <c r="F105" s="34" t="n">
        <v>0.5</v>
      </c>
      <c r="G105" s="6" t="s">
        <v>132</v>
      </c>
      <c r="I105" s="35" t="n">
        <f aca="false">CoreBpsBlended*GrowthModeFactor*D105*E105</f>
        <v>0.2897</v>
      </c>
      <c r="J105" s="35" t="n">
        <f aca="false">CoreBpsBlended*D105*E105</f>
        <v>2.897</v>
      </c>
      <c r="K105" s="35" t="n">
        <f aca="false">CoreBpsBlended*GrowthModeFactor*D105*F105</f>
        <v>0.2897</v>
      </c>
    </row>
    <row r="106" customFormat="false" ht="15" hidden="false" customHeight="false" outlineLevel="0" collapsed="false">
      <c r="A106" s="0" t="s">
        <v>239</v>
      </c>
      <c r="B106" s="0" t="s">
        <v>225</v>
      </c>
      <c r="C106" s="33" t="n">
        <v>1</v>
      </c>
      <c r="D106" s="33" t="n">
        <v>2</v>
      </c>
      <c r="E106" s="34" t="n">
        <v>0.5</v>
      </c>
      <c r="F106" s="34" t="n">
        <v>0.5</v>
      </c>
      <c r="G106" s="6" t="s">
        <v>135</v>
      </c>
      <c r="H106" s="36" t="n">
        <v>46119</v>
      </c>
      <c r="I106" s="35" t="n">
        <f aca="false">CoreBpsBlended*GrowthModeFactor*D106*E106</f>
        <v>0.2897</v>
      </c>
      <c r="J106" s="35" t="n">
        <f aca="false">CoreBpsBlended*D106*E106</f>
        <v>2.897</v>
      </c>
      <c r="K106" s="35" t="n">
        <f aca="false">CoreBpsBlended*GrowthModeFactor*D106*F106</f>
        <v>0.2897</v>
      </c>
    </row>
    <row r="107" customFormat="false" ht="15" hidden="false" customHeight="false" outlineLevel="0" collapsed="false">
      <c r="A107" s="0" t="s">
        <v>240</v>
      </c>
      <c r="B107" s="0" t="s">
        <v>241</v>
      </c>
      <c r="C107" s="33" t="n">
        <v>1</v>
      </c>
      <c r="D107" s="33" t="n">
        <v>2</v>
      </c>
      <c r="E107" s="34" t="n">
        <v>0.5</v>
      </c>
      <c r="F107" s="34" t="n">
        <v>0.5</v>
      </c>
      <c r="G107" s="6" t="s">
        <v>135</v>
      </c>
      <c r="H107" s="36" t="n">
        <v>45984</v>
      </c>
      <c r="I107" s="35" t="n">
        <f aca="false">CoreBpsBlended*GrowthModeFactor*D107*E107</f>
        <v>0.2897</v>
      </c>
      <c r="J107" s="35" t="n">
        <f aca="false">CoreBpsBlended*D107*E107</f>
        <v>2.897</v>
      </c>
      <c r="K107" s="35" t="n">
        <f aca="false">CoreBpsBlended*GrowthModeFactor*D107*F107</f>
        <v>0.2897</v>
      </c>
    </row>
    <row r="108" customFormat="false" ht="15" hidden="false" customHeight="false" outlineLevel="0" collapsed="false">
      <c r="A108" s="0" t="s">
        <v>242</v>
      </c>
      <c r="B108" s="0" t="s">
        <v>241</v>
      </c>
      <c r="C108" s="33" t="n">
        <v>1</v>
      </c>
      <c r="D108" s="33" t="n">
        <v>2</v>
      </c>
      <c r="E108" s="34" t="n">
        <v>0.5</v>
      </c>
      <c r="F108" s="34" t="n">
        <v>0.5</v>
      </c>
      <c r="G108" s="6" t="s">
        <v>135</v>
      </c>
      <c r="H108" s="36" t="n">
        <v>46043</v>
      </c>
      <c r="I108" s="35" t="n">
        <f aca="false">CoreBpsBlended*GrowthModeFactor*D108*E108</f>
        <v>0.2897</v>
      </c>
      <c r="J108" s="35" t="n">
        <f aca="false">CoreBpsBlended*D108*E108</f>
        <v>2.897</v>
      </c>
      <c r="K108" s="35" t="n">
        <f aca="false">CoreBpsBlended*GrowthModeFactor*D108*F108</f>
        <v>0.2897</v>
      </c>
    </row>
    <row r="109" customFormat="false" ht="15" hidden="false" customHeight="false" outlineLevel="0" collapsed="false">
      <c r="A109" s="0" t="s">
        <v>243</v>
      </c>
      <c r="B109" s="0" t="s">
        <v>241</v>
      </c>
      <c r="C109" s="33" t="n">
        <v>1</v>
      </c>
      <c r="D109" s="33" t="n">
        <v>2</v>
      </c>
      <c r="E109" s="34" t="n">
        <v>0.5</v>
      </c>
      <c r="F109" s="34" t="n">
        <v>0.5</v>
      </c>
      <c r="G109" s="6" t="s">
        <v>135</v>
      </c>
      <c r="H109" s="36" t="n">
        <v>45984</v>
      </c>
      <c r="I109" s="35" t="n">
        <f aca="false">CoreBpsBlended*GrowthModeFactor*D109*E109</f>
        <v>0.2897</v>
      </c>
      <c r="J109" s="35" t="n">
        <f aca="false">CoreBpsBlended*D109*E109</f>
        <v>2.897</v>
      </c>
      <c r="K109" s="35" t="n">
        <f aca="false">CoreBpsBlended*GrowthModeFactor*D109*F109</f>
        <v>0.2897</v>
      </c>
    </row>
    <row r="110" customFormat="false" ht="15" hidden="false" customHeight="false" outlineLevel="0" collapsed="false">
      <c r="A110" s="0" t="s">
        <v>244</v>
      </c>
      <c r="B110" s="0" t="s">
        <v>241</v>
      </c>
      <c r="C110" s="33" t="n">
        <v>1</v>
      </c>
      <c r="D110" s="33" t="n">
        <v>2</v>
      </c>
      <c r="E110" s="34" t="n">
        <v>0.5</v>
      </c>
      <c r="F110" s="34" t="n">
        <v>0.5</v>
      </c>
      <c r="G110" s="6" t="s">
        <v>135</v>
      </c>
      <c r="H110" s="36" t="n">
        <v>45984</v>
      </c>
      <c r="I110" s="35" t="n">
        <f aca="false">CoreBpsBlended*GrowthModeFactor*D110*E110</f>
        <v>0.2897</v>
      </c>
      <c r="J110" s="35" t="n">
        <f aca="false">CoreBpsBlended*D110*E110</f>
        <v>2.897</v>
      </c>
      <c r="K110" s="35" t="n">
        <f aca="false">CoreBpsBlended*GrowthModeFactor*D110*F110</f>
        <v>0.2897</v>
      </c>
    </row>
    <row r="111" customFormat="false" ht="15" hidden="false" customHeight="false" outlineLevel="0" collapsed="false">
      <c r="A111" s="0" t="s">
        <v>245</v>
      </c>
      <c r="B111" s="0" t="s">
        <v>241</v>
      </c>
      <c r="C111" s="33" t="n">
        <v>1</v>
      </c>
      <c r="D111" s="33" t="n">
        <v>2</v>
      </c>
      <c r="E111" s="34" t="n">
        <v>0.5</v>
      </c>
      <c r="F111" s="34" t="n">
        <v>0.5</v>
      </c>
      <c r="G111" s="6" t="s">
        <v>135</v>
      </c>
      <c r="H111" s="36" t="n">
        <v>46153</v>
      </c>
      <c r="I111" s="35" t="n">
        <f aca="false">CoreBpsBlended*GrowthModeFactor*D111*E111</f>
        <v>0.2897</v>
      </c>
      <c r="J111" s="35" t="n">
        <f aca="false">CoreBpsBlended*D111*E111</f>
        <v>2.897</v>
      </c>
      <c r="K111" s="35" t="n">
        <f aca="false">CoreBpsBlended*GrowthModeFactor*D111*F111</f>
        <v>0.2897</v>
      </c>
    </row>
    <row r="112" customFormat="false" ht="15" hidden="false" customHeight="false" outlineLevel="0" collapsed="false">
      <c r="A112" s="0" t="s">
        <v>246</v>
      </c>
      <c r="B112" s="0" t="s">
        <v>241</v>
      </c>
      <c r="C112" s="33" t="n">
        <v>1</v>
      </c>
      <c r="D112" s="33" t="n">
        <v>2</v>
      </c>
      <c r="E112" s="34" t="n">
        <v>0.5</v>
      </c>
      <c r="F112" s="34" t="n">
        <v>0.5</v>
      </c>
      <c r="G112" s="6" t="s">
        <v>135</v>
      </c>
      <c r="H112" s="36" t="n">
        <v>46028</v>
      </c>
      <c r="I112" s="35" t="n">
        <f aca="false">CoreBpsBlended*GrowthModeFactor*D112*E112</f>
        <v>0.2897</v>
      </c>
      <c r="J112" s="35" t="n">
        <f aca="false">CoreBpsBlended*D112*E112</f>
        <v>2.897</v>
      </c>
      <c r="K112" s="35" t="n">
        <f aca="false">CoreBpsBlended*GrowthModeFactor*D112*F112</f>
        <v>0.2897</v>
      </c>
    </row>
    <row r="113" customFormat="false" ht="15" hidden="false" customHeight="false" outlineLevel="0" collapsed="false">
      <c r="A113" s="0" t="s">
        <v>247</v>
      </c>
      <c r="B113" s="0" t="s">
        <v>241</v>
      </c>
      <c r="C113" s="33" t="n">
        <v>1</v>
      </c>
      <c r="D113" s="33" t="n">
        <v>2</v>
      </c>
      <c r="E113" s="34" t="n">
        <v>0.5</v>
      </c>
      <c r="F113" s="34" t="n">
        <v>0.5</v>
      </c>
      <c r="G113" s="6" t="s">
        <v>135</v>
      </c>
      <c r="H113" s="36" t="n">
        <v>46127</v>
      </c>
      <c r="I113" s="35" t="n">
        <f aca="false">CoreBpsBlended*GrowthModeFactor*D113*E113</f>
        <v>0.2897</v>
      </c>
      <c r="J113" s="35" t="n">
        <f aca="false">CoreBpsBlended*D113*E113</f>
        <v>2.897</v>
      </c>
      <c r="K113" s="35" t="n">
        <f aca="false">CoreBpsBlended*GrowthModeFactor*D113*F113</f>
        <v>0.2897</v>
      </c>
    </row>
    <row r="114" customFormat="false" ht="15" hidden="false" customHeight="false" outlineLevel="0" collapsed="false">
      <c r="A114" s="0" t="s">
        <v>248</v>
      </c>
      <c r="B114" s="0" t="s">
        <v>241</v>
      </c>
      <c r="C114" s="33" t="n">
        <v>1</v>
      </c>
      <c r="D114" s="33" t="n">
        <v>2</v>
      </c>
      <c r="E114" s="34" t="n">
        <v>0.5</v>
      </c>
      <c r="F114" s="34" t="n">
        <v>0.5</v>
      </c>
      <c r="G114" s="6" t="s">
        <v>135</v>
      </c>
      <c r="H114" s="36" t="n">
        <v>46085</v>
      </c>
      <c r="I114" s="35" t="n">
        <f aca="false">CoreBpsBlended*GrowthModeFactor*D114*E114</f>
        <v>0.2897</v>
      </c>
      <c r="J114" s="35" t="n">
        <f aca="false">CoreBpsBlended*D114*E114</f>
        <v>2.897</v>
      </c>
      <c r="K114" s="35" t="n">
        <f aca="false">CoreBpsBlended*GrowthModeFactor*D114*F114</f>
        <v>0.2897</v>
      </c>
    </row>
    <row r="115" customFormat="false" ht="15" hidden="false" customHeight="false" outlineLevel="0" collapsed="false">
      <c r="A115" s="0" t="s">
        <v>249</v>
      </c>
      <c r="B115" s="0" t="s">
        <v>241</v>
      </c>
      <c r="C115" s="33" t="n">
        <v>1</v>
      </c>
      <c r="D115" s="33" t="n">
        <v>2</v>
      </c>
      <c r="E115" s="34" t="n">
        <v>0.5</v>
      </c>
      <c r="F115" s="34" t="n">
        <v>0.5</v>
      </c>
      <c r="G115" s="6" t="s">
        <v>135</v>
      </c>
      <c r="H115" s="36" t="n">
        <v>46118</v>
      </c>
      <c r="I115" s="35" t="n">
        <f aca="false">CoreBpsBlended*GrowthModeFactor*D115*E115</f>
        <v>0.2897</v>
      </c>
      <c r="J115" s="35" t="n">
        <f aca="false">CoreBpsBlended*D115*E115</f>
        <v>2.897</v>
      </c>
      <c r="K115" s="35" t="n">
        <f aca="false">CoreBpsBlended*GrowthModeFactor*D115*F115</f>
        <v>0.2897</v>
      </c>
    </row>
    <row r="116" customFormat="false" ht="15" hidden="false" customHeight="false" outlineLevel="0" collapsed="false">
      <c r="A116" s="0" t="s">
        <v>250</v>
      </c>
      <c r="B116" s="0" t="s">
        <v>241</v>
      </c>
      <c r="C116" s="33" t="n">
        <v>1</v>
      </c>
      <c r="D116" s="33" t="n">
        <v>2</v>
      </c>
      <c r="E116" s="34" t="n">
        <v>0.5</v>
      </c>
      <c r="F116" s="34" t="n">
        <v>0.5</v>
      </c>
      <c r="G116" s="6" t="s">
        <v>135</v>
      </c>
      <c r="H116" s="36" t="n">
        <v>46136</v>
      </c>
      <c r="I116" s="35" t="n">
        <f aca="false">CoreBpsBlended*GrowthModeFactor*D116*E116</f>
        <v>0.2897</v>
      </c>
      <c r="J116" s="35" t="n">
        <f aca="false">CoreBpsBlended*D116*E116</f>
        <v>2.897</v>
      </c>
      <c r="K116" s="35" t="n">
        <f aca="false">CoreBpsBlended*GrowthModeFactor*D116*F116</f>
        <v>0.2897</v>
      </c>
    </row>
    <row r="117" customFormat="false" ht="15" hidden="false" customHeight="false" outlineLevel="0" collapsed="false">
      <c r="A117" s="0" t="s">
        <v>251</v>
      </c>
      <c r="B117" s="0" t="s">
        <v>241</v>
      </c>
      <c r="C117" s="33" t="n">
        <v>1</v>
      </c>
      <c r="D117" s="33" t="n">
        <v>2</v>
      </c>
      <c r="E117" s="34" t="n">
        <v>0.5</v>
      </c>
      <c r="F117" s="34" t="n">
        <v>0.5</v>
      </c>
      <c r="G117" s="6" t="s">
        <v>135</v>
      </c>
      <c r="H117" s="36" t="n">
        <v>46028</v>
      </c>
      <c r="I117" s="35" t="n">
        <f aca="false">CoreBpsBlended*GrowthModeFactor*D117*E117</f>
        <v>0.2897</v>
      </c>
      <c r="J117" s="35" t="n">
        <f aca="false">CoreBpsBlended*D117*E117</f>
        <v>2.897</v>
      </c>
      <c r="K117" s="35" t="n">
        <f aca="false">CoreBpsBlended*GrowthModeFactor*D117*F117</f>
        <v>0.2897</v>
      </c>
    </row>
    <row r="118" customFormat="false" ht="15" hidden="false" customHeight="false" outlineLevel="0" collapsed="false">
      <c r="A118" s="0" t="s">
        <v>252</v>
      </c>
      <c r="B118" s="0" t="s">
        <v>241</v>
      </c>
      <c r="C118" s="33" t="n">
        <v>1</v>
      </c>
      <c r="D118" s="33" t="n">
        <v>2</v>
      </c>
      <c r="E118" s="34" t="n">
        <v>0.5</v>
      </c>
      <c r="F118" s="34" t="n">
        <v>0.5</v>
      </c>
      <c r="G118" s="6" t="s">
        <v>135</v>
      </c>
      <c r="H118" s="36" t="n">
        <v>45984</v>
      </c>
      <c r="I118" s="35" t="n">
        <f aca="false">CoreBpsBlended*GrowthModeFactor*D118*E118</f>
        <v>0.2897</v>
      </c>
      <c r="J118" s="35" t="n">
        <f aca="false">CoreBpsBlended*D118*E118</f>
        <v>2.897</v>
      </c>
      <c r="K118" s="35" t="n">
        <f aca="false">CoreBpsBlended*GrowthModeFactor*D118*F118</f>
        <v>0.2897</v>
      </c>
    </row>
    <row r="119" customFormat="false" ht="15" hidden="false" customHeight="false" outlineLevel="0" collapsed="false">
      <c r="A119" s="0" t="s">
        <v>253</v>
      </c>
      <c r="B119" s="0" t="s">
        <v>241</v>
      </c>
      <c r="C119" s="33" t="n">
        <v>1</v>
      </c>
      <c r="D119" s="33" t="n">
        <v>2</v>
      </c>
      <c r="E119" s="34" t="n">
        <v>0.5</v>
      </c>
      <c r="F119" s="34" t="n">
        <v>0.5</v>
      </c>
      <c r="G119" s="6" t="s">
        <v>135</v>
      </c>
      <c r="H119" s="36" t="n">
        <v>46031</v>
      </c>
      <c r="I119" s="35" t="n">
        <f aca="false">CoreBpsBlended*GrowthModeFactor*D119*E119</f>
        <v>0.2897</v>
      </c>
      <c r="J119" s="35" t="n">
        <f aca="false">CoreBpsBlended*D119*E119</f>
        <v>2.897</v>
      </c>
      <c r="K119" s="35" t="n">
        <f aca="false">CoreBpsBlended*GrowthModeFactor*D119*F119</f>
        <v>0.2897</v>
      </c>
    </row>
    <row r="120" customFormat="false" ht="15" hidden="false" customHeight="false" outlineLevel="0" collapsed="false">
      <c r="A120" s="0" t="s">
        <v>254</v>
      </c>
      <c r="B120" s="0" t="s">
        <v>241</v>
      </c>
      <c r="C120" s="33" t="n">
        <v>1</v>
      </c>
      <c r="D120" s="33" t="n">
        <v>2</v>
      </c>
      <c r="E120" s="34" t="n">
        <v>0.5</v>
      </c>
      <c r="F120" s="34" t="n">
        <v>0.5</v>
      </c>
      <c r="G120" s="6" t="s">
        <v>135</v>
      </c>
      <c r="H120" s="36" t="n">
        <v>46110</v>
      </c>
      <c r="I120" s="35" t="n">
        <f aca="false">CoreBpsBlended*GrowthModeFactor*D120*E120</f>
        <v>0.2897</v>
      </c>
      <c r="J120" s="35" t="n">
        <f aca="false">CoreBpsBlended*D120*E120</f>
        <v>2.897</v>
      </c>
      <c r="K120" s="35" t="n">
        <f aca="false">CoreBpsBlended*GrowthModeFactor*D120*F120</f>
        <v>0.2897</v>
      </c>
    </row>
    <row r="121" customFormat="false" ht="15" hidden="false" customHeight="false" outlineLevel="0" collapsed="false">
      <c r="A121" s="0" t="s">
        <v>255</v>
      </c>
      <c r="B121" s="0" t="s">
        <v>241</v>
      </c>
      <c r="C121" s="33" t="n">
        <v>1</v>
      </c>
      <c r="D121" s="33" t="n">
        <v>2</v>
      </c>
      <c r="E121" s="34" t="n">
        <v>0.5</v>
      </c>
      <c r="F121" s="34" t="n">
        <v>0.5</v>
      </c>
      <c r="G121" s="6" t="s">
        <v>135</v>
      </c>
      <c r="H121" s="36" t="n">
        <v>45996</v>
      </c>
      <c r="I121" s="35" t="n">
        <f aca="false">CoreBpsBlended*GrowthModeFactor*D121*E121</f>
        <v>0.2897</v>
      </c>
      <c r="J121" s="35" t="n">
        <f aca="false">CoreBpsBlended*D121*E121</f>
        <v>2.897</v>
      </c>
      <c r="K121" s="35" t="n">
        <f aca="false">CoreBpsBlended*GrowthModeFactor*D121*F121</f>
        <v>0.2897</v>
      </c>
    </row>
    <row r="122" customFormat="false" ht="15" hidden="false" customHeight="false" outlineLevel="0" collapsed="false">
      <c r="A122" s="0" t="s">
        <v>256</v>
      </c>
      <c r="B122" s="0" t="s">
        <v>241</v>
      </c>
      <c r="C122" s="33" t="n">
        <v>1</v>
      </c>
      <c r="D122" s="33" t="n">
        <v>2</v>
      </c>
      <c r="E122" s="34" t="n">
        <v>0.5</v>
      </c>
      <c r="F122" s="34" t="n">
        <v>0.5</v>
      </c>
      <c r="G122" s="6" t="s">
        <v>135</v>
      </c>
      <c r="H122" s="36" t="n">
        <v>45996</v>
      </c>
      <c r="I122" s="35" t="n">
        <f aca="false">CoreBpsBlended*GrowthModeFactor*D122*E122</f>
        <v>0.2897</v>
      </c>
      <c r="J122" s="35" t="n">
        <f aca="false">CoreBpsBlended*D122*E122</f>
        <v>2.897</v>
      </c>
      <c r="K122" s="35" t="n">
        <f aca="false">CoreBpsBlended*GrowthModeFactor*D122*F122</f>
        <v>0.2897</v>
      </c>
    </row>
    <row r="123" customFormat="false" ht="15" hidden="false" customHeight="false" outlineLevel="0" collapsed="false">
      <c r="A123" s="0" t="s">
        <v>257</v>
      </c>
      <c r="B123" s="0" t="s">
        <v>241</v>
      </c>
      <c r="C123" s="33" t="n">
        <v>1</v>
      </c>
      <c r="D123" s="33" t="n">
        <v>2</v>
      </c>
      <c r="E123" s="34" t="n">
        <v>0.5</v>
      </c>
      <c r="F123" s="34" t="n">
        <v>0.5</v>
      </c>
      <c r="G123" s="6" t="s">
        <v>135</v>
      </c>
      <c r="H123" s="36" t="n">
        <v>46048</v>
      </c>
      <c r="I123" s="35" t="n">
        <f aca="false">CoreBpsBlended*GrowthModeFactor*D123*E123</f>
        <v>0.2897</v>
      </c>
      <c r="J123" s="35" t="n">
        <f aca="false">CoreBpsBlended*D123*E123</f>
        <v>2.897</v>
      </c>
      <c r="K123" s="35" t="n">
        <f aca="false">CoreBpsBlended*GrowthModeFactor*D123*F123</f>
        <v>0.2897</v>
      </c>
    </row>
    <row r="124" customFormat="false" ht="15" hidden="false" customHeight="false" outlineLevel="0" collapsed="false">
      <c r="A124" s="0" t="s">
        <v>258</v>
      </c>
      <c r="B124" s="0" t="s">
        <v>241</v>
      </c>
      <c r="C124" s="33" t="n">
        <v>1</v>
      </c>
      <c r="D124" s="33" t="n">
        <v>2</v>
      </c>
      <c r="E124" s="34" t="n">
        <v>0.5</v>
      </c>
      <c r="F124" s="34" t="n">
        <v>0.5</v>
      </c>
      <c r="G124" s="6" t="s">
        <v>135</v>
      </c>
      <c r="H124" s="36" t="n">
        <v>46104</v>
      </c>
      <c r="I124" s="35" t="n">
        <f aca="false">CoreBpsBlended*GrowthModeFactor*D124*E124</f>
        <v>0.2897</v>
      </c>
      <c r="J124" s="35" t="n">
        <f aca="false">CoreBpsBlended*D124*E124</f>
        <v>2.897</v>
      </c>
      <c r="K124" s="35" t="n">
        <f aca="false">CoreBpsBlended*GrowthModeFactor*D124*F124</f>
        <v>0.2897</v>
      </c>
    </row>
    <row r="125" customFormat="false" ht="15" hidden="false" customHeight="false" outlineLevel="0" collapsed="false">
      <c r="A125" s="0" t="s">
        <v>259</v>
      </c>
      <c r="B125" s="0" t="s">
        <v>241</v>
      </c>
      <c r="C125" s="33" t="n">
        <v>1</v>
      </c>
      <c r="D125" s="33" t="n">
        <v>2</v>
      </c>
      <c r="E125" s="34" t="n">
        <v>0.5</v>
      </c>
      <c r="F125" s="34" t="n">
        <v>0.5</v>
      </c>
      <c r="G125" s="6" t="s">
        <v>135</v>
      </c>
      <c r="H125" s="36" t="n">
        <v>46134</v>
      </c>
      <c r="I125" s="35" t="n">
        <f aca="false">CoreBpsBlended*GrowthModeFactor*D125*E125</f>
        <v>0.2897</v>
      </c>
      <c r="J125" s="35" t="n">
        <f aca="false">CoreBpsBlended*D125*E125</f>
        <v>2.897</v>
      </c>
      <c r="K125" s="35" t="n">
        <f aca="false">CoreBpsBlended*GrowthModeFactor*D125*F125</f>
        <v>0.2897</v>
      </c>
    </row>
    <row r="126" customFormat="false" ht="15" hidden="false" customHeight="false" outlineLevel="0" collapsed="false">
      <c r="A126" s="0" t="s">
        <v>260</v>
      </c>
      <c r="B126" s="0" t="s">
        <v>241</v>
      </c>
      <c r="C126" s="33" t="n">
        <v>1</v>
      </c>
      <c r="D126" s="33" t="n">
        <v>2</v>
      </c>
      <c r="E126" s="34" t="n">
        <v>0.5</v>
      </c>
      <c r="F126" s="34" t="n">
        <v>0.5</v>
      </c>
      <c r="G126" s="6" t="s">
        <v>135</v>
      </c>
      <c r="H126" s="36" t="n">
        <v>46054</v>
      </c>
      <c r="I126" s="35" t="n">
        <f aca="false">CoreBpsBlended*GrowthModeFactor*D126*E126</f>
        <v>0.2897</v>
      </c>
      <c r="J126" s="35" t="n">
        <f aca="false">CoreBpsBlended*D126*E126</f>
        <v>2.897</v>
      </c>
      <c r="K126" s="35" t="n">
        <f aca="false">CoreBpsBlended*GrowthModeFactor*D126*F126</f>
        <v>0.2897</v>
      </c>
    </row>
    <row r="127" customFormat="false" ht="15" hidden="false" customHeight="false" outlineLevel="0" collapsed="false">
      <c r="A127" s="0" t="s">
        <v>261</v>
      </c>
      <c r="B127" s="0" t="s">
        <v>241</v>
      </c>
      <c r="C127" s="33" t="n">
        <v>1</v>
      </c>
      <c r="D127" s="33" t="n">
        <v>2</v>
      </c>
      <c r="E127" s="34" t="n">
        <v>0.5</v>
      </c>
      <c r="F127" s="34" t="n">
        <v>0.5</v>
      </c>
      <c r="G127" s="6" t="s">
        <v>135</v>
      </c>
      <c r="H127" s="36" t="n">
        <v>46147</v>
      </c>
      <c r="I127" s="35" t="n">
        <f aca="false">CoreBpsBlended*GrowthModeFactor*D127*E127</f>
        <v>0.2897</v>
      </c>
      <c r="J127" s="35" t="n">
        <f aca="false">CoreBpsBlended*D127*E127</f>
        <v>2.897</v>
      </c>
      <c r="K127" s="35" t="n">
        <f aca="false">CoreBpsBlended*GrowthModeFactor*D127*F127</f>
        <v>0.2897</v>
      </c>
    </row>
    <row r="128" customFormat="false" ht="15" hidden="false" customHeight="false" outlineLevel="0" collapsed="false">
      <c r="A128" s="0" t="s">
        <v>262</v>
      </c>
      <c r="B128" s="0" t="s">
        <v>241</v>
      </c>
      <c r="C128" s="33" t="n">
        <v>1</v>
      </c>
      <c r="D128" s="33" t="n">
        <v>2</v>
      </c>
      <c r="E128" s="34" t="n">
        <v>0.5</v>
      </c>
      <c r="F128" s="34" t="n">
        <v>0.5</v>
      </c>
      <c r="G128" s="6" t="s">
        <v>135</v>
      </c>
      <c r="H128" s="36" t="n">
        <v>46010</v>
      </c>
      <c r="I128" s="35" t="n">
        <f aca="false">CoreBpsBlended*GrowthModeFactor*D128*E128</f>
        <v>0.2897</v>
      </c>
      <c r="J128" s="35" t="n">
        <f aca="false">CoreBpsBlended*D128*E128</f>
        <v>2.897</v>
      </c>
      <c r="K128" s="35" t="n">
        <f aca="false">CoreBpsBlended*GrowthModeFactor*D128*F128</f>
        <v>0.2897</v>
      </c>
    </row>
    <row r="129" customFormat="false" ht="15" hidden="false" customHeight="false" outlineLevel="0" collapsed="false">
      <c r="A129" s="0" t="s">
        <v>263</v>
      </c>
      <c r="B129" s="0" t="s">
        <v>241</v>
      </c>
      <c r="C129" s="33" t="n">
        <v>1</v>
      </c>
      <c r="D129" s="33" t="n">
        <v>2</v>
      </c>
      <c r="E129" s="34" t="n">
        <v>0.5</v>
      </c>
      <c r="F129" s="34" t="n">
        <v>0.5</v>
      </c>
      <c r="G129" s="6" t="s">
        <v>135</v>
      </c>
      <c r="H129" s="36" t="n">
        <v>46083</v>
      </c>
      <c r="I129" s="35" t="n">
        <f aca="false">CoreBpsBlended*GrowthModeFactor*D129*E129</f>
        <v>0.2897</v>
      </c>
      <c r="J129" s="35" t="n">
        <f aca="false">CoreBpsBlended*D129*E129</f>
        <v>2.897</v>
      </c>
      <c r="K129" s="35" t="n">
        <f aca="false">CoreBpsBlended*GrowthModeFactor*D129*F129</f>
        <v>0.2897</v>
      </c>
    </row>
    <row r="130" customFormat="false" ht="15" hidden="false" customHeight="false" outlineLevel="0" collapsed="false">
      <c r="A130" s="0" t="s">
        <v>264</v>
      </c>
      <c r="B130" s="0" t="s">
        <v>241</v>
      </c>
      <c r="C130" s="33" t="n">
        <v>1</v>
      </c>
      <c r="D130" s="33" t="n">
        <v>2</v>
      </c>
      <c r="E130" s="34" t="n">
        <v>0.5</v>
      </c>
      <c r="F130" s="34" t="n">
        <v>0.5</v>
      </c>
      <c r="G130" s="6" t="s">
        <v>135</v>
      </c>
      <c r="H130" s="36" t="n">
        <v>46155</v>
      </c>
      <c r="I130" s="35" t="n">
        <f aca="false">CoreBpsBlended*GrowthModeFactor*D130*E130</f>
        <v>0.2897</v>
      </c>
      <c r="J130" s="35" t="n">
        <f aca="false">CoreBpsBlended*D130*E130</f>
        <v>2.897</v>
      </c>
      <c r="K130" s="35" t="n">
        <f aca="false">CoreBpsBlended*GrowthModeFactor*D130*F130</f>
        <v>0.2897</v>
      </c>
    </row>
    <row r="131" customFormat="false" ht="15" hidden="false" customHeight="false" outlineLevel="0" collapsed="false">
      <c r="A131" s="0" t="s">
        <v>265</v>
      </c>
      <c r="B131" s="0" t="s">
        <v>241</v>
      </c>
      <c r="C131" s="33" t="n">
        <v>1</v>
      </c>
      <c r="D131" s="33" t="n">
        <v>2</v>
      </c>
      <c r="E131" s="34" t="n">
        <v>0.5</v>
      </c>
      <c r="F131" s="34" t="n">
        <v>0.5</v>
      </c>
      <c r="G131" s="6" t="s">
        <v>135</v>
      </c>
      <c r="H131" s="36" t="n">
        <v>46081</v>
      </c>
      <c r="I131" s="35" t="n">
        <f aca="false">CoreBpsBlended*GrowthModeFactor*D131*E131</f>
        <v>0.2897</v>
      </c>
      <c r="J131" s="35" t="n">
        <f aca="false">CoreBpsBlended*D131*E131</f>
        <v>2.897</v>
      </c>
      <c r="K131" s="35" t="n">
        <f aca="false">CoreBpsBlended*GrowthModeFactor*D131*F131</f>
        <v>0.2897</v>
      </c>
    </row>
    <row r="132" customFormat="false" ht="15" hidden="false" customHeight="false" outlineLevel="0" collapsed="false">
      <c r="A132" s="0" t="s">
        <v>266</v>
      </c>
      <c r="B132" s="0" t="s">
        <v>241</v>
      </c>
      <c r="C132" s="33" t="n">
        <v>1</v>
      </c>
      <c r="D132" s="33" t="n">
        <v>2</v>
      </c>
      <c r="E132" s="34" t="n">
        <v>0.5</v>
      </c>
      <c r="F132" s="34" t="n">
        <v>0.5</v>
      </c>
      <c r="G132" s="6" t="s">
        <v>135</v>
      </c>
      <c r="H132" s="36" t="n">
        <v>46139</v>
      </c>
      <c r="I132" s="35" t="n">
        <f aca="false">CoreBpsBlended*GrowthModeFactor*D132*E132</f>
        <v>0.2897</v>
      </c>
      <c r="J132" s="35" t="n">
        <f aca="false">CoreBpsBlended*D132*E132</f>
        <v>2.897</v>
      </c>
      <c r="K132" s="35" t="n">
        <f aca="false">CoreBpsBlended*GrowthModeFactor*D132*F132</f>
        <v>0.2897</v>
      </c>
    </row>
    <row r="133" customFormat="false" ht="15" hidden="false" customHeight="false" outlineLevel="0" collapsed="false">
      <c r="A133" s="0" t="s">
        <v>267</v>
      </c>
      <c r="B133" s="0" t="s">
        <v>241</v>
      </c>
      <c r="C133" s="33" t="n">
        <v>1</v>
      </c>
      <c r="D133" s="33" t="n">
        <v>2</v>
      </c>
      <c r="E133" s="34" t="n">
        <v>0.5</v>
      </c>
      <c r="F133" s="34" t="n">
        <v>0.5</v>
      </c>
      <c r="G133" s="6" t="s">
        <v>135</v>
      </c>
      <c r="H133" s="36" t="n">
        <v>46158</v>
      </c>
      <c r="I133" s="35" t="n">
        <f aca="false">CoreBpsBlended*GrowthModeFactor*D133*E133</f>
        <v>0.2897</v>
      </c>
      <c r="J133" s="35" t="n">
        <f aca="false">CoreBpsBlended*D133*E133</f>
        <v>2.897</v>
      </c>
      <c r="K133" s="35" t="n">
        <f aca="false">CoreBpsBlended*GrowthModeFactor*D133*F133</f>
        <v>0.2897</v>
      </c>
    </row>
    <row r="134" customFormat="false" ht="15" hidden="false" customHeight="false" outlineLevel="0" collapsed="false">
      <c r="A134" s="0" t="s">
        <v>268</v>
      </c>
      <c r="B134" s="0" t="s">
        <v>241</v>
      </c>
      <c r="C134" s="33" t="n">
        <v>1</v>
      </c>
      <c r="D134" s="33" t="n">
        <v>2</v>
      </c>
      <c r="E134" s="34" t="n">
        <v>0.5</v>
      </c>
      <c r="F134" s="34" t="n">
        <v>0.5</v>
      </c>
      <c r="G134" s="6" t="s">
        <v>135</v>
      </c>
      <c r="H134" s="36" t="n">
        <v>46056</v>
      </c>
      <c r="I134" s="35" t="n">
        <f aca="false">CoreBpsBlended*GrowthModeFactor*D134*E134</f>
        <v>0.2897</v>
      </c>
      <c r="J134" s="35" t="n">
        <f aca="false">CoreBpsBlended*D134*E134</f>
        <v>2.897</v>
      </c>
      <c r="K134" s="35" t="n">
        <f aca="false">CoreBpsBlended*GrowthModeFactor*D134*F134</f>
        <v>0.2897</v>
      </c>
    </row>
    <row r="135" customFormat="false" ht="15" hidden="false" customHeight="false" outlineLevel="0" collapsed="false">
      <c r="A135" s="0" t="s">
        <v>269</v>
      </c>
      <c r="B135" s="0" t="s">
        <v>241</v>
      </c>
      <c r="C135" s="33" t="n">
        <v>1</v>
      </c>
      <c r="D135" s="33" t="n">
        <v>2</v>
      </c>
      <c r="E135" s="34" t="n">
        <v>0.5</v>
      </c>
      <c r="F135" s="34" t="n">
        <v>0.5</v>
      </c>
      <c r="G135" s="6" t="s">
        <v>132</v>
      </c>
      <c r="I135" s="35" t="n">
        <f aca="false">CoreBpsBlended*GrowthModeFactor*D135*E135</f>
        <v>0.2897</v>
      </c>
      <c r="J135" s="35" t="n">
        <f aca="false">CoreBpsBlended*D135*E135</f>
        <v>2.897</v>
      </c>
      <c r="K135" s="35" t="n">
        <f aca="false">CoreBpsBlended*GrowthModeFactor*D135*F135</f>
        <v>0.2897</v>
      </c>
    </row>
    <row r="136" customFormat="false" ht="15" hidden="false" customHeight="false" outlineLevel="0" collapsed="false">
      <c r="A136" s="0" t="s">
        <v>270</v>
      </c>
      <c r="B136" s="0" t="s">
        <v>241</v>
      </c>
      <c r="C136" s="33" t="n">
        <v>1</v>
      </c>
      <c r="D136" s="33" t="n">
        <v>2</v>
      </c>
      <c r="E136" s="34" t="n">
        <v>0.5</v>
      </c>
      <c r="F136" s="34" t="n">
        <v>0.5</v>
      </c>
      <c r="G136" s="6" t="s">
        <v>135</v>
      </c>
      <c r="H136" s="36" t="n">
        <v>45984</v>
      </c>
      <c r="I136" s="35" t="n">
        <f aca="false">CoreBpsBlended*GrowthModeFactor*D136*E136</f>
        <v>0.2897</v>
      </c>
      <c r="J136" s="35" t="n">
        <f aca="false">CoreBpsBlended*D136*E136</f>
        <v>2.897</v>
      </c>
      <c r="K136" s="35" t="n">
        <f aca="false">CoreBpsBlended*GrowthModeFactor*D136*F136</f>
        <v>0.2897</v>
      </c>
    </row>
    <row r="137" customFormat="false" ht="15" hidden="false" customHeight="false" outlineLevel="0" collapsed="false">
      <c r="A137" s="0" t="s">
        <v>271</v>
      </c>
      <c r="B137" s="0" t="s">
        <v>241</v>
      </c>
      <c r="C137" s="33" t="n">
        <v>1</v>
      </c>
      <c r="D137" s="33" t="n">
        <v>2</v>
      </c>
      <c r="E137" s="34" t="n">
        <v>0.5</v>
      </c>
      <c r="F137" s="34" t="n">
        <v>0.5</v>
      </c>
      <c r="G137" s="6" t="s">
        <v>135</v>
      </c>
      <c r="H137" s="36" t="n">
        <v>46149</v>
      </c>
      <c r="I137" s="35" t="n">
        <f aca="false">CoreBpsBlended*GrowthModeFactor*D137*E137</f>
        <v>0.2897</v>
      </c>
      <c r="J137" s="35" t="n">
        <f aca="false">CoreBpsBlended*D137*E137</f>
        <v>2.897</v>
      </c>
      <c r="K137" s="35" t="n">
        <f aca="false">CoreBpsBlended*GrowthModeFactor*D137*F137</f>
        <v>0.2897</v>
      </c>
    </row>
    <row r="138" customFormat="false" ht="15" hidden="false" customHeight="false" outlineLevel="0" collapsed="false">
      <c r="A138" s="0" t="s">
        <v>272</v>
      </c>
      <c r="B138" s="0" t="s">
        <v>241</v>
      </c>
      <c r="C138" s="33" t="n">
        <v>1</v>
      </c>
      <c r="D138" s="33" t="n">
        <v>2</v>
      </c>
      <c r="E138" s="34" t="n">
        <v>0.5</v>
      </c>
      <c r="F138" s="34" t="n">
        <v>0.5</v>
      </c>
      <c r="G138" s="6" t="s">
        <v>135</v>
      </c>
      <c r="H138" s="36" t="n">
        <v>46096</v>
      </c>
      <c r="I138" s="35" t="n">
        <f aca="false">CoreBpsBlended*GrowthModeFactor*D138*E138</f>
        <v>0.2897</v>
      </c>
      <c r="J138" s="35" t="n">
        <f aca="false">CoreBpsBlended*D138*E138</f>
        <v>2.897</v>
      </c>
      <c r="K138" s="35" t="n">
        <f aca="false">CoreBpsBlended*GrowthModeFactor*D138*F138</f>
        <v>0.2897</v>
      </c>
    </row>
    <row r="139" customFormat="false" ht="15" hidden="false" customHeight="false" outlineLevel="0" collapsed="false">
      <c r="A139" s="0" t="s">
        <v>273</v>
      </c>
      <c r="B139" s="0" t="s">
        <v>241</v>
      </c>
      <c r="C139" s="33" t="n">
        <v>1</v>
      </c>
      <c r="D139" s="33" t="n">
        <v>2</v>
      </c>
      <c r="E139" s="34" t="n">
        <v>0.5</v>
      </c>
      <c r="F139" s="34" t="n">
        <v>0.5</v>
      </c>
      <c r="G139" s="6" t="s">
        <v>135</v>
      </c>
      <c r="H139" s="36" t="n">
        <v>45984</v>
      </c>
      <c r="I139" s="35" t="n">
        <f aca="false">CoreBpsBlended*GrowthModeFactor*D139*E139</f>
        <v>0.2897</v>
      </c>
      <c r="J139" s="35" t="n">
        <f aca="false">CoreBpsBlended*D139*E139</f>
        <v>2.897</v>
      </c>
      <c r="K139" s="35" t="n">
        <f aca="false">CoreBpsBlended*GrowthModeFactor*D139*F139</f>
        <v>0.2897</v>
      </c>
    </row>
    <row r="140" customFormat="false" ht="15" hidden="false" customHeight="false" outlineLevel="0" collapsed="false">
      <c r="A140" s="0" t="s">
        <v>274</v>
      </c>
      <c r="B140" s="0" t="s">
        <v>241</v>
      </c>
      <c r="C140" s="33" t="n">
        <v>1</v>
      </c>
      <c r="D140" s="33" t="n">
        <v>2</v>
      </c>
      <c r="E140" s="34" t="n">
        <v>0.5</v>
      </c>
      <c r="F140" s="34" t="n">
        <v>0.5</v>
      </c>
      <c r="G140" s="6" t="s">
        <v>135</v>
      </c>
      <c r="H140" s="36" t="n">
        <v>46071</v>
      </c>
      <c r="I140" s="35" t="n">
        <f aca="false">CoreBpsBlended*GrowthModeFactor*D140*E140</f>
        <v>0.2897</v>
      </c>
      <c r="J140" s="35" t="n">
        <f aca="false">CoreBpsBlended*D140*E140</f>
        <v>2.897</v>
      </c>
      <c r="K140" s="35" t="n">
        <f aca="false">CoreBpsBlended*GrowthModeFactor*D140*F140</f>
        <v>0.2897</v>
      </c>
    </row>
    <row r="141" customFormat="false" ht="15" hidden="false" customHeight="false" outlineLevel="0" collapsed="false">
      <c r="A141" s="0" t="s">
        <v>275</v>
      </c>
      <c r="B141" s="0" t="s">
        <v>241</v>
      </c>
      <c r="C141" s="33" t="n">
        <v>1</v>
      </c>
      <c r="D141" s="33" t="n">
        <v>2</v>
      </c>
      <c r="E141" s="34" t="n">
        <v>0.5</v>
      </c>
      <c r="F141" s="34" t="n">
        <v>0.5</v>
      </c>
      <c r="G141" s="6" t="s">
        <v>135</v>
      </c>
      <c r="H141" s="36" t="n">
        <v>46162</v>
      </c>
      <c r="I141" s="35" t="n">
        <f aca="false">CoreBpsBlended*GrowthModeFactor*D141*E141</f>
        <v>0.2897</v>
      </c>
      <c r="J141" s="35" t="n">
        <f aca="false">CoreBpsBlended*D141*E141</f>
        <v>2.897</v>
      </c>
      <c r="K141" s="35" t="n">
        <f aca="false">CoreBpsBlended*GrowthModeFactor*D141*F141</f>
        <v>0.2897</v>
      </c>
    </row>
    <row r="142" customFormat="false" ht="15" hidden="false" customHeight="false" outlineLevel="0" collapsed="false">
      <c r="A142" s="0" t="s">
        <v>276</v>
      </c>
      <c r="B142" s="0" t="s">
        <v>241</v>
      </c>
      <c r="C142" s="33" t="n">
        <v>1</v>
      </c>
      <c r="D142" s="33" t="n">
        <v>2</v>
      </c>
      <c r="E142" s="34" t="n">
        <v>0.5</v>
      </c>
      <c r="F142" s="34" t="n">
        <v>0.5</v>
      </c>
      <c r="G142" s="6" t="s">
        <v>135</v>
      </c>
      <c r="H142" s="36" t="n">
        <v>45984</v>
      </c>
      <c r="I142" s="35" t="n">
        <f aca="false">CoreBpsBlended*GrowthModeFactor*D142*E142</f>
        <v>0.2897</v>
      </c>
      <c r="J142" s="35" t="n">
        <f aca="false">CoreBpsBlended*D142*E142</f>
        <v>2.897</v>
      </c>
      <c r="K142" s="35" t="n">
        <f aca="false">CoreBpsBlended*GrowthModeFactor*D142*F142</f>
        <v>0.2897</v>
      </c>
    </row>
    <row r="143" customFormat="false" ht="15" hidden="false" customHeight="false" outlineLevel="0" collapsed="false">
      <c r="A143" s="0" t="s">
        <v>277</v>
      </c>
      <c r="B143" s="0" t="s">
        <v>241</v>
      </c>
      <c r="C143" s="33" t="n">
        <v>1</v>
      </c>
      <c r="D143" s="33" t="n">
        <v>2</v>
      </c>
      <c r="E143" s="34" t="n">
        <v>0.5</v>
      </c>
      <c r="F143" s="34" t="n">
        <v>0.5</v>
      </c>
      <c r="G143" s="6" t="s">
        <v>135</v>
      </c>
      <c r="H143" s="36" t="n">
        <v>46065</v>
      </c>
      <c r="I143" s="35" t="n">
        <f aca="false">CoreBpsBlended*GrowthModeFactor*D143*E143</f>
        <v>0.2897</v>
      </c>
      <c r="J143" s="35" t="n">
        <f aca="false">CoreBpsBlended*D143*E143</f>
        <v>2.897</v>
      </c>
      <c r="K143" s="35" t="n">
        <f aca="false">CoreBpsBlended*GrowthModeFactor*D143*F143</f>
        <v>0.2897</v>
      </c>
    </row>
    <row r="144" customFormat="false" ht="15" hidden="false" customHeight="false" outlineLevel="0" collapsed="false">
      <c r="A144" s="0" t="s">
        <v>278</v>
      </c>
      <c r="B144" s="0" t="s">
        <v>241</v>
      </c>
      <c r="C144" s="33" t="n">
        <v>1</v>
      </c>
      <c r="D144" s="33" t="n">
        <v>2</v>
      </c>
      <c r="E144" s="34" t="n">
        <v>0.5</v>
      </c>
      <c r="F144" s="34" t="n">
        <v>0.5</v>
      </c>
      <c r="G144" s="6" t="s">
        <v>135</v>
      </c>
      <c r="H144" s="36" t="n">
        <v>46010</v>
      </c>
      <c r="I144" s="35" t="n">
        <f aca="false">CoreBpsBlended*GrowthModeFactor*D144*E144</f>
        <v>0.2897</v>
      </c>
      <c r="J144" s="35" t="n">
        <f aca="false">CoreBpsBlended*D144*E144</f>
        <v>2.897</v>
      </c>
      <c r="K144" s="35" t="n">
        <f aca="false">CoreBpsBlended*GrowthModeFactor*D144*F144</f>
        <v>0.2897</v>
      </c>
    </row>
    <row r="145" customFormat="false" ht="15" hidden="false" customHeight="false" outlineLevel="0" collapsed="false">
      <c r="A145" s="0" t="s">
        <v>279</v>
      </c>
      <c r="B145" s="0" t="s">
        <v>241</v>
      </c>
      <c r="C145" s="33" t="n">
        <v>1</v>
      </c>
      <c r="D145" s="33" t="n">
        <v>2</v>
      </c>
      <c r="E145" s="34" t="n">
        <v>0.5</v>
      </c>
      <c r="F145" s="34" t="n">
        <v>0.5</v>
      </c>
      <c r="G145" s="6" t="s">
        <v>135</v>
      </c>
      <c r="H145" s="36" t="n">
        <v>46078</v>
      </c>
      <c r="I145" s="35" t="n">
        <f aca="false">CoreBpsBlended*GrowthModeFactor*D145*E145</f>
        <v>0.2897</v>
      </c>
      <c r="J145" s="35" t="n">
        <f aca="false">CoreBpsBlended*D145*E145</f>
        <v>2.897</v>
      </c>
      <c r="K145" s="35" t="n">
        <f aca="false">CoreBpsBlended*GrowthModeFactor*D145*F145</f>
        <v>0.2897</v>
      </c>
    </row>
    <row r="146" customFormat="false" ht="15" hidden="false" customHeight="false" outlineLevel="0" collapsed="false">
      <c r="A146" s="0" t="s">
        <v>280</v>
      </c>
      <c r="B146" s="0" t="s">
        <v>241</v>
      </c>
      <c r="C146" s="33" t="n">
        <v>1</v>
      </c>
      <c r="D146" s="33" t="n">
        <v>2</v>
      </c>
      <c r="E146" s="34" t="n">
        <v>0.5</v>
      </c>
      <c r="F146" s="34" t="n">
        <v>0.5</v>
      </c>
      <c r="G146" s="6" t="s">
        <v>135</v>
      </c>
      <c r="H146" s="36" t="n">
        <v>46058</v>
      </c>
      <c r="I146" s="35" t="n">
        <f aca="false">CoreBpsBlended*GrowthModeFactor*D146*E146</f>
        <v>0.2897</v>
      </c>
      <c r="J146" s="35" t="n">
        <f aca="false">CoreBpsBlended*D146*E146</f>
        <v>2.897</v>
      </c>
      <c r="K146" s="35" t="n">
        <f aca="false">CoreBpsBlended*GrowthModeFactor*D146*F146</f>
        <v>0.2897</v>
      </c>
    </row>
    <row r="147" customFormat="false" ht="15" hidden="false" customHeight="false" outlineLevel="0" collapsed="false">
      <c r="A147" s="0" t="s">
        <v>281</v>
      </c>
      <c r="B147" s="0" t="s">
        <v>241</v>
      </c>
      <c r="C147" s="33" t="n">
        <v>1</v>
      </c>
      <c r="D147" s="33" t="n">
        <v>2</v>
      </c>
      <c r="E147" s="34" t="n">
        <v>0.5</v>
      </c>
      <c r="F147" s="34" t="n">
        <v>0.5</v>
      </c>
      <c r="G147" s="6" t="s">
        <v>135</v>
      </c>
      <c r="H147" s="36" t="n">
        <v>46142</v>
      </c>
      <c r="I147" s="35" t="n">
        <f aca="false">CoreBpsBlended*GrowthModeFactor*D147*E147</f>
        <v>0.2897</v>
      </c>
      <c r="J147" s="35" t="n">
        <f aca="false">CoreBpsBlended*D147*E147</f>
        <v>2.897</v>
      </c>
      <c r="K147" s="35" t="n">
        <f aca="false">CoreBpsBlended*GrowthModeFactor*D147*F147</f>
        <v>0.2897</v>
      </c>
    </row>
    <row r="148" customFormat="false" ht="15" hidden="false" customHeight="false" outlineLevel="0" collapsed="false">
      <c r="A148" s="0" t="s">
        <v>282</v>
      </c>
      <c r="B148" s="0" t="s">
        <v>241</v>
      </c>
      <c r="C148" s="33" t="n">
        <v>1</v>
      </c>
      <c r="D148" s="33" t="n">
        <v>2</v>
      </c>
      <c r="E148" s="34" t="n">
        <v>0.5</v>
      </c>
      <c r="F148" s="34" t="n">
        <v>0.5</v>
      </c>
      <c r="G148" s="6" t="s">
        <v>135</v>
      </c>
      <c r="H148" s="36" t="n">
        <v>46108</v>
      </c>
      <c r="I148" s="35" t="n">
        <f aca="false">CoreBpsBlended*GrowthModeFactor*D148*E148</f>
        <v>0.2897</v>
      </c>
      <c r="J148" s="35" t="n">
        <f aca="false">CoreBpsBlended*D148*E148</f>
        <v>2.897</v>
      </c>
      <c r="K148" s="35" t="n">
        <f aca="false">CoreBpsBlended*GrowthModeFactor*D148*F148</f>
        <v>0.2897</v>
      </c>
    </row>
    <row r="149" customFormat="false" ht="15" hidden="false" customHeight="false" outlineLevel="0" collapsed="false">
      <c r="A149" s="0" t="s">
        <v>283</v>
      </c>
      <c r="B149" s="0" t="s">
        <v>241</v>
      </c>
      <c r="C149" s="33" t="n">
        <v>1</v>
      </c>
      <c r="D149" s="33" t="n">
        <v>2</v>
      </c>
      <c r="E149" s="34" t="n">
        <v>0.5</v>
      </c>
      <c r="F149" s="34" t="n">
        <v>0.5</v>
      </c>
      <c r="G149" s="6" t="s">
        <v>135</v>
      </c>
      <c r="H149" s="36" t="n">
        <v>45996</v>
      </c>
      <c r="I149" s="35" t="n">
        <f aca="false">CoreBpsBlended*GrowthModeFactor*D149*E149</f>
        <v>0.2897</v>
      </c>
      <c r="J149" s="35" t="n">
        <f aca="false">CoreBpsBlended*D149*E149</f>
        <v>2.897</v>
      </c>
      <c r="K149" s="35" t="n">
        <f aca="false">CoreBpsBlended*GrowthModeFactor*D149*F149</f>
        <v>0.2897</v>
      </c>
    </row>
    <row r="150" customFormat="false" ht="15" hidden="false" customHeight="false" outlineLevel="0" collapsed="false">
      <c r="A150" s="0" t="s">
        <v>284</v>
      </c>
      <c r="B150" s="0" t="s">
        <v>241</v>
      </c>
      <c r="C150" s="33" t="n">
        <v>1</v>
      </c>
      <c r="D150" s="33" t="n">
        <v>2</v>
      </c>
      <c r="E150" s="34" t="n">
        <v>0.5</v>
      </c>
      <c r="F150" s="34" t="n">
        <v>0.5</v>
      </c>
      <c r="G150" s="6" t="s">
        <v>135</v>
      </c>
      <c r="H150" s="36" t="n">
        <v>45984</v>
      </c>
      <c r="I150" s="35" t="n">
        <f aca="false">CoreBpsBlended*GrowthModeFactor*D150*E150</f>
        <v>0.2897</v>
      </c>
      <c r="J150" s="35" t="n">
        <f aca="false">CoreBpsBlended*D150*E150</f>
        <v>2.897</v>
      </c>
      <c r="K150" s="35" t="n">
        <f aca="false">CoreBpsBlended*GrowthModeFactor*D150*F150</f>
        <v>0.2897</v>
      </c>
    </row>
    <row r="151" customFormat="false" ht="15" hidden="false" customHeight="false" outlineLevel="0" collapsed="false">
      <c r="A151" s="0" t="s">
        <v>285</v>
      </c>
      <c r="B151" s="0" t="s">
        <v>241</v>
      </c>
      <c r="C151" s="33" t="n">
        <v>1</v>
      </c>
      <c r="D151" s="33" t="n">
        <v>2</v>
      </c>
      <c r="E151" s="34" t="n">
        <v>0.5</v>
      </c>
      <c r="F151" s="34" t="n">
        <v>0.5</v>
      </c>
      <c r="G151" s="6" t="s">
        <v>135</v>
      </c>
      <c r="H151" s="36" t="n">
        <v>46123</v>
      </c>
      <c r="I151" s="35" t="n">
        <f aca="false">CoreBpsBlended*GrowthModeFactor*D151*E151</f>
        <v>0.2897</v>
      </c>
      <c r="J151" s="35" t="n">
        <f aca="false">CoreBpsBlended*D151*E151</f>
        <v>2.897</v>
      </c>
      <c r="K151" s="35" t="n">
        <f aca="false">CoreBpsBlended*GrowthModeFactor*D151*F151</f>
        <v>0.2897</v>
      </c>
    </row>
    <row r="152" customFormat="false" ht="15" hidden="false" customHeight="false" outlineLevel="0" collapsed="false">
      <c r="A152" s="0" t="s">
        <v>286</v>
      </c>
      <c r="B152" s="0" t="s">
        <v>241</v>
      </c>
      <c r="C152" s="33" t="n">
        <v>1</v>
      </c>
      <c r="D152" s="33" t="n">
        <v>2</v>
      </c>
      <c r="E152" s="34" t="n">
        <v>0.5</v>
      </c>
      <c r="F152" s="34" t="n">
        <v>0.5</v>
      </c>
      <c r="G152" s="6" t="s">
        <v>135</v>
      </c>
      <c r="H152" s="36" t="n">
        <v>45984</v>
      </c>
      <c r="I152" s="35" t="n">
        <f aca="false">CoreBpsBlended*GrowthModeFactor*D152*E152</f>
        <v>0.2897</v>
      </c>
      <c r="J152" s="35" t="n">
        <f aca="false">CoreBpsBlended*D152*E152</f>
        <v>2.897</v>
      </c>
      <c r="K152" s="35" t="n">
        <f aca="false">CoreBpsBlended*GrowthModeFactor*D152*F152</f>
        <v>0.2897</v>
      </c>
    </row>
    <row r="153" customFormat="false" ht="15" hidden="false" customHeight="false" outlineLevel="0" collapsed="false">
      <c r="A153" s="0" t="s">
        <v>287</v>
      </c>
      <c r="B153" s="0" t="s">
        <v>241</v>
      </c>
      <c r="C153" s="33" t="n">
        <v>1</v>
      </c>
      <c r="D153" s="33" t="n">
        <v>2</v>
      </c>
      <c r="E153" s="34" t="n">
        <v>0.5</v>
      </c>
      <c r="F153" s="34" t="n">
        <v>0.5</v>
      </c>
      <c r="G153" s="6" t="s">
        <v>132</v>
      </c>
      <c r="H153" s="36" t="n">
        <v>46036</v>
      </c>
      <c r="I153" s="35" t="n">
        <f aca="false">CoreBpsBlended*GrowthModeFactor*D153*E153</f>
        <v>0.2897</v>
      </c>
      <c r="J153" s="35" t="n">
        <f aca="false">CoreBpsBlended*D153*E153</f>
        <v>2.897</v>
      </c>
      <c r="K153" s="35" t="n">
        <f aca="false">CoreBpsBlended*GrowthModeFactor*D153*F153</f>
        <v>0.2897</v>
      </c>
    </row>
    <row r="154" customFormat="false" ht="15" hidden="false" customHeight="false" outlineLevel="0" collapsed="false">
      <c r="A154" s="0" t="s">
        <v>288</v>
      </c>
      <c r="B154" s="0" t="s">
        <v>241</v>
      </c>
      <c r="C154" s="33" t="n">
        <v>1</v>
      </c>
      <c r="D154" s="33" t="n">
        <v>2</v>
      </c>
      <c r="E154" s="34" t="n">
        <v>0.5</v>
      </c>
      <c r="F154" s="34" t="n">
        <v>0.5</v>
      </c>
      <c r="G154" s="6" t="s">
        <v>135</v>
      </c>
      <c r="H154" s="36" t="n">
        <v>45984</v>
      </c>
      <c r="I154" s="35" t="n">
        <f aca="false">CoreBpsBlended*GrowthModeFactor*D154*E154</f>
        <v>0.2897</v>
      </c>
      <c r="J154" s="35" t="n">
        <f aca="false">CoreBpsBlended*D154*E154</f>
        <v>2.897</v>
      </c>
      <c r="K154" s="35" t="n">
        <f aca="false">CoreBpsBlended*GrowthModeFactor*D154*F154</f>
        <v>0.2897</v>
      </c>
    </row>
    <row r="155" customFormat="false" ht="15" hidden="false" customHeight="false" outlineLevel="0" collapsed="false">
      <c r="A155" s="0" t="s">
        <v>289</v>
      </c>
      <c r="B155" s="0" t="s">
        <v>241</v>
      </c>
      <c r="C155" s="33" t="n">
        <v>1</v>
      </c>
      <c r="D155" s="33" t="n">
        <v>2</v>
      </c>
      <c r="E155" s="34" t="n">
        <v>0.5</v>
      </c>
      <c r="F155" s="34" t="n">
        <v>0.5</v>
      </c>
      <c r="G155" s="6" t="s">
        <v>135</v>
      </c>
      <c r="H155" s="36" t="n">
        <v>46039</v>
      </c>
      <c r="I155" s="35" t="n">
        <f aca="false">CoreBpsBlended*GrowthModeFactor*D155*E155</f>
        <v>0.2897</v>
      </c>
      <c r="J155" s="35" t="n">
        <f aca="false">CoreBpsBlended*D155*E155</f>
        <v>2.897</v>
      </c>
      <c r="K155" s="35" t="n">
        <f aca="false">CoreBpsBlended*GrowthModeFactor*D155*F155</f>
        <v>0.2897</v>
      </c>
    </row>
    <row r="156" customFormat="false" ht="15" hidden="false" customHeight="false" outlineLevel="0" collapsed="false">
      <c r="A156" s="0" t="s">
        <v>290</v>
      </c>
      <c r="B156" s="0" t="s">
        <v>241</v>
      </c>
      <c r="C156" s="33" t="n">
        <v>1</v>
      </c>
      <c r="D156" s="33" t="n">
        <v>2</v>
      </c>
      <c r="E156" s="34" t="n">
        <v>0.5</v>
      </c>
      <c r="F156" s="34" t="n">
        <v>0.5</v>
      </c>
      <c r="G156" s="6" t="s">
        <v>135</v>
      </c>
      <c r="H156" s="36" t="n">
        <v>45996</v>
      </c>
      <c r="I156" s="35" t="n">
        <f aca="false">CoreBpsBlended*GrowthModeFactor*D156*E156</f>
        <v>0.2897</v>
      </c>
      <c r="J156" s="35" t="n">
        <f aca="false">CoreBpsBlended*D156*E156</f>
        <v>2.897</v>
      </c>
      <c r="K156" s="35" t="n">
        <f aca="false">CoreBpsBlended*GrowthModeFactor*D156*F156</f>
        <v>0.2897</v>
      </c>
    </row>
    <row r="157" customFormat="false" ht="15" hidden="false" customHeight="false" outlineLevel="0" collapsed="false">
      <c r="A157" s="0" t="s">
        <v>291</v>
      </c>
      <c r="B157" s="0" t="s">
        <v>241</v>
      </c>
      <c r="C157" s="33" t="n">
        <v>1</v>
      </c>
      <c r="D157" s="33" t="n">
        <v>2</v>
      </c>
      <c r="E157" s="34" t="n">
        <v>0.5</v>
      </c>
      <c r="F157" s="34" t="n">
        <v>0.5</v>
      </c>
      <c r="G157" s="6" t="s">
        <v>135</v>
      </c>
      <c r="H157" s="36" t="n">
        <v>46151</v>
      </c>
      <c r="I157" s="35" t="n">
        <f aca="false">CoreBpsBlended*GrowthModeFactor*D157*E157</f>
        <v>0.2897</v>
      </c>
      <c r="J157" s="35" t="n">
        <f aca="false">CoreBpsBlended*D157*E157</f>
        <v>2.897</v>
      </c>
      <c r="K157" s="35" t="n">
        <f aca="false">CoreBpsBlended*GrowthModeFactor*D157*F157</f>
        <v>0.2897</v>
      </c>
    </row>
    <row r="158" customFormat="false" ht="15" hidden="false" customHeight="false" outlineLevel="0" collapsed="false">
      <c r="A158" s="0" t="s">
        <v>292</v>
      </c>
      <c r="B158" s="0" t="s">
        <v>241</v>
      </c>
      <c r="C158" s="33" t="n">
        <v>1</v>
      </c>
      <c r="D158" s="33" t="n">
        <v>2</v>
      </c>
      <c r="E158" s="34" t="n">
        <v>0.5</v>
      </c>
      <c r="F158" s="34" t="n">
        <v>0.5</v>
      </c>
      <c r="G158" s="6" t="s">
        <v>135</v>
      </c>
      <c r="H158" s="36" t="n">
        <v>45984</v>
      </c>
      <c r="I158" s="35" t="n">
        <f aca="false">CoreBpsBlended*GrowthModeFactor*D158*E158</f>
        <v>0.2897</v>
      </c>
      <c r="J158" s="35" t="n">
        <f aca="false">CoreBpsBlended*D158*E158</f>
        <v>2.897</v>
      </c>
      <c r="K158" s="35" t="n">
        <f aca="false">CoreBpsBlended*GrowthModeFactor*D158*F158</f>
        <v>0.2897</v>
      </c>
    </row>
    <row r="159" customFormat="false" ht="15" hidden="false" customHeight="false" outlineLevel="0" collapsed="false">
      <c r="A159" s="0" t="s">
        <v>293</v>
      </c>
      <c r="B159" s="0" t="s">
        <v>241</v>
      </c>
      <c r="C159" s="33" t="n">
        <v>1</v>
      </c>
      <c r="D159" s="33" t="n">
        <v>2</v>
      </c>
      <c r="E159" s="34" t="n">
        <v>0.5</v>
      </c>
      <c r="F159" s="34" t="n">
        <v>0.5</v>
      </c>
      <c r="G159" s="6" t="s">
        <v>135</v>
      </c>
      <c r="H159" s="36" t="n">
        <v>45984</v>
      </c>
      <c r="I159" s="35" t="n">
        <f aca="false">CoreBpsBlended*GrowthModeFactor*D159*E159</f>
        <v>0.2897</v>
      </c>
      <c r="J159" s="35" t="n">
        <f aca="false">CoreBpsBlended*D159*E159</f>
        <v>2.897</v>
      </c>
      <c r="K159" s="35" t="n">
        <f aca="false">CoreBpsBlended*GrowthModeFactor*D159*F159</f>
        <v>0.2897</v>
      </c>
    </row>
    <row r="160" customFormat="false" ht="15" hidden="false" customHeight="false" outlineLevel="0" collapsed="false">
      <c r="A160" s="0" t="s">
        <v>294</v>
      </c>
      <c r="B160" s="0" t="s">
        <v>241</v>
      </c>
      <c r="C160" s="33" t="n">
        <v>1</v>
      </c>
      <c r="D160" s="33" t="n">
        <v>2</v>
      </c>
      <c r="E160" s="34" t="n">
        <v>0.5</v>
      </c>
      <c r="F160" s="34" t="n">
        <v>0.5</v>
      </c>
      <c r="G160" s="6" t="s">
        <v>135</v>
      </c>
      <c r="H160" s="36" t="n">
        <v>46053</v>
      </c>
      <c r="I160" s="35" t="n">
        <f aca="false">CoreBpsBlended*GrowthModeFactor*D160*E160</f>
        <v>0.2897</v>
      </c>
      <c r="J160" s="35" t="n">
        <f aca="false">CoreBpsBlended*D160*E160</f>
        <v>2.897</v>
      </c>
      <c r="K160" s="35" t="n">
        <f aca="false">CoreBpsBlended*GrowthModeFactor*D160*F160</f>
        <v>0.2897</v>
      </c>
    </row>
    <row r="161" customFormat="false" ht="15" hidden="false" customHeight="false" outlineLevel="0" collapsed="false">
      <c r="A161" s="0" t="s">
        <v>295</v>
      </c>
      <c r="B161" s="0" t="s">
        <v>241</v>
      </c>
      <c r="C161" s="33" t="n">
        <v>1</v>
      </c>
      <c r="D161" s="33" t="n">
        <v>2</v>
      </c>
      <c r="E161" s="34" t="n">
        <v>0.5</v>
      </c>
      <c r="F161" s="34" t="n">
        <v>0.5</v>
      </c>
      <c r="G161" s="6" t="s">
        <v>135</v>
      </c>
      <c r="H161" s="36" t="n">
        <v>46048</v>
      </c>
      <c r="I161" s="35" t="n">
        <f aca="false">CoreBpsBlended*GrowthModeFactor*D161*E161</f>
        <v>0.2897</v>
      </c>
      <c r="J161" s="35" t="n">
        <f aca="false">CoreBpsBlended*D161*E161</f>
        <v>2.897</v>
      </c>
      <c r="K161" s="35" t="n">
        <f aca="false">CoreBpsBlended*GrowthModeFactor*D161*F161</f>
        <v>0.2897</v>
      </c>
    </row>
    <row r="162" customFormat="false" ht="15" hidden="false" customHeight="false" outlineLevel="0" collapsed="false">
      <c r="A162" s="0" t="s">
        <v>296</v>
      </c>
      <c r="B162" s="0" t="s">
        <v>241</v>
      </c>
      <c r="C162" s="33" t="n">
        <v>1</v>
      </c>
      <c r="D162" s="33" t="n">
        <v>2</v>
      </c>
      <c r="E162" s="34" t="n">
        <v>0.5</v>
      </c>
      <c r="F162" s="34" t="n">
        <v>0.5</v>
      </c>
      <c r="G162" s="6" t="s">
        <v>135</v>
      </c>
      <c r="H162" s="36" t="n">
        <v>45984</v>
      </c>
      <c r="I162" s="35" t="n">
        <f aca="false">CoreBpsBlended*GrowthModeFactor*D162*E162</f>
        <v>0.2897</v>
      </c>
      <c r="J162" s="35" t="n">
        <f aca="false">CoreBpsBlended*D162*E162</f>
        <v>2.897</v>
      </c>
      <c r="K162" s="35" t="n">
        <f aca="false">CoreBpsBlended*GrowthModeFactor*D162*F162</f>
        <v>0.2897</v>
      </c>
    </row>
    <row r="163" customFormat="false" ht="15" hidden="false" customHeight="false" outlineLevel="0" collapsed="false">
      <c r="A163" s="0" t="s">
        <v>297</v>
      </c>
      <c r="B163" s="0" t="s">
        <v>241</v>
      </c>
      <c r="C163" s="33" t="n">
        <v>1</v>
      </c>
      <c r="D163" s="33" t="n">
        <v>2</v>
      </c>
      <c r="E163" s="34" t="n">
        <v>0.5</v>
      </c>
      <c r="F163" s="34" t="n">
        <v>0.5</v>
      </c>
      <c r="G163" s="6" t="s">
        <v>132</v>
      </c>
      <c r="H163" s="36" t="n">
        <v>46151</v>
      </c>
      <c r="I163" s="35" t="n">
        <f aca="false">CoreBpsBlended*GrowthModeFactor*D163*E163</f>
        <v>0.2897</v>
      </c>
      <c r="J163" s="35" t="n">
        <f aca="false">CoreBpsBlended*D163*E163</f>
        <v>2.897</v>
      </c>
      <c r="K163" s="35" t="n">
        <f aca="false">CoreBpsBlended*GrowthModeFactor*D163*F163</f>
        <v>0.2897</v>
      </c>
    </row>
    <row r="164" customFormat="false" ht="15" hidden="false" customHeight="false" outlineLevel="0" collapsed="false">
      <c r="A164" s="0" t="s">
        <v>298</v>
      </c>
      <c r="B164" s="0" t="s">
        <v>241</v>
      </c>
      <c r="C164" s="33" t="n">
        <v>1</v>
      </c>
      <c r="D164" s="33" t="n">
        <v>2</v>
      </c>
      <c r="E164" s="34" t="n">
        <v>0.5</v>
      </c>
      <c r="F164" s="34" t="n">
        <v>0.5</v>
      </c>
      <c r="G164" s="6" t="s">
        <v>135</v>
      </c>
      <c r="H164" s="36" t="n">
        <v>46028</v>
      </c>
      <c r="I164" s="35" t="n">
        <f aca="false">CoreBpsBlended*GrowthModeFactor*D164*E164</f>
        <v>0.2897</v>
      </c>
      <c r="J164" s="35" t="n">
        <f aca="false">CoreBpsBlended*D164*E164</f>
        <v>2.897</v>
      </c>
      <c r="K164" s="35" t="n">
        <f aca="false">CoreBpsBlended*GrowthModeFactor*D164*F164</f>
        <v>0.2897</v>
      </c>
    </row>
    <row r="165" customFormat="false" ht="15" hidden="false" customHeight="false" outlineLevel="0" collapsed="false">
      <c r="A165" s="0" t="s">
        <v>299</v>
      </c>
      <c r="B165" s="0" t="s">
        <v>241</v>
      </c>
      <c r="C165" s="33" t="n">
        <v>1</v>
      </c>
      <c r="D165" s="33" t="n">
        <v>2</v>
      </c>
      <c r="E165" s="34" t="n">
        <v>0.5</v>
      </c>
      <c r="F165" s="34" t="n">
        <v>0.5</v>
      </c>
      <c r="G165" s="6" t="s">
        <v>135</v>
      </c>
      <c r="H165" s="36" t="n">
        <v>46125</v>
      </c>
      <c r="I165" s="35" t="n">
        <f aca="false">CoreBpsBlended*GrowthModeFactor*D165*E165</f>
        <v>0.2897</v>
      </c>
      <c r="J165" s="35" t="n">
        <f aca="false">CoreBpsBlended*D165*E165</f>
        <v>2.897</v>
      </c>
      <c r="K165" s="35" t="n">
        <f aca="false">CoreBpsBlended*GrowthModeFactor*D165*F165</f>
        <v>0.2897</v>
      </c>
    </row>
    <row r="166" customFormat="false" ht="15" hidden="false" customHeight="false" outlineLevel="0" collapsed="false">
      <c r="A166" s="0" t="s">
        <v>300</v>
      </c>
      <c r="B166" s="0" t="s">
        <v>241</v>
      </c>
      <c r="C166" s="33" t="n">
        <v>1</v>
      </c>
      <c r="D166" s="33" t="n">
        <v>2</v>
      </c>
      <c r="E166" s="34" t="n">
        <v>0.5</v>
      </c>
      <c r="F166" s="34" t="n">
        <v>0.5</v>
      </c>
      <c r="G166" s="6" t="s">
        <v>135</v>
      </c>
      <c r="H166" s="36" t="n">
        <v>46018</v>
      </c>
      <c r="I166" s="35" t="n">
        <f aca="false">CoreBpsBlended*GrowthModeFactor*D166*E166</f>
        <v>0.2897</v>
      </c>
      <c r="J166" s="35" t="n">
        <f aca="false">CoreBpsBlended*D166*E166</f>
        <v>2.897</v>
      </c>
      <c r="K166" s="35" t="n">
        <f aca="false">CoreBpsBlended*GrowthModeFactor*D166*F166</f>
        <v>0.2897</v>
      </c>
    </row>
    <row r="167" customFormat="false" ht="15" hidden="false" customHeight="false" outlineLevel="0" collapsed="false">
      <c r="A167" s="0" t="s">
        <v>301</v>
      </c>
      <c r="B167" s="0" t="s">
        <v>241</v>
      </c>
      <c r="C167" s="33" t="n">
        <v>1</v>
      </c>
      <c r="D167" s="33" t="n">
        <v>2</v>
      </c>
      <c r="E167" s="34" t="n">
        <v>0.5</v>
      </c>
      <c r="F167" s="34" t="n">
        <v>0.5</v>
      </c>
      <c r="G167" s="6" t="s">
        <v>135</v>
      </c>
      <c r="H167" s="36" t="n">
        <v>46010</v>
      </c>
      <c r="I167" s="35" t="n">
        <f aca="false">CoreBpsBlended*GrowthModeFactor*D167*E167</f>
        <v>0.2897</v>
      </c>
      <c r="J167" s="35" t="n">
        <f aca="false">CoreBpsBlended*D167*E167</f>
        <v>2.897</v>
      </c>
      <c r="K167" s="35" t="n">
        <f aca="false">CoreBpsBlended*GrowthModeFactor*D167*F167</f>
        <v>0.2897</v>
      </c>
    </row>
    <row r="168" customFormat="false" ht="15" hidden="false" customHeight="false" outlineLevel="0" collapsed="false">
      <c r="A168" s="0" t="s">
        <v>302</v>
      </c>
      <c r="B168" s="0" t="s">
        <v>241</v>
      </c>
      <c r="C168" s="33" t="n">
        <v>1</v>
      </c>
      <c r="D168" s="33" t="n">
        <v>2</v>
      </c>
      <c r="E168" s="34" t="n">
        <v>0.5</v>
      </c>
      <c r="F168" s="34" t="n">
        <v>0.5</v>
      </c>
      <c r="G168" s="6" t="s">
        <v>135</v>
      </c>
      <c r="H168" s="36" t="n">
        <v>46048</v>
      </c>
      <c r="I168" s="35" t="n">
        <f aca="false">CoreBpsBlended*GrowthModeFactor*D168*E168</f>
        <v>0.2897</v>
      </c>
      <c r="J168" s="35" t="n">
        <f aca="false">CoreBpsBlended*D168*E168</f>
        <v>2.897</v>
      </c>
      <c r="K168" s="35" t="n">
        <f aca="false">CoreBpsBlended*GrowthModeFactor*D168*F168</f>
        <v>0.2897</v>
      </c>
    </row>
    <row r="169" customFormat="false" ht="15" hidden="false" customHeight="false" outlineLevel="0" collapsed="false">
      <c r="A169" s="0" t="s">
        <v>303</v>
      </c>
      <c r="B169" s="0" t="s">
        <v>241</v>
      </c>
      <c r="C169" s="33" t="n">
        <v>1</v>
      </c>
      <c r="D169" s="33" t="n">
        <v>2</v>
      </c>
      <c r="E169" s="34" t="n">
        <v>0.5</v>
      </c>
      <c r="F169" s="34" t="n">
        <v>0.5</v>
      </c>
      <c r="G169" s="6" t="s">
        <v>135</v>
      </c>
      <c r="H169" s="36" t="n">
        <v>45984</v>
      </c>
      <c r="I169" s="35" t="n">
        <f aca="false">CoreBpsBlended*GrowthModeFactor*D169*E169</f>
        <v>0.2897</v>
      </c>
      <c r="J169" s="35" t="n">
        <f aca="false">CoreBpsBlended*D169*E169</f>
        <v>2.897</v>
      </c>
      <c r="K169" s="35" t="n">
        <f aca="false">CoreBpsBlended*GrowthModeFactor*D169*F169</f>
        <v>0.2897</v>
      </c>
    </row>
    <row r="170" customFormat="false" ht="15" hidden="false" customHeight="false" outlineLevel="0" collapsed="false">
      <c r="A170" s="0" t="s">
        <v>304</v>
      </c>
      <c r="B170" s="0" t="s">
        <v>241</v>
      </c>
      <c r="C170" s="33" t="n">
        <v>1</v>
      </c>
      <c r="D170" s="33" t="n">
        <v>2</v>
      </c>
      <c r="E170" s="34" t="n">
        <v>0.5</v>
      </c>
      <c r="F170" s="34" t="n">
        <v>0.5</v>
      </c>
      <c r="G170" s="6" t="s">
        <v>135</v>
      </c>
      <c r="H170" s="36" t="n">
        <v>46063</v>
      </c>
      <c r="I170" s="35" t="n">
        <f aca="false">CoreBpsBlended*GrowthModeFactor*D170*E170</f>
        <v>0.2897</v>
      </c>
      <c r="J170" s="35" t="n">
        <f aca="false">CoreBpsBlended*D170*E170</f>
        <v>2.897</v>
      </c>
      <c r="K170" s="35" t="n">
        <f aca="false">CoreBpsBlended*GrowthModeFactor*D170*F170</f>
        <v>0.2897</v>
      </c>
    </row>
    <row r="171" customFormat="false" ht="15" hidden="false" customHeight="false" outlineLevel="0" collapsed="false">
      <c r="A171" s="0" t="s">
        <v>305</v>
      </c>
      <c r="B171" s="0" t="s">
        <v>241</v>
      </c>
      <c r="C171" s="33" t="n">
        <v>1</v>
      </c>
      <c r="D171" s="33" t="n">
        <v>2</v>
      </c>
      <c r="E171" s="34" t="n">
        <v>0.5</v>
      </c>
      <c r="F171" s="34" t="n">
        <v>0.5</v>
      </c>
      <c r="G171" s="6" t="s">
        <v>135</v>
      </c>
      <c r="H171" s="36" t="n">
        <v>46099</v>
      </c>
      <c r="I171" s="35" t="n">
        <f aca="false">CoreBpsBlended*GrowthModeFactor*D171*E171</f>
        <v>0.2897</v>
      </c>
      <c r="J171" s="35" t="n">
        <f aca="false">CoreBpsBlended*D171*E171</f>
        <v>2.897</v>
      </c>
      <c r="K171" s="35" t="n">
        <f aca="false">CoreBpsBlended*GrowthModeFactor*D171*F171</f>
        <v>0.2897</v>
      </c>
    </row>
    <row r="172" customFormat="false" ht="15" hidden="false" customHeight="false" outlineLevel="0" collapsed="false">
      <c r="A172" s="0" t="s">
        <v>306</v>
      </c>
      <c r="B172" s="0" t="s">
        <v>241</v>
      </c>
      <c r="C172" s="33" t="n">
        <v>1</v>
      </c>
      <c r="D172" s="33" t="n">
        <v>2</v>
      </c>
      <c r="E172" s="34" t="n">
        <v>0.5</v>
      </c>
      <c r="F172" s="34" t="n">
        <v>0.5</v>
      </c>
      <c r="G172" s="6" t="s">
        <v>135</v>
      </c>
      <c r="H172" s="36" t="n">
        <v>46159</v>
      </c>
      <c r="I172" s="35" t="n">
        <f aca="false">CoreBpsBlended*GrowthModeFactor*D172*E172</f>
        <v>0.2897</v>
      </c>
      <c r="J172" s="35" t="n">
        <f aca="false">CoreBpsBlended*D172*E172</f>
        <v>2.897</v>
      </c>
      <c r="K172" s="35" t="n">
        <f aca="false">CoreBpsBlended*GrowthModeFactor*D172*F172</f>
        <v>0.2897</v>
      </c>
    </row>
    <row r="173" customFormat="false" ht="15" hidden="false" customHeight="false" outlineLevel="0" collapsed="false">
      <c r="A173" s="0" t="s">
        <v>307</v>
      </c>
      <c r="B173" s="0" t="s">
        <v>241</v>
      </c>
      <c r="C173" s="33" t="n">
        <v>1</v>
      </c>
      <c r="D173" s="33" t="n">
        <v>2</v>
      </c>
      <c r="E173" s="34" t="n">
        <v>0.5</v>
      </c>
      <c r="F173" s="34" t="n">
        <v>0.5</v>
      </c>
      <c r="G173" s="6" t="s">
        <v>135</v>
      </c>
      <c r="H173" s="36" t="n">
        <v>45984</v>
      </c>
      <c r="I173" s="35" t="n">
        <f aca="false">CoreBpsBlended*GrowthModeFactor*D173*E173</f>
        <v>0.2897</v>
      </c>
      <c r="J173" s="35" t="n">
        <f aca="false">CoreBpsBlended*D173*E173</f>
        <v>2.897</v>
      </c>
      <c r="K173" s="35" t="n">
        <f aca="false">CoreBpsBlended*GrowthModeFactor*D173*F173</f>
        <v>0.2897</v>
      </c>
    </row>
    <row r="174" customFormat="false" ht="15" hidden="false" customHeight="false" outlineLevel="0" collapsed="false">
      <c r="A174" s="0" t="s">
        <v>308</v>
      </c>
      <c r="B174" s="0" t="s">
        <v>241</v>
      </c>
      <c r="C174" s="33" t="n">
        <v>1</v>
      </c>
      <c r="D174" s="33" t="n">
        <v>2</v>
      </c>
      <c r="E174" s="34" t="n">
        <v>0.5</v>
      </c>
      <c r="F174" s="34" t="n">
        <v>0.5</v>
      </c>
      <c r="G174" s="6" t="s">
        <v>135</v>
      </c>
      <c r="H174" s="36" t="n">
        <v>46010</v>
      </c>
      <c r="I174" s="35" t="n">
        <f aca="false">CoreBpsBlended*GrowthModeFactor*D174*E174</f>
        <v>0.2897</v>
      </c>
      <c r="J174" s="35" t="n">
        <f aca="false">CoreBpsBlended*D174*E174</f>
        <v>2.897</v>
      </c>
      <c r="K174" s="35" t="n">
        <f aca="false">CoreBpsBlended*GrowthModeFactor*D174*F174</f>
        <v>0.2897</v>
      </c>
    </row>
    <row r="175" customFormat="false" ht="15" hidden="false" customHeight="false" outlineLevel="0" collapsed="false">
      <c r="A175" s="0" t="s">
        <v>309</v>
      </c>
      <c r="B175" s="0" t="s">
        <v>241</v>
      </c>
      <c r="C175" s="33" t="n">
        <v>1</v>
      </c>
      <c r="D175" s="33" t="n">
        <v>2</v>
      </c>
      <c r="E175" s="34" t="n">
        <v>0.5</v>
      </c>
      <c r="F175" s="34" t="n">
        <v>0.5</v>
      </c>
      <c r="G175" s="6" t="s">
        <v>135</v>
      </c>
      <c r="H175" s="36" t="n">
        <v>46115</v>
      </c>
      <c r="I175" s="35" t="n">
        <f aca="false">CoreBpsBlended*GrowthModeFactor*D175*E175</f>
        <v>0.2897</v>
      </c>
      <c r="J175" s="35" t="n">
        <f aca="false">CoreBpsBlended*D175*E175</f>
        <v>2.897</v>
      </c>
      <c r="K175" s="35" t="n">
        <f aca="false">CoreBpsBlended*GrowthModeFactor*D175*F175</f>
        <v>0.2897</v>
      </c>
    </row>
    <row r="176" customFormat="false" ht="15" hidden="false" customHeight="false" outlineLevel="0" collapsed="false">
      <c r="A176" s="0" t="s">
        <v>310</v>
      </c>
      <c r="B176" s="0" t="s">
        <v>241</v>
      </c>
      <c r="C176" s="33" t="n">
        <v>1</v>
      </c>
      <c r="D176" s="33" t="n">
        <v>2</v>
      </c>
      <c r="E176" s="34" t="n">
        <v>0.5</v>
      </c>
      <c r="F176" s="34" t="n">
        <v>0.5</v>
      </c>
      <c r="G176" s="6" t="s">
        <v>135</v>
      </c>
      <c r="H176" s="36" t="n">
        <v>46048</v>
      </c>
      <c r="I176" s="35" t="n">
        <f aca="false">CoreBpsBlended*GrowthModeFactor*D176*E176</f>
        <v>0.2897</v>
      </c>
      <c r="J176" s="35" t="n">
        <f aca="false">CoreBpsBlended*D176*E176</f>
        <v>2.897</v>
      </c>
      <c r="K176" s="35" t="n">
        <f aca="false">CoreBpsBlended*GrowthModeFactor*D176*F176</f>
        <v>0.2897</v>
      </c>
    </row>
    <row r="177" customFormat="false" ht="15" hidden="false" customHeight="false" outlineLevel="0" collapsed="false">
      <c r="A177" s="0" t="s">
        <v>311</v>
      </c>
      <c r="B177" s="0" t="s">
        <v>241</v>
      </c>
      <c r="C177" s="33" t="n">
        <v>1</v>
      </c>
      <c r="D177" s="33" t="n">
        <v>2</v>
      </c>
      <c r="E177" s="34" t="n">
        <v>0.5</v>
      </c>
      <c r="F177" s="34" t="n">
        <v>0.5</v>
      </c>
      <c r="G177" s="6" t="s">
        <v>135</v>
      </c>
      <c r="H177" s="36" t="n">
        <v>46051</v>
      </c>
      <c r="I177" s="35" t="n">
        <f aca="false">CoreBpsBlended*GrowthModeFactor*D177*E177</f>
        <v>0.2897</v>
      </c>
      <c r="J177" s="35" t="n">
        <f aca="false">CoreBpsBlended*D177*E177</f>
        <v>2.897</v>
      </c>
      <c r="K177" s="35" t="n">
        <f aca="false">CoreBpsBlended*GrowthModeFactor*D177*F177</f>
        <v>0.2897</v>
      </c>
    </row>
    <row r="178" customFormat="false" ht="15" hidden="false" customHeight="false" outlineLevel="0" collapsed="false">
      <c r="A178" s="0" t="s">
        <v>312</v>
      </c>
      <c r="B178" s="0" t="s">
        <v>241</v>
      </c>
      <c r="C178" s="33" t="n">
        <v>1</v>
      </c>
      <c r="D178" s="33" t="n">
        <v>2</v>
      </c>
      <c r="E178" s="34" t="n">
        <v>0.5</v>
      </c>
      <c r="F178" s="34" t="n">
        <v>0.5</v>
      </c>
      <c r="G178" s="6" t="s">
        <v>135</v>
      </c>
      <c r="H178" s="36" t="n">
        <v>46048</v>
      </c>
      <c r="I178" s="35" t="n">
        <f aca="false">CoreBpsBlended*GrowthModeFactor*D178*E178</f>
        <v>0.2897</v>
      </c>
      <c r="J178" s="35" t="n">
        <f aca="false">CoreBpsBlended*D178*E178</f>
        <v>2.897</v>
      </c>
      <c r="K178" s="35" t="n">
        <f aca="false">CoreBpsBlended*GrowthModeFactor*D178*F178</f>
        <v>0.2897</v>
      </c>
    </row>
    <row r="179" customFormat="false" ht="15" hidden="false" customHeight="false" outlineLevel="0" collapsed="false">
      <c r="A179" s="0" t="s">
        <v>313</v>
      </c>
      <c r="B179" s="0" t="s">
        <v>241</v>
      </c>
      <c r="C179" s="33" t="n">
        <v>1</v>
      </c>
      <c r="D179" s="33" t="n">
        <v>2</v>
      </c>
      <c r="E179" s="34" t="n">
        <v>0.5</v>
      </c>
      <c r="F179" s="34" t="n">
        <v>0.5</v>
      </c>
      <c r="G179" s="6" t="s">
        <v>135</v>
      </c>
      <c r="H179" s="36" t="n">
        <v>46090</v>
      </c>
      <c r="I179" s="35" t="n">
        <f aca="false">CoreBpsBlended*GrowthModeFactor*D179*E179</f>
        <v>0.2897</v>
      </c>
      <c r="J179" s="35" t="n">
        <f aca="false">CoreBpsBlended*D179*E179</f>
        <v>2.897</v>
      </c>
      <c r="K179" s="35" t="n">
        <f aca="false">CoreBpsBlended*GrowthModeFactor*D179*F179</f>
        <v>0.2897</v>
      </c>
    </row>
    <row r="180" customFormat="false" ht="15" hidden="false" customHeight="false" outlineLevel="0" collapsed="false">
      <c r="A180" s="0" t="s">
        <v>314</v>
      </c>
      <c r="B180" s="0" t="s">
        <v>241</v>
      </c>
      <c r="C180" s="33" t="n">
        <v>1</v>
      </c>
      <c r="D180" s="33" t="n">
        <v>2</v>
      </c>
      <c r="E180" s="34" t="n">
        <v>0.5</v>
      </c>
      <c r="F180" s="34" t="n">
        <v>0.5</v>
      </c>
      <c r="G180" s="6" t="s">
        <v>135</v>
      </c>
      <c r="H180" s="36" t="n">
        <v>46129</v>
      </c>
      <c r="I180" s="35" t="n">
        <f aca="false">CoreBpsBlended*GrowthModeFactor*D180*E180</f>
        <v>0.2897</v>
      </c>
      <c r="J180" s="35" t="n">
        <f aca="false">CoreBpsBlended*D180*E180</f>
        <v>2.897</v>
      </c>
      <c r="K180" s="35" t="n">
        <f aca="false">CoreBpsBlended*GrowthModeFactor*D180*F180</f>
        <v>0.2897</v>
      </c>
    </row>
    <row r="181" customFormat="false" ht="15" hidden="false" customHeight="false" outlineLevel="0" collapsed="false">
      <c r="A181" s="0" t="s">
        <v>315</v>
      </c>
      <c r="B181" s="0" t="s">
        <v>241</v>
      </c>
      <c r="C181" s="33" t="n">
        <v>1</v>
      </c>
      <c r="D181" s="33" t="n">
        <v>2</v>
      </c>
      <c r="E181" s="34" t="n">
        <v>0.5</v>
      </c>
      <c r="F181" s="34" t="n">
        <v>0.5</v>
      </c>
      <c r="G181" s="6" t="s">
        <v>135</v>
      </c>
      <c r="H181" s="36" t="n">
        <v>46114</v>
      </c>
      <c r="I181" s="35" t="n">
        <f aca="false">CoreBpsBlended*GrowthModeFactor*D181*E181</f>
        <v>0.2897</v>
      </c>
      <c r="J181" s="35" t="n">
        <f aca="false">CoreBpsBlended*D181*E181</f>
        <v>2.897</v>
      </c>
      <c r="K181" s="35" t="n">
        <f aca="false">CoreBpsBlended*GrowthModeFactor*D181*F181</f>
        <v>0.2897</v>
      </c>
    </row>
    <row r="182" customFormat="false" ht="15" hidden="false" customHeight="false" outlineLevel="0" collapsed="false">
      <c r="A182" s="0" t="s">
        <v>316</v>
      </c>
      <c r="B182" s="0" t="s">
        <v>241</v>
      </c>
      <c r="C182" s="33" t="n">
        <v>1</v>
      </c>
      <c r="D182" s="33" t="n">
        <v>2</v>
      </c>
      <c r="E182" s="34" t="n">
        <v>0.5</v>
      </c>
      <c r="F182" s="34" t="n">
        <v>0.5</v>
      </c>
      <c r="G182" s="6" t="s">
        <v>135</v>
      </c>
      <c r="H182" s="36" t="n">
        <v>46112</v>
      </c>
      <c r="I182" s="35" t="n">
        <f aca="false">CoreBpsBlended*GrowthModeFactor*D182*E182</f>
        <v>0.2897</v>
      </c>
      <c r="J182" s="35" t="n">
        <f aca="false">CoreBpsBlended*D182*E182</f>
        <v>2.897</v>
      </c>
      <c r="K182" s="35" t="n">
        <f aca="false">CoreBpsBlended*GrowthModeFactor*D182*F182</f>
        <v>0.2897</v>
      </c>
    </row>
    <row r="183" customFormat="false" ht="15" hidden="false" customHeight="false" outlineLevel="0" collapsed="false">
      <c r="A183" s="0" t="s">
        <v>317</v>
      </c>
      <c r="B183" s="0" t="s">
        <v>241</v>
      </c>
      <c r="C183" s="33" t="n">
        <v>1</v>
      </c>
      <c r="D183" s="33" t="n">
        <v>2</v>
      </c>
      <c r="E183" s="34" t="n">
        <v>0.5</v>
      </c>
      <c r="F183" s="34" t="n">
        <v>0.5</v>
      </c>
      <c r="G183" s="6" t="s">
        <v>135</v>
      </c>
      <c r="H183" s="36" t="n">
        <v>45984</v>
      </c>
      <c r="I183" s="35" t="n">
        <f aca="false">CoreBpsBlended*GrowthModeFactor*D183*E183</f>
        <v>0.2897</v>
      </c>
      <c r="J183" s="35" t="n">
        <f aca="false">CoreBpsBlended*D183*E183</f>
        <v>2.897</v>
      </c>
      <c r="K183" s="35" t="n">
        <f aca="false">CoreBpsBlended*GrowthModeFactor*D183*F183</f>
        <v>0.2897</v>
      </c>
    </row>
    <row r="184" customFormat="false" ht="15" hidden="false" customHeight="false" outlineLevel="0" collapsed="false">
      <c r="A184" s="0" t="s">
        <v>318</v>
      </c>
      <c r="B184" s="0" t="s">
        <v>241</v>
      </c>
      <c r="C184" s="33" t="n">
        <v>1</v>
      </c>
      <c r="D184" s="33" t="n">
        <v>2</v>
      </c>
      <c r="E184" s="34" t="n">
        <v>0.5</v>
      </c>
      <c r="F184" s="34" t="n">
        <v>0.5</v>
      </c>
      <c r="G184" s="6" t="s">
        <v>135</v>
      </c>
      <c r="H184" s="36" t="n">
        <v>46145</v>
      </c>
      <c r="I184" s="35" t="n">
        <f aca="false">CoreBpsBlended*GrowthModeFactor*D184*E184</f>
        <v>0.2897</v>
      </c>
      <c r="J184" s="35" t="n">
        <f aca="false">CoreBpsBlended*D184*E184</f>
        <v>2.897</v>
      </c>
      <c r="K184" s="35" t="n">
        <f aca="false">CoreBpsBlended*GrowthModeFactor*D184*F184</f>
        <v>0.2897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6"/>
  </cols>
  <sheetData>
    <row r="1" customFormat="false" ht="17.35" hidden="false" customHeight="false" outlineLevel="0" collapsed="false">
      <c r="A1" s="1" t="s">
        <v>319</v>
      </c>
    </row>
    <row r="2" customFormat="false" ht="15" hidden="false" customHeight="false" outlineLevel="0" collapsed="false">
      <c r="A2" s="15" t="s">
        <v>320</v>
      </c>
    </row>
    <row r="4" customFormat="false" ht="15" hidden="false" customHeight="false" outlineLevel="0" collapsed="false">
      <c r="A4" s="4" t="s">
        <v>321</v>
      </c>
    </row>
    <row r="5" customFormat="false" ht="15" hidden="false" customHeight="false" outlineLevel="0" collapsed="false">
      <c r="A5" s="37" t="s">
        <v>72</v>
      </c>
      <c r="B5" s="37" t="s">
        <v>322</v>
      </c>
      <c r="C5" s="37" t="s">
        <v>323</v>
      </c>
      <c r="D5" s="37" t="s">
        <v>324</v>
      </c>
      <c r="E5" s="37" t="s">
        <v>325</v>
      </c>
      <c r="F5" s="37" t="s">
        <v>326</v>
      </c>
      <c r="G5" s="37" t="s">
        <v>327</v>
      </c>
      <c r="H5" s="37" t="s">
        <v>328</v>
      </c>
      <c r="I5" s="37" t="s">
        <v>329</v>
      </c>
      <c r="J5" s="37" t="s">
        <v>330</v>
      </c>
      <c r="K5" s="37" t="s">
        <v>331</v>
      </c>
      <c r="L5" s="37" t="s">
        <v>332</v>
      </c>
      <c r="M5" s="37" t="s">
        <v>333</v>
      </c>
    </row>
    <row r="6" customFormat="false" ht="15" hidden="false" customHeight="false" outlineLevel="0" collapsed="false">
      <c r="A6" s="36" t="n">
        <v>45943</v>
      </c>
      <c r="B6" s="38" t="n">
        <v>0</v>
      </c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38" t="n">
        <v>24137312.619225</v>
      </c>
      <c r="I6" s="38" t="n">
        <v>0</v>
      </c>
      <c r="J6" s="38" t="n">
        <v>0</v>
      </c>
      <c r="K6" s="38" t="n">
        <v>0</v>
      </c>
      <c r="L6" s="38" t="n">
        <v>0</v>
      </c>
      <c r="M6" s="21" t="n">
        <f aca="false">SUM(B6:L6)</f>
        <v>24137312.619225</v>
      </c>
    </row>
    <row r="7" customFormat="false" ht="15" hidden="false" customHeight="false" outlineLevel="0" collapsed="false">
      <c r="A7" s="36" t="n">
        <v>45944</v>
      </c>
      <c r="B7" s="38" t="n">
        <v>0</v>
      </c>
      <c r="C7" s="38" t="n">
        <v>0</v>
      </c>
      <c r="D7" s="38" t="n">
        <v>0</v>
      </c>
      <c r="E7" s="38" t="n">
        <v>0</v>
      </c>
      <c r="F7" s="38" t="n">
        <v>0</v>
      </c>
      <c r="G7" s="38" t="n">
        <v>0</v>
      </c>
      <c r="H7" s="38" t="n">
        <v>21893627.96875</v>
      </c>
      <c r="I7" s="38" t="n">
        <v>0</v>
      </c>
      <c r="J7" s="38" t="n">
        <v>0</v>
      </c>
      <c r="K7" s="38" t="n">
        <v>0</v>
      </c>
      <c r="L7" s="38" t="n">
        <v>0</v>
      </c>
      <c r="M7" s="21" t="n">
        <f aca="false">SUM(B7:L7)</f>
        <v>21893627.96875</v>
      </c>
    </row>
    <row r="8" customFormat="false" ht="15" hidden="false" customHeight="false" outlineLevel="0" collapsed="false">
      <c r="A8" s="36" t="n">
        <v>45945</v>
      </c>
      <c r="B8" s="38" t="n">
        <v>0</v>
      </c>
      <c r="C8" s="38" t="n">
        <v>0</v>
      </c>
      <c r="D8" s="38" t="n">
        <v>0</v>
      </c>
      <c r="E8" s="38" t="n">
        <v>0</v>
      </c>
      <c r="F8" s="38" t="n">
        <v>0</v>
      </c>
      <c r="G8" s="38" t="n">
        <v>0</v>
      </c>
      <c r="H8" s="38" t="n">
        <v>20602638.15975</v>
      </c>
      <c r="I8" s="38" t="n">
        <v>0</v>
      </c>
      <c r="J8" s="38" t="n">
        <v>0</v>
      </c>
      <c r="K8" s="38" t="n">
        <v>0</v>
      </c>
      <c r="L8" s="38" t="n">
        <v>0</v>
      </c>
      <c r="M8" s="21" t="n">
        <f aca="false">SUM(B8:L8)</f>
        <v>20602638.15975</v>
      </c>
    </row>
    <row r="9" customFormat="false" ht="15" hidden="false" customHeight="false" outlineLevel="0" collapsed="false">
      <c r="A9" s="36" t="n">
        <v>45946</v>
      </c>
      <c r="B9" s="38" t="n">
        <v>0</v>
      </c>
      <c r="C9" s="38" t="n">
        <v>0</v>
      </c>
      <c r="D9" s="38" t="n">
        <v>0</v>
      </c>
      <c r="E9" s="38" t="n">
        <v>0</v>
      </c>
      <c r="F9" s="38" t="n">
        <v>0</v>
      </c>
      <c r="G9" s="38" t="n">
        <v>0</v>
      </c>
      <c r="H9" s="38" t="n">
        <v>19139743.644525</v>
      </c>
      <c r="I9" s="38" t="n">
        <v>0</v>
      </c>
      <c r="J9" s="38" t="n">
        <v>0</v>
      </c>
      <c r="K9" s="38" t="n">
        <v>0</v>
      </c>
      <c r="L9" s="38" t="n">
        <v>0</v>
      </c>
      <c r="M9" s="21" t="n">
        <f aca="false">SUM(B9:L9)</f>
        <v>19139743.644525</v>
      </c>
    </row>
    <row r="10" customFormat="false" ht="15" hidden="false" customHeight="false" outlineLevel="0" collapsed="false">
      <c r="A10" s="36" t="n">
        <v>45947</v>
      </c>
      <c r="B10" s="38" t="n">
        <v>0</v>
      </c>
      <c r="C10" s="38" t="n">
        <v>0</v>
      </c>
      <c r="D10" s="38" t="n">
        <v>0</v>
      </c>
      <c r="E10" s="38" t="n">
        <v>0</v>
      </c>
      <c r="F10" s="38" t="n">
        <v>0</v>
      </c>
      <c r="G10" s="38" t="n">
        <v>0</v>
      </c>
      <c r="H10" s="38" t="n">
        <v>15100795.485</v>
      </c>
      <c r="I10" s="38" t="n">
        <v>0</v>
      </c>
      <c r="J10" s="38" t="n">
        <v>0</v>
      </c>
      <c r="K10" s="38" t="n">
        <v>0</v>
      </c>
      <c r="L10" s="38" t="n">
        <v>0</v>
      </c>
      <c r="M10" s="21" t="n">
        <f aca="false">SUM(B10:L10)</f>
        <v>15100795.485</v>
      </c>
    </row>
    <row r="11" customFormat="false" ht="15" hidden="false" customHeight="false" outlineLevel="0" collapsed="false">
      <c r="A11" s="36" t="n">
        <v>45948</v>
      </c>
      <c r="B11" s="38" t="n">
        <v>0</v>
      </c>
      <c r="C11" s="38" t="n">
        <v>0</v>
      </c>
      <c r="D11" s="38" t="n">
        <v>0</v>
      </c>
      <c r="E11" s="38" t="n">
        <v>0</v>
      </c>
      <c r="F11" s="38" t="n">
        <v>0</v>
      </c>
      <c r="G11" s="38" t="n">
        <v>0</v>
      </c>
      <c r="H11" s="38" t="n">
        <v>6243638.8271</v>
      </c>
      <c r="I11" s="38" t="n">
        <v>0</v>
      </c>
      <c r="J11" s="38" t="n">
        <v>0</v>
      </c>
      <c r="K11" s="38" t="n">
        <v>0</v>
      </c>
      <c r="L11" s="38" t="n">
        <v>0</v>
      </c>
      <c r="M11" s="21" t="n">
        <f aca="false">SUM(B11:L11)</f>
        <v>6243638.8271</v>
      </c>
    </row>
    <row r="12" customFormat="false" ht="15" hidden="false" customHeight="false" outlineLevel="0" collapsed="false">
      <c r="A12" s="36" t="n">
        <v>45949</v>
      </c>
      <c r="B12" s="38" t="n">
        <v>0</v>
      </c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7838676.3525</v>
      </c>
      <c r="I12" s="38" t="n">
        <v>0</v>
      </c>
      <c r="J12" s="38" t="n">
        <v>0</v>
      </c>
      <c r="K12" s="38" t="n">
        <v>0</v>
      </c>
      <c r="L12" s="38" t="n">
        <v>0</v>
      </c>
      <c r="M12" s="21" t="n">
        <f aca="false">SUM(B12:L12)</f>
        <v>7838676.3525</v>
      </c>
    </row>
    <row r="13" customFormat="false" ht="15" hidden="false" customHeight="false" outlineLevel="0" collapsed="false">
      <c r="A13" s="36" t="n">
        <v>45950</v>
      </c>
      <c r="B13" s="38" t="n">
        <v>0</v>
      </c>
      <c r="C13" s="38" t="n">
        <v>0</v>
      </c>
      <c r="D13" s="38" t="n">
        <v>0</v>
      </c>
      <c r="E13" s="38" t="n">
        <v>0</v>
      </c>
      <c r="F13" s="38" t="n">
        <v>0</v>
      </c>
      <c r="G13" s="38" t="n">
        <v>0</v>
      </c>
      <c r="H13" s="38" t="n">
        <v>10597513.02525</v>
      </c>
      <c r="I13" s="38" t="n">
        <v>0</v>
      </c>
      <c r="J13" s="38" t="n">
        <v>0</v>
      </c>
      <c r="K13" s="38" t="n">
        <v>0</v>
      </c>
      <c r="L13" s="38" t="n">
        <v>0</v>
      </c>
      <c r="M13" s="21" t="n">
        <f aca="false">SUM(B13:L13)</f>
        <v>10597513.02525</v>
      </c>
    </row>
    <row r="14" customFormat="false" ht="15" hidden="false" customHeight="false" outlineLevel="0" collapsed="false">
      <c r="A14" s="36" t="n">
        <v>45951</v>
      </c>
      <c r="B14" s="38" t="n">
        <v>0</v>
      </c>
      <c r="C14" s="38" t="n">
        <v>0</v>
      </c>
      <c r="D14" s="38" t="n">
        <v>0</v>
      </c>
      <c r="E14" s="38" t="n">
        <v>0</v>
      </c>
      <c r="F14" s="38" t="n">
        <v>0</v>
      </c>
      <c r="G14" s="38" t="n">
        <v>0</v>
      </c>
      <c r="H14" s="38" t="n">
        <v>23304373.18765</v>
      </c>
      <c r="I14" s="38" t="n">
        <v>0</v>
      </c>
      <c r="J14" s="38" t="n">
        <v>0</v>
      </c>
      <c r="K14" s="38" t="n">
        <v>0</v>
      </c>
      <c r="L14" s="38" t="n">
        <v>0</v>
      </c>
      <c r="M14" s="21" t="n">
        <f aca="false">SUM(B14:L14)</f>
        <v>23304373.18765</v>
      </c>
    </row>
    <row r="15" customFormat="false" ht="15" hidden="false" customHeight="false" outlineLevel="0" collapsed="false">
      <c r="A15" s="36" t="n">
        <v>45952</v>
      </c>
      <c r="B15" s="38" t="n">
        <v>0</v>
      </c>
      <c r="C15" s="38" t="n">
        <v>0</v>
      </c>
      <c r="D15" s="38" t="n">
        <v>0</v>
      </c>
      <c r="E15" s="38" t="n">
        <v>0</v>
      </c>
      <c r="F15" s="38" t="n">
        <v>0</v>
      </c>
      <c r="G15" s="38" t="n">
        <v>0</v>
      </c>
      <c r="H15" s="38" t="n">
        <v>36702796.5465</v>
      </c>
      <c r="I15" s="38" t="n">
        <v>0</v>
      </c>
      <c r="J15" s="38" t="n">
        <v>0</v>
      </c>
      <c r="K15" s="38" t="n">
        <v>0</v>
      </c>
      <c r="L15" s="38" t="n">
        <v>0</v>
      </c>
      <c r="M15" s="21" t="n">
        <f aca="false">SUM(B15:L15)</f>
        <v>36702796.5465</v>
      </c>
    </row>
    <row r="16" customFormat="false" ht="15" hidden="false" customHeight="false" outlineLevel="0" collapsed="false">
      <c r="A16" s="36" t="n">
        <v>45953</v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  <c r="G16" s="38" t="n">
        <v>0</v>
      </c>
      <c r="H16" s="38" t="n">
        <v>30181936.876</v>
      </c>
      <c r="I16" s="38" t="n">
        <v>0</v>
      </c>
      <c r="J16" s="38" t="n">
        <v>0</v>
      </c>
      <c r="K16" s="38" t="n">
        <v>0</v>
      </c>
      <c r="L16" s="38" t="n">
        <v>0</v>
      </c>
      <c r="M16" s="21" t="n">
        <f aca="false">SUM(B16:L16)</f>
        <v>30181936.876</v>
      </c>
    </row>
    <row r="17" customFormat="false" ht="15" hidden="false" customHeight="false" outlineLevel="0" collapsed="false">
      <c r="A17" s="36" t="n">
        <v>45954</v>
      </c>
      <c r="B17" s="38" t="n">
        <v>0</v>
      </c>
      <c r="C17" s="38" t="n">
        <v>0</v>
      </c>
      <c r="D17" s="38" t="n">
        <v>0</v>
      </c>
      <c r="E17" s="38" t="n">
        <v>0</v>
      </c>
      <c r="F17" s="38" t="n">
        <v>0</v>
      </c>
      <c r="G17" s="38" t="n">
        <v>0</v>
      </c>
      <c r="H17" s="38" t="n">
        <v>27291719.5551</v>
      </c>
      <c r="I17" s="38" t="n">
        <v>0</v>
      </c>
      <c r="J17" s="38" t="n">
        <v>0</v>
      </c>
      <c r="K17" s="38" t="n">
        <v>0</v>
      </c>
      <c r="L17" s="38" t="n">
        <v>0</v>
      </c>
      <c r="M17" s="21" t="n">
        <f aca="false">SUM(B17:L17)</f>
        <v>27291719.5551</v>
      </c>
    </row>
    <row r="18" customFormat="false" ht="15" hidden="false" customHeight="false" outlineLevel="0" collapsed="false">
      <c r="A18" s="36" t="n">
        <v>45955</v>
      </c>
      <c r="B18" s="38" t="n">
        <v>0</v>
      </c>
      <c r="C18" s="38" t="n">
        <v>0</v>
      </c>
      <c r="D18" s="38" t="n">
        <v>0</v>
      </c>
      <c r="E18" s="38" t="n">
        <v>0</v>
      </c>
      <c r="F18" s="38" t="n">
        <v>0</v>
      </c>
      <c r="G18" s="38" t="n">
        <v>0</v>
      </c>
      <c r="H18" s="38" t="n">
        <v>49065137.02445</v>
      </c>
      <c r="I18" s="38" t="n">
        <v>0</v>
      </c>
      <c r="J18" s="38" t="n">
        <v>0</v>
      </c>
      <c r="K18" s="38" t="n">
        <v>0</v>
      </c>
      <c r="L18" s="38" t="n">
        <v>0</v>
      </c>
      <c r="M18" s="21" t="n">
        <f aca="false">SUM(B18:L18)</f>
        <v>49065137.02445</v>
      </c>
    </row>
    <row r="19" customFormat="false" ht="15" hidden="false" customHeight="false" outlineLevel="0" collapsed="false">
      <c r="A19" s="36" t="n">
        <v>45956</v>
      </c>
      <c r="B19" s="38" t="n">
        <v>0</v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0</v>
      </c>
      <c r="H19" s="38" t="n">
        <v>47095459.857925</v>
      </c>
      <c r="I19" s="38" t="n">
        <v>0</v>
      </c>
      <c r="J19" s="38" t="n">
        <v>0</v>
      </c>
      <c r="K19" s="38" t="n">
        <v>0</v>
      </c>
      <c r="L19" s="38" t="n">
        <v>0</v>
      </c>
      <c r="M19" s="21" t="n">
        <f aca="false">SUM(B19:L19)</f>
        <v>47095459.857925</v>
      </c>
    </row>
    <row r="20" customFormat="false" ht="15" hidden="false" customHeight="false" outlineLevel="0" collapsed="false">
      <c r="A20" s="36" t="n">
        <v>45957</v>
      </c>
      <c r="B20" s="38" t="n">
        <v>0</v>
      </c>
      <c r="C20" s="38" t="n">
        <v>0</v>
      </c>
      <c r="D20" s="38" t="n">
        <v>0</v>
      </c>
      <c r="E20" s="38" t="n">
        <v>0</v>
      </c>
      <c r="F20" s="38" t="n">
        <v>0</v>
      </c>
      <c r="G20" s="38" t="n">
        <v>0</v>
      </c>
      <c r="H20" s="38" t="n">
        <v>65432776.4124</v>
      </c>
      <c r="I20" s="38" t="n">
        <v>0</v>
      </c>
      <c r="J20" s="38" t="n">
        <v>0</v>
      </c>
      <c r="K20" s="38" t="n">
        <v>0</v>
      </c>
      <c r="L20" s="38" t="n">
        <v>0</v>
      </c>
      <c r="M20" s="21" t="n">
        <f aca="false">SUM(B20:L20)</f>
        <v>65432776.4124</v>
      </c>
    </row>
    <row r="21" customFormat="false" ht="15" hidden="false" customHeight="false" outlineLevel="0" collapsed="false">
      <c r="A21" s="36" t="n">
        <v>45958</v>
      </c>
      <c r="B21" s="38" t="n">
        <v>0</v>
      </c>
      <c r="C21" s="38" t="n">
        <v>0</v>
      </c>
      <c r="D21" s="38" t="n">
        <v>0</v>
      </c>
      <c r="E21" s="38" t="n">
        <v>0</v>
      </c>
      <c r="F21" s="38" t="n">
        <v>0</v>
      </c>
      <c r="G21" s="38" t="n">
        <v>0</v>
      </c>
      <c r="H21" s="38" t="n">
        <v>80509374.283675</v>
      </c>
      <c r="I21" s="38" t="n">
        <v>0</v>
      </c>
      <c r="J21" s="38" t="n">
        <v>0</v>
      </c>
      <c r="K21" s="38" t="n">
        <v>0</v>
      </c>
      <c r="L21" s="38" t="n">
        <v>0</v>
      </c>
      <c r="M21" s="21" t="n">
        <f aca="false">SUM(B21:L21)</f>
        <v>80509374.283675</v>
      </c>
    </row>
    <row r="22" customFormat="false" ht="15" hidden="false" customHeight="false" outlineLevel="0" collapsed="false">
      <c r="A22" s="36" t="n">
        <v>45959</v>
      </c>
      <c r="B22" s="38" t="n">
        <v>0</v>
      </c>
      <c r="C22" s="38" t="n">
        <v>0</v>
      </c>
      <c r="D22" s="38" t="n">
        <v>0</v>
      </c>
      <c r="E22" s="38" t="n">
        <v>0</v>
      </c>
      <c r="F22" s="38" t="n">
        <v>0</v>
      </c>
      <c r="G22" s="38" t="n">
        <v>0</v>
      </c>
      <c r="H22" s="38" t="n">
        <v>94164067.4926</v>
      </c>
      <c r="I22" s="38" t="n">
        <v>0</v>
      </c>
      <c r="J22" s="38" t="n">
        <v>0</v>
      </c>
      <c r="K22" s="38" t="n">
        <v>0</v>
      </c>
      <c r="L22" s="38" t="n">
        <v>0</v>
      </c>
      <c r="M22" s="21" t="n">
        <f aca="false">SUM(B22:L22)</f>
        <v>94164067.4926</v>
      </c>
    </row>
    <row r="23" customFormat="false" ht="15" hidden="false" customHeight="false" outlineLevel="0" collapsed="false">
      <c r="A23" s="36" t="n">
        <v>45960</v>
      </c>
      <c r="B23" s="38" t="n">
        <v>0</v>
      </c>
      <c r="C23" s="38" t="n">
        <v>0</v>
      </c>
      <c r="D23" s="38" t="n">
        <v>0</v>
      </c>
      <c r="E23" s="38" t="n">
        <v>0</v>
      </c>
      <c r="F23" s="38" t="n">
        <v>0</v>
      </c>
      <c r="G23" s="38" t="n">
        <v>0</v>
      </c>
      <c r="H23" s="38" t="n">
        <v>116186101.457325</v>
      </c>
      <c r="I23" s="38" t="n">
        <v>0</v>
      </c>
      <c r="J23" s="38" t="n">
        <v>0</v>
      </c>
      <c r="K23" s="38" t="n">
        <v>0</v>
      </c>
      <c r="L23" s="38" t="n">
        <v>0</v>
      </c>
      <c r="M23" s="21" t="n">
        <f aca="false">SUM(B23:L23)</f>
        <v>116186101.457325</v>
      </c>
    </row>
    <row r="24" customFormat="false" ht="15" hidden="false" customHeight="false" outlineLevel="0" collapsed="false">
      <c r="A24" s="36" t="n">
        <v>45961</v>
      </c>
      <c r="B24" s="38" t="n">
        <v>0</v>
      </c>
      <c r="C24" s="38" t="n">
        <v>0</v>
      </c>
      <c r="D24" s="38" t="n">
        <v>0</v>
      </c>
      <c r="E24" s="38" t="n">
        <v>0</v>
      </c>
      <c r="F24" s="38" t="n">
        <v>0</v>
      </c>
      <c r="G24" s="38" t="n">
        <v>0</v>
      </c>
      <c r="H24" s="38" t="n">
        <v>60153173.3984</v>
      </c>
      <c r="I24" s="38" t="n">
        <v>0</v>
      </c>
      <c r="J24" s="38" t="n">
        <v>0</v>
      </c>
      <c r="K24" s="38" t="n">
        <v>0</v>
      </c>
      <c r="L24" s="38" t="n">
        <v>0</v>
      </c>
      <c r="M24" s="21" t="n">
        <f aca="false">SUM(B24:L24)</f>
        <v>60153173.3984</v>
      </c>
    </row>
    <row r="25" customFormat="false" ht="15" hidden="false" customHeight="false" outlineLevel="0" collapsed="false">
      <c r="A25" s="36" t="n">
        <v>45962</v>
      </c>
      <c r="B25" s="38" t="n">
        <v>0</v>
      </c>
      <c r="C25" s="38" t="n">
        <v>0</v>
      </c>
      <c r="D25" s="38" t="n">
        <v>0</v>
      </c>
      <c r="E25" s="38" t="n">
        <v>0</v>
      </c>
      <c r="F25" s="38" t="n">
        <v>0</v>
      </c>
      <c r="G25" s="38" t="n">
        <v>0</v>
      </c>
      <c r="H25" s="38" t="n">
        <v>44938796.7807</v>
      </c>
      <c r="I25" s="38" t="n">
        <v>0</v>
      </c>
      <c r="J25" s="38" t="n">
        <v>0</v>
      </c>
      <c r="K25" s="38" t="n">
        <v>0</v>
      </c>
      <c r="L25" s="38" t="n">
        <v>0</v>
      </c>
      <c r="M25" s="21" t="n">
        <f aca="false">SUM(B25:L25)</f>
        <v>44938796.7807</v>
      </c>
    </row>
    <row r="26" customFormat="false" ht="15" hidden="false" customHeight="false" outlineLevel="0" collapsed="false">
      <c r="A26" s="36" t="n">
        <v>45963</v>
      </c>
      <c r="B26" s="38" t="n">
        <v>0</v>
      </c>
      <c r="C26" s="38" t="n">
        <v>0</v>
      </c>
      <c r="D26" s="38" t="n">
        <v>0</v>
      </c>
      <c r="E26" s="38" t="n">
        <v>0</v>
      </c>
      <c r="F26" s="38" t="n">
        <v>0</v>
      </c>
      <c r="G26" s="38" t="n">
        <v>0</v>
      </c>
      <c r="H26" s="38" t="n">
        <v>32927392.5613</v>
      </c>
      <c r="I26" s="38" t="n">
        <v>0</v>
      </c>
      <c r="J26" s="38" t="n">
        <v>0</v>
      </c>
      <c r="K26" s="38" t="n">
        <v>0</v>
      </c>
      <c r="L26" s="38" t="n">
        <v>0</v>
      </c>
      <c r="M26" s="21" t="n">
        <f aca="false">SUM(B26:L26)</f>
        <v>32927392.5613</v>
      </c>
    </row>
    <row r="27" customFormat="false" ht="15" hidden="false" customHeight="false" outlineLevel="0" collapsed="false">
      <c r="A27" s="36" t="n">
        <v>45964</v>
      </c>
      <c r="B27" s="38" t="n">
        <v>0</v>
      </c>
      <c r="C27" s="38" t="n">
        <v>0</v>
      </c>
      <c r="D27" s="38" t="n">
        <v>0</v>
      </c>
      <c r="E27" s="38" t="n">
        <v>0</v>
      </c>
      <c r="F27" s="38" t="n">
        <v>0</v>
      </c>
      <c r="G27" s="38" t="n">
        <v>0</v>
      </c>
      <c r="H27" s="38" t="n">
        <v>76756338.6098</v>
      </c>
      <c r="I27" s="38" t="n">
        <v>0</v>
      </c>
      <c r="J27" s="38" t="n">
        <v>0</v>
      </c>
      <c r="K27" s="38" t="n">
        <v>0</v>
      </c>
      <c r="L27" s="38" t="n">
        <v>0</v>
      </c>
      <c r="M27" s="21" t="n">
        <f aca="false">SUM(B27:L27)</f>
        <v>76756338.6098</v>
      </c>
    </row>
    <row r="28" customFormat="false" ht="15" hidden="false" customHeight="false" outlineLevel="0" collapsed="false">
      <c r="A28" s="36" t="n">
        <v>45965</v>
      </c>
      <c r="B28" s="38" t="n">
        <v>0</v>
      </c>
      <c r="C28" s="38" t="n">
        <v>0</v>
      </c>
      <c r="D28" s="38" t="n">
        <v>0</v>
      </c>
      <c r="E28" s="38" t="n">
        <v>0</v>
      </c>
      <c r="F28" s="38" t="n">
        <v>0</v>
      </c>
      <c r="G28" s="38" t="n">
        <v>0</v>
      </c>
      <c r="H28" s="38" t="n">
        <v>77109245.0474</v>
      </c>
      <c r="I28" s="38" t="n">
        <v>0</v>
      </c>
      <c r="J28" s="38" t="n">
        <v>0</v>
      </c>
      <c r="K28" s="38" t="n">
        <v>0</v>
      </c>
      <c r="L28" s="38" t="n">
        <v>0</v>
      </c>
      <c r="M28" s="21" t="n">
        <f aca="false">SUM(B28:L28)</f>
        <v>77109245.0474</v>
      </c>
    </row>
    <row r="29" customFormat="false" ht="15" hidden="false" customHeight="false" outlineLevel="0" collapsed="false">
      <c r="A29" s="36" t="n">
        <v>45966</v>
      </c>
      <c r="B29" s="38" t="n">
        <v>0</v>
      </c>
      <c r="C29" s="38" t="n">
        <v>0</v>
      </c>
      <c r="D29" s="38" t="n">
        <v>0</v>
      </c>
      <c r="E29" s="38" t="n">
        <v>0</v>
      </c>
      <c r="F29" s="38" t="n">
        <v>0</v>
      </c>
      <c r="G29" s="38" t="n">
        <v>0</v>
      </c>
      <c r="H29" s="38" t="n">
        <v>74217407.9257</v>
      </c>
      <c r="I29" s="38" t="n">
        <v>0</v>
      </c>
      <c r="J29" s="38" t="n">
        <v>0</v>
      </c>
      <c r="K29" s="38" t="n">
        <v>0</v>
      </c>
      <c r="L29" s="38" t="n">
        <v>0</v>
      </c>
      <c r="M29" s="21" t="n">
        <f aca="false">SUM(B29:L29)</f>
        <v>74217407.9257</v>
      </c>
    </row>
    <row r="30" customFormat="false" ht="15" hidden="false" customHeight="false" outlineLevel="0" collapsed="false">
      <c r="A30" s="36" t="n">
        <v>45967</v>
      </c>
      <c r="B30" s="38" t="n">
        <v>0</v>
      </c>
      <c r="C30" s="38" t="n">
        <v>0</v>
      </c>
      <c r="D30" s="38" t="n">
        <v>0</v>
      </c>
      <c r="E30" s="38" t="n">
        <v>0</v>
      </c>
      <c r="F30" s="38" t="n">
        <v>0</v>
      </c>
      <c r="G30" s="38" t="n">
        <v>0</v>
      </c>
      <c r="H30" s="38" t="n">
        <v>72511086.722625</v>
      </c>
      <c r="I30" s="38" t="n">
        <v>0</v>
      </c>
      <c r="J30" s="38" t="n">
        <v>0</v>
      </c>
      <c r="K30" s="38" t="n">
        <v>0</v>
      </c>
      <c r="L30" s="38" t="n">
        <v>0</v>
      </c>
      <c r="M30" s="21" t="n">
        <f aca="false">SUM(B30:L30)</f>
        <v>72511086.722625</v>
      </c>
    </row>
    <row r="31" customFormat="false" ht="15" hidden="false" customHeight="false" outlineLevel="0" collapsed="false">
      <c r="A31" s="36" t="n">
        <v>45968</v>
      </c>
      <c r="B31" s="38" t="n">
        <v>0</v>
      </c>
      <c r="C31" s="38" t="n">
        <v>0</v>
      </c>
      <c r="D31" s="38" t="n">
        <v>0</v>
      </c>
      <c r="E31" s="38" t="n">
        <v>0</v>
      </c>
      <c r="F31" s="38" t="n">
        <v>0</v>
      </c>
      <c r="G31" s="38" t="n">
        <v>0</v>
      </c>
      <c r="H31" s="38" t="n">
        <v>86634638.029225</v>
      </c>
      <c r="I31" s="38" t="n">
        <v>0</v>
      </c>
      <c r="J31" s="38" t="n">
        <v>0</v>
      </c>
      <c r="K31" s="38" t="n">
        <v>0</v>
      </c>
      <c r="L31" s="38" t="n">
        <v>0</v>
      </c>
      <c r="M31" s="21" t="n">
        <f aca="false">SUM(B31:L31)</f>
        <v>86634638.029225</v>
      </c>
    </row>
    <row r="32" customFormat="false" ht="15" hidden="false" customHeight="false" outlineLevel="0" collapsed="false">
      <c r="A32" s="36" t="n">
        <v>45969</v>
      </c>
      <c r="B32" s="38" t="n">
        <v>0</v>
      </c>
      <c r="C32" s="38" t="n">
        <v>0</v>
      </c>
      <c r="D32" s="38" t="n">
        <v>0</v>
      </c>
      <c r="E32" s="38" t="n">
        <v>0</v>
      </c>
      <c r="F32" s="38" t="n">
        <v>0</v>
      </c>
      <c r="G32" s="38" t="n">
        <v>0</v>
      </c>
      <c r="H32" s="38" t="n">
        <v>17356871.90585</v>
      </c>
      <c r="I32" s="38" t="n">
        <v>0</v>
      </c>
      <c r="J32" s="38" t="n">
        <v>0</v>
      </c>
      <c r="K32" s="38" t="n">
        <v>0</v>
      </c>
      <c r="L32" s="38" t="n">
        <v>0</v>
      </c>
      <c r="M32" s="21" t="n">
        <f aca="false">SUM(B32:L32)</f>
        <v>17356871.90585</v>
      </c>
    </row>
    <row r="33" customFormat="false" ht="15" hidden="false" customHeight="false" outlineLevel="0" collapsed="false">
      <c r="A33" s="36" t="n">
        <v>45970</v>
      </c>
      <c r="B33" s="38" t="n">
        <v>0</v>
      </c>
      <c r="C33" s="38" t="n">
        <v>0</v>
      </c>
      <c r="D33" s="38" t="n">
        <v>0</v>
      </c>
      <c r="E33" s="38" t="n">
        <v>0</v>
      </c>
      <c r="F33" s="38" t="n">
        <v>0</v>
      </c>
      <c r="G33" s="38" t="n">
        <v>0</v>
      </c>
      <c r="H33" s="38" t="n">
        <v>35955133.884225</v>
      </c>
      <c r="I33" s="38" t="n">
        <v>0</v>
      </c>
      <c r="J33" s="38" t="n">
        <v>0</v>
      </c>
      <c r="K33" s="38" t="n">
        <v>0</v>
      </c>
      <c r="L33" s="38" t="n">
        <v>0</v>
      </c>
      <c r="M33" s="21" t="n">
        <f aca="false">SUM(B33:L33)</f>
        <v>35955133.884225</v>
      </c>
    </row>
    <row r="34" customFormat="false" ht="15" hidden="false" customHeight="false" outlineLevel="0" collapsed="false">
      <c r="A34" s="36" t="n">
        <v>45971</v>
      </c>
      <c r="B34" s="38" t="n">
        <v>0</v>
      </c>
      <c r="C34" s="38" t="n">
        <v>0</v>
      </c>
      <c r="D34" s="38" t="n">
        <v>0</v>
      </c>
      <c r="E34" s="38" t="n">
        <v>0</v>
      </c>
      <c r="F34" s="38" t="n">
        <v>0</v>
      </c>
      <c r="G34" s="38" t="n">
        <v>0</v>
      </c>
      <c r="H34" s="38" t="n">
        <v>48261325.34615</v>
      </c>
      <c r="I34" s="38" t="n">
        <v>0</v>
      </c>
      <c r="J34" s="38" t="n">
        <v>0</v>
      </c>
      <c r="K34" s="38" t="n">
        <v>0</v>
      </c>
      <c r="L34" s="38" t="n">
        <v>0</v>
      </c>
      <c r="M34" s="21" t="n">
        <f aca="false">SUM(B34:L34)</f>
        <v>48261325.34615</v>
      </c>
    </row>
    <row r="35" customFormat="false" ht="15" hidden="false" customHeight="false" outlineLevel="0" collapsed="false">
      <c r="A35" s="36" t="n">
        <v>45972</v>
      </c>
      <c r="B35" s="38" t="n">
        <v>0</v>
      </c>
      <c r="C35" s="38" t="n">
        <v>0</v>
      </c>
      <c r="D35" s="38" t="n">
        <v>0</v>
      </c>
      <c r="E35" s="38" t="n">
        <v>0</v>
      </c>
      <c r="F35" s="38" t="n">
        <v>0</v>
      </c>
      <c r="G35" s="38" t="n">
        <v>0</v>
      </c>
      <c r="H35" s="38" t="n">
        <v>51953191.468975</v>
      </c>
      <c r="I35" s="38" t="n">
        <v>0</v>
      </c>
      <c r="J35" s="38" t="n">
        <v>0</v>
      </c>
      <c r="K35" s="38" t="n">
        <v>0</v>
      </c>
      <c r="L35" s="38" t="n">
        <v>0</v>
      </c>
      <c r="M35" s="21" t="n">
        <f aca="false">SUM(B35:L35)</f>
        <v>51953191.468975</v>
      </c>
    </row>
    <row r="36" customFormat="false" ht="15" hidden="false" customHeight="false" outlineLevel="0" collapsed="false">
      <c r="A36" s="36" t="n">
        <v>45973</v>
      </c>
      <c r="B36" s="38" t="n">
        <v>0</v>
      </c>
      <c r="C36" s="38" t="n">
        <v>0</v>
      </c>
      <c r="D36" s="38" t="n">
        <v>0</v>
      </c>
      <c r="E36" s="38" t="n">
        <v>0</v>
      </c>
      <c r="F36" s="38" t="n">
        <v>0</v>
      </c>
      <c r="G36" s="38" t="n">
        <v>6967685.086375</v>
      </c>
      <c r="H36" s="38" t="n">
        <v>48396103.62405</v>
      </c>
      <c r="I36" s="38" t="n">
        <v>0</v>
      </c>
      <c r="J36" s="38" t="n">
        <v>0</v>
      </c>
      <c r="K36" s="38" t="n">
        <v>0</v>
      </c>
      <c r="L36" s="38" t="n">
        <v>0</v>
      </c>
      <c r="M36" s="21" t="n">
        <f aca="false">SUM(B36:L36)</f>
        <v>55363788.710425</v>
      </c>
    </row>
    <row r="37" customFormat="false" ht="15" hidden="false" customHeight="false" outlineLevel="0" collapsed="false">
      <c r="A37" s="36" t="n">
        <v>45974</v>
      </c>
      <c r="B37" s="38" t="n">
        <v>0</v>
      </c>
      <c r="C37" s="38" t="n">
        <v>0</v>
      </c>
      <c r="D37" s="38" t="n">
        <v>0</v>
      </c>
      <c r="E37" s="38" t="n">
        <v>0</v>
      </c>
      <c r="F37" s="38" t="n">
        <v>0</v>
      </c>
      <c r="G37" s="38" t="n">
        <v>29670140.49129</v>
      </c>
      <c r="H37" s="38" t="n">
        <v>47990010.09075</v>
      </c>
      <c r="I37" s="38" t="n">
        <v>0</v>
      </c>
      <c r="J37" s="38" t="n">
        <v>0</v>
      </c>
      <c r="K37" s="38" t="n">
        <v>241929.2059875</v>
      </c>
      <c r="L37" s="38" t="n">
        <v>0</v>
      </c>
      <c r="M37" s="21" t="n">
        <f aca="false">SUM(B37:L37)</f>
        <v>77902079.7880275</v>
      </c>
    </row>
    <row r="38" customFormat="false" ht="15" hidden="false" customHeight="false" outlineLevel="0" collapsed="false">
      <c r="A38" s="36" t="n">
        <v>45975</v>
      </c>
      <c r="B38" s="38" t="n">
        <v>0</v>
      </c>
      <c r="C38" s="38" t="n">
        <v>0</v>
      </c>
      <c r="D38" s="38" t="n">
        <v>0</v>
      </c>
      <c r="E38" s="38" t="n">
        <v>0</v>
      </c>
      <c r="F38" s="38" t="n">
        <v>0</v>
      </c>
      <c r="G38" s="38" t="n">
        <v>36124250.44081</v>
      </c>
      <c r="H38" s="38" t="n">
        <v>46570853.68665</v>
      </c>
      <c r="I38" s="38" t="n">
        <v>0</v>
      </c>
      <c r="J38" s="38" t="n">
        <v>0</v>
      </c>
      <c r="K38" s="38" t="n">
        <v>265065.055145</v>
      </c>
      <c r="L38" s="38" t="n">
        <v>0</v>
      </c>
      <c r="M38" s="21" t="n">
        <f aca="false">SUM(B38:L38)</f>
        <v>82960169.182605</v>
      </c>
    </row>
    <row r="39" customFormat="false" ht="15" hidden="false" customHeight="false" outlineLevel="0" collapsed="false">
      <c r="A39" s="36" t="n">
        <v>45976</v>
      </c>
      <c r="B39" s="38" t="n">
        <v>0</v>
      </c>
      <c r="C39" s="38" t="n">
        <v>0</v>
      </c>
      <c r="D39" s="38" t="n">
        <v>0</v>
      </c>
      <c r="E39" s="38" t="n">
        <v>0</v>
      </c>
      <c r="F39" s="38" t="n">
        <v>0</v>
      </c>
      <c r="G39" s="38" t="n">
        <v>10870525.66435</v>
      </c>
      <c r="H39" s="38" t="n">
        <v>17787921.298</v>
      </c>
      <c r="I39" s="38" t="n">
        <v>0</v>
      </c>
      <c r="J39" s="38" t="n">
        <v>0</v>
      </c>
      <c r="K39" s="38" t="n">
        <v>266210.79912</v>
      </c>
      <c r="L39" s="38" t="n">
        <v>0</v>
      </c>
      <c r="M39" s="21" t="n">
        <f aca="false">SUM(B39:L39)</f>
        <v>28924657.76147</v>
      </c>
    </row>
    <row r="40" customFormat="false" ht="15" hidden="false" customHeight="false" outlineLevel="0" collapsed="false">
      <c r="A40" s="36" t="n">
        <v>45977</v>
      </c>
      <c r="B40" s="38" t="n">
        <v>0</v>
      </c>
      <c r="C40" s="38" t="n">
        <v>0</v>
      </c>
      <c r="D40" s="38" t="n">
        <v>0</v>
      </c>
      <c r="E40" s="38" t="n">
        <v>0</v>
      </c>
      <c r="F40" s="38" t="n">
        <v>0</v>
      </c>
      <c r="G40" s="38" t="n">
        <v>10632814.1989775</v>
      </c>
      <c r="H40" s="38" t="n">
        <v>27862258.64175</v>
      </c>
      <c r="I40" s="38" t="n">
        <v>0</v>
      </c>
      <c r="J40" s="38" t="n">
        <v>0</v>
      </c>
      <c r="K40" s="38" t="n">
        <v>544556.8262675</v>
      </c>
      <c r="L40" s="38" t="n">
        <v>0</v>
      </c>
      <c r="M40" s="21" t="n">
        <f aca="false">SUM(B40:L40)</f>
        <v>39039629.666995</v>
      </c>
    </row>
    <row r="41" customFormat="false" ht="15" hidden="false" customHeight="false" outlineLevel="0" collapsed="false">
      <c r="A41" s="36" t="n">
        <v>45978</v>
      </c>
      <c r="B41" s="38" t="n">
        <v>0</v>
      </c>
      <c r="C41" s="38" t="n">
        <v>0</v>
      </c>
      <c r="D41" s="38" t="n">
        <v>0</v>
      </c>
      <c r="E41" s="38" t="n">
        <v>0</v>
      </c>
      <c r="F41" s="38" t="n">
        <v>0</v>
      </c>
      <c r="G41" s="38" t="n">
        <v>56505881.637505</v>
      </c>
      <c r="H41" s="38" t="n">
        <v>68345219.701</v>
      </c>
      <c r="I41" s="38" t="n">
        <v>0</v>
      </c>
      <c r="J41" s="38" t="n">
        <v>0</v>
      </c>
      <c r="K41" s="38" t="n">
        <v>156318.231025</v>
      </c>
      <c r="L41" s="38" t="n">
        <v>0</v>
      </c>
      <c r="M41" s="21" t="n">
        <f aca="false">SUM(B41:L41)</f>
        <v>125007419.56953</v>
      </c>
    </row>
    <row r="42" customFormat="false" ht="15" hidden="false" customHeight="false" outlineLevel="0" collapsed="false">
      <c r="A42" s="36" t="n">
        <v>45979</v>
      </c>
      <c r="B42" s="38" t="n">
        <v>0</v>
      </c>
      <c r="C42" s="38" t="n">
        <v>0</v>
      </c>
      <c r="D42" s="38" t="n">
        <v>0</v>
      </c>
      <c r="E42" s="38" t="n">
        <v>0</v>
      </c>
      <c r="F42" s="38" t="n">
        <v>0</v>
      </c>
      <c r="G42" s="38" t="n">
        <v>63041750.150845</v>
      </c>
      <c r="H42" s="38" t="n">
        <v>80071589.9458</v>
      </c>
      <c r="I42" s="38" t="n">
        <v>0</v>
      </c>
      <c r="J42" s="38" t="n">
        <v>0</v>
      </c>
      <c r="K42" s="38" t="n">
        <v>420655.35942</v>
      </c>
      <c r="L42" s="38" t="n">
        <v>0</v>
      </c>
      <c r="M42" s="21" t="n">
        <f aca="false">SUM(B42:L42)</f>
        <v>143533995.456065</v>
      </c>
    </row>
    <row r="43" customFormat="false" ht="15" hidden="false" customHeight="false" outlineLevel="0" collapsed="false">
      <c r="A43" s="36" t="n">
        <v>45980</v>
      </c>
      <c r="B43" s="38" t="n">
        <v>0</v>
      </c>
      <c r="C43" s="38" t="n">
        <v>0</v>
      </c>
      <c r="D43" s="38" t="n">
        <v>0</v>
      </c>
      <c r="E43" s="38" t="n">
        <v>0</v>
      </c>
      <c r="F43" s="38" t="n">
        <v>0</v>
      </c>
      <c r="G43" s="38" t="n">
        <v>147847068.962143</v>
      </c>
      <c r="H43" s="38" t="n">
        <v>83049187.1817</v>
      </c>
      <c r="I43" s="38" t="n">
        <v>0</v>
      </c>
      <c r="J43" s="38" t="n">
        <v>0</v>
      </c>
      <c r="K43" s="38" t="n">
        <v>748791.5942675</v>
      </c>
      <c r="L43" s="38" t="n">
        <v>0</v>
      </c>
      <c r="M43" s="21" t="n">
        <f aca="false">SUM(B43:L43)</f>
        <v>231645047.73811</v>
      </c>
    </row>
    <row r="44" customFormat="false" ht="15" hidden="false" customHeight="false" outlineLevel="0" collapsed="false">
      <c r="A44" s="36" t="n">
        <v>45981</v>
      </c>
      <c r="B44" s="38" t="n">
        <v>0</v>
      </c>
      <c r="C44" s="38" t="n">
        <v>0</v>
      </c>
      <c r="D44" s="38" t="n">
        <v>0</v>
      </c>
      <c r="E44" s="38" t="n">
        <v>0</v>
      </c>
      <c r="F44" s="38" t="n">
        <v>0</v>
      </c>
      <c r="G44" s="38" t="n">
        <v>163377915.78519</v>
      </c>
      <c r="H44" s="38" t="n">
        <v>148951649.03985</v>
      </c>
      <c r="I44" s="38" t="n">
        <v>0</v>
      </c>
      <c r="J44" s="38" t="n">
        <v>0</v>
      </c>
      <c r="K44" s="38" t="n">
        <v>1675248.20355</v>
      </c>
      <c r="L44" s="38" t="n">
        <v>0</v>
      </c>
      <c r="M44" s="21" t="n">
        <f aca="false">SUM(B44:L44)</f>
        <v>314004813.02859</v>
      </c>
    </row>
    <row r="45" customFormat="false" ht="15" hidden="false" customHeight="false" outlineLevel="0" collapsed="false">
      <c r="A45" s="36" t="n">
        <v>45982</v>
      </c>
      <c r="B45" s="38" t="n">
        <v>0</v>
      </c>
      <c r="C45" s="38" t="n">
        <v>0</v>
      </c>
      <c r="D45" s="38" t="n">
        <v>0</v>
      </c>
      <c r="E45" s="38" t="n">
        <v>0</v>
      </c>
      <c r="F45" s="38" t="n">
        <v>0</v>
      </c>
      <c r="G45" s="38" t="n">
        <v>190704172.20945</v>
      </c>
      <c r="H45" s="38" t="n">
        <v>128624835.8876</v>
      </c>
      <c r="I45" s="38" t="n">
        <v>0</v>
      </c>
      <c r="J45" s="38" t="n">
        <v>0</v>
      </c>
      <c r="K45" s="38" t="n">
        <v>1680459.5818775</v>
      </c>
      <c r="L45" s="38" t="n">
        <v>0</v>
      </c>
      <c r="M45" s="21" t="n">
        <f aca="false">SUM(B45:L45)</f>
        <v>321009467.678928</v>
      </c>
    </row>
    <row r="46" customFormat="false" ht="15" hidden="false" customHeight="false" outlineLevel="0" collapsed="false">
      <c r="A46" s="36" t="n">
        <v>45983</v>
      </c>
      <c r="B46" s="38" t="n">
        <v>0</v>
      </c>
      <c r="C46" s="38" t="n">
        <v>0</v>
      </c>
      <c r="D46" s="38" t="n">
        <v>0</v>
      </c>
      <c r="E46" s="38" t="n">
        <v>0</v>
      </c>
      <c r="F46" s="38" t="n">
        <v>0</v>
      </c>
      <c r="G46" s="38" t="n">
        <v>19582749.7070275</v>
      </c>
      <c r="H46" s="38" t="n">
        <v>34555758.2472</v>
      </c>
      <c r="I46" s="38" t="n">
        <v>0</v>
      </c>
      <c r="J46" s="38" t="n">
        <v>0</v>
      </c>
      <c r="K46" s="38" t="n">
        <v>2341469.878115</v>
      </c>
      <c r="L46" s="38" t="n">
        <v>0</v>
      </c>
      <c r="M46" s="21" t="n">
        <f aca="false">SUM(B46:L46)</f>
        <v>56479977.8323425</v>
      </c>
    </row>
    <row r="47" customFormat="false" ht="15" hidden="false" customHeight="false" outlineLevel="0" collapsed="false">
      <c r="A47" s="36" t="n">
        <v>45984</v>
      </c>
      <c r="B47" s="38" t="n">
        <v>0</v>
      </c>
      <c r="C47" s="38" t="n">
        <v>0</v>
      </c>
      <c r="D47" s="38" t="n">
        <v>0</v>
      </c>
      <c r="E47" s="38" t="n">
        <v>0</v>
      </c>
      <c r="F47" s="38" t="n">
        <v>0</v>
      </c>
      <c r="G47" s="38" t="n">
        <v>20088852.0118075</v>
      </c>
      <c r="H47" s="38" t="n">
        <v>32402280.74395</v>
      </c>
      <c r="I47" s="38" t="n">
        <v>0</v>
      </c>
      <c r="J47" s="38" t="n">
        <v>0</v>
      </c>
      <c r="K47" s="38" t="n">
        <v>1893302.30649</v>
      </c>
      <c r="L47" s="38" t="n">
        <v>0</v>
      </c>
      <c r="M47" s="21" t="n">
        <f aca="false">SUM(B47:L47)</f>
        <v>54384435.0622475</v>
      </c>
    </row>
    <row r="48" customFormat="false" ht="15" hidden="false" customHeight="false" outlineLevel="0" collapsed="false">
      <c r="A48" s="36" t="n">
        <v>45985</v>
      </c>
      <c r="B48" s="38" t="n">
        <v>0</v>
      </c>
      <c r="C48" s="38" t="n">
        <v>0</v>
      </c>
      <c r="D48" s="38" t="n">
        <v>0</v>
      </c>
      <c r="E48" s="38" t="n">
        <v>0</v>
      </c>
      <c r="F48" s="38" t="n">
        <v>1279442.87946</v>
      </c>
      <c r="G48" s="38" t="n">
        <v>156238985.712663</v>
      </c>
      <c r="H48" s="38" t="n">
        <v>286337454.1566</v>
      </c>
      <c r="I48" s="38" t="n">
        <v>0</v>
      </c>
      <c r="J48" s="38" t="n">
        <v>0</v>
      </c>
      <c r="K48" s="38" t="n">
        <v>3335596.5961925</v>
      </c>
      <c r="L48" s="38" t="n">
        <v>0</v>
      </c>
      <c r="M48" s="21" t="n">
        <f aca="false">SUM(B48:L48)</f>
        <v>447191479.344915</v>
      </c>
    </row>
    <row r="49" customFormat="false" ht="15" hidden="false" customHeight="false" outlineLevel="0" collapsed="false">
      <c r="A49" s="36" t="n">
        <v>45986</v>
      </c>
      <c r="B49" s="38" t="n">
        <v>0</v>
      </c>
      <c r="C49" s="38" t="n">
        <v>0</v>
      </c>
      <c r="D49" s="38" t="n">
        <v>0</v>
      </c>
      <c r="E49" s="38" t="n">
        <v>0</v>
      </c>
      <c r="F49" s="38" t="n">
        <v>7990974.827205</v>
      </c>
      <c r="G49" s="38" t="n">
        <v>202750672.257125</v>
      </c>
      <c r="H49" s="38" t="n">
        <v>314259525.8055</v>
      </c>
      <c r="I49" s="38" t="n">
        <v>0</v>
      </c>
      <c r="J49" s="38" t="n">
        <v>0</v>
      </c>
      <c r="K49" s="38" t="n">
        <v>2410522.7707525</v>
      </c>
      <c r="L49" s="38" t="n">
        <v>0</v>
      </c>
      <c r="M49" s="21" t="n">
        <f aca="false">SUM(B49:L49)</f>
        <v>527411695.660582</v>
      </c>
    </row>
    <row r="50" customFormat="false" ht="15" hidden="false" customHeight="false" outlineLevel="0" collapsed="false">
      <c r="A50" s="36" t="n">
        <v>45987</v>
      </c>
      <c r="B50" s="38" t="n">
        <v>0</v>
      </c>
      <c r="C50" s="38" t="n">
        <v>0</v>
      </c>
      <c r="D50" s="38" t="n">
        <v>0</v>
      </c>
      <c r="E50" s="38" t="n">
        <v>0</v>
      </c>
      <c r="F50" s="38" t="n">
        <v>20976487.259855</v>
      </c>
      <c r="G50" s="38" t="n">
        <v>145095588.272545</v>
      </c>
      <c r="H50" s="38" t="n">
        <v>229060223.59815</v>
      </c>
      <c r="I50" s="38" t="n">
        <v>0</v>
      </c>
      <c r="J50" s="38" t="n">
        <v>0</v>
      </c>
      <c r="K50" s="38" t="n">
        <v>3263718.1954125</v>
      </c>
      <c r="L50" s="38" t="n">
        <v>0</v>
      </c>
      <c r="M50" s="21" t="n">
        <f aca="false">SUM(B50:L50)</f>
        <v>398396017.325963</v>
      </c>
    </row>
    <row r="51" customFormat="false" ht="15" hidden="false" customHeight="false" outlineLevel="0" collapsed="false">
      <c r="A51" s="36" t="n">
        <v>45988</v>
      </c>
      <c r="B51" s="38" t="n">
        <v>0</v>
      </c>
      <c r="C51" s="38" t="n">
        <v>0</v>
      </c>
      <c r="D51" s="38" t="n">
        <v>0</v>
      </c>
      <c r="E51" s="38" t="n">
        <v>0</v>
      </c>
      <c r="F51" s="38" t="n">
        <v>3436440.14033</v>
      </c>
      <c r="G51" s="38" t="n">
        <v>41612411.3201575</v>
      </c>
      <c r="H51" s="38" t="n">
        <v>141206031.929875</v>
      </c>
      <c r="I51" s="38" t="n">
        <v>0</v>
      </c>
      <c r="J51" s="38" t="n">
        <v>0</v>
      </c>
      <c r="K51" s="38" t="n">
        <v>2729166.2769175</v>
      </c>
      <c r="L51" s="38" t="n">
        <v>0</v>
      </c>
      <c r="M51" s="21" t="n">
        <f aca="false">SUM(B51:L51)</f>
        <v>188984049.66728</v>
      </c>
    </row>
    <row r="52" customFormat="false" ht="15" hidden="false" customHeight="false" outlineLevel="0" collapsed="false">
      <c r="A52" s="36" t="n">
        <v>45989</v>
      </c>
      <c r="B52" s="38" t="n">
        <v>0</v>
      </c>
      <c r="C52" s="38" t="n">
        <v>0</v>
      </c>
      <c r="D52" s="38" t="n">
        <v>0</v>
      </c>
      <c r="E52" s="38" t="n">
        <v>0</v>
      </c>
      <c r="F52" s="38" t="n">
        <v>13851625.4753075</v>
      </c>
      <c r="G52" s="38" t="n">
        <v>86062037.643875</v>
      </c>
      <c r="H52" s="38" t="n">
        <v>157451491.57</v>
      </c>
      <c r="I52" s="38" t="n">
        <v>0</v>
      </c>
      <c r="J52" s="38" t="n">
        <v>0</v>
      </c>
      <c r="K52" s="38" t="n">
        <v>1342540.0484</v>
      </c>
      <c r="L52" s="38" t="n">
        <v>0</v>
      </c>
      <c r="M52" s="21" t="n">
        <f aca="false">SUM(B52:L52)</f>
        <v>258707694.737583</v>
      </c>
    </row>
    <row r="53" customFormat="false" ht="15" hidden="false" customHeight="false" outlineLevel="0" collapsed="false">
      <c r="A53" s="36" t="n">
        <v>45990</v>
      </c>
      <c r="B53" s="38" t="n">
        <v>0</v>
      </c>
      <c r="C53" s="38" t="n">
        <v>0</v>
      </c>
      <c r="D53" s="38" t="n">
        <v>0</v>
      </c>
      <c r="E53" s="38" t="n">
        <v>0</v>
      </c>
      <c r="F53" s="38" t="n">
        <v>1387594.040555</v>
      </c>
      <c r="G53" s="38" t="n">
        <v>18862921.2027425</v>
      </c>
      <c r="H53" s="38" t="n">
        <v>115953026.57385</v>
      </c>
      <c r="I53" s="38" t="n">
        <v>0</v>
      </c>
      <c r="J53" s="38" t="n">
        <v>0</v>
      </c>
      <c r="K53" s="38" t="n">
        <v>1855089.6878325</v>
      </c>
      <c r="L53" s="38" t="n">
        <v>0</v>
      </c>
      <c r="M53" s="21" t="n">
        <f aca="false">SUM(B53:L53)</f>
        <v>138058631.50498</v>
      </c>
    </row>
    <row r="54" customFormat="false" ht="15" hidden="false" customHeight="false" outlineLevel="0" collapsed="false">
      <c r="A54" s="36" t="n">
        <v>45991</v>
      </c>
      <c r="B54" s="38" t="n">
        <v>0</v>
      </c>
      <c r="C54" s="38" t="n">
        <v>0</v>
      </c>
      <c r="D54" s="38" t="n">
        <v>0</v>
      </c>
      <c r="E54" s="38" t="n">
        <v>0</v>
      </c>
      <c r="F54" s="38" t="n">
        <v>1878380.2623775</v>
      </c>
      <c r="G54" s="38" t="n">
        <v>19569753.44938</v>
      </c>
      <c r="H54" s="38" t="n">
        <v>80248254.8094</v>
      </c>
      <c r="I54" s="38" t="n">
        <v>0</v>
      </c>
      <c r="J54" s="38" t="n">
        <v>0</v>
      </c>
      <c r="K54" s="38" t="n">
        <v>1989545.59715</v>
      </c>
      <c r="L54" s="38" t="n">
        <v>0</v>
      </c>
      <c r="M54" s="21" t="n">
        <f aca="false">SUM(B54:L54)</f>
        <v>103685934.118307</v>
      </c>
    </row>
    <row r="55" customFormat="false" ht="15" hidden="false" customHeight="false" outlineLevel="0" collapsed="false">
      <c r="A55" s="36" t="n">
        <v>45992</v>
      </c>
      <c r="B55" s="38" t="n">
        <v>0</v>
      </c>
      <c r="C55" s="38" t="n">
        <v>0</v>
      </c>
      <c r="D55" s="38" t="n">
        <v>0</v>
      </c>
      <c r="E55" s="38" t="n">
        <v>0</v>
      </c>
      <c r="F55" s="38" t="n">
        <v>27215239.3874825</v>
      </c>
      <c r="G55" s="38" t="n">
        <v>134531221.707378</v>
      </c>
      <c r="H55" s="38" t="n">
        <v>236150045.5275</v>
      </c>
      <c r="I55" s="38" t="n">
        <v>0</v>
      </c>
      <c r="J55" s="38" t="n">
        <v>0</v>
      </c>
      <c r="K55" s="38" t="n">
        <v>526925.8230975</v>
      </c>
      <c r="L55" s="38" t="n">
        <v>0</v>
      </c>
      <c r="M55" s="21" t="n">
        <f aca="false">SUM(B55:L55)</f>
        <v>398423432.445458</v>
      </c>
    </row>
    <row r="56" customFormat="false" ht="15" hidden="false" customHeight="false" outlineLevel="0" collapsed="false">
      <c r="A56" s="36" t="n">
        <v>45993</v>
      </c>
      <c r="B56" s="38" t="n">
        <v>0</v>
      </c>
      <c r="C56" s="38" t="n">
        <v>0</v>
      </c>
      <c r="D56" s="38" t="n">
        <v>0</v>
      </c>
      <c r="E56" s="38" t="n">
        <v>0</v>
      </c>
      <c r="F56" s="38" t="n">
        <v>29079502.5370875</v>
      </c>
      <c r="G56" s="38" t="n">
        <v>132123905.29267</v>
      </c>
      <c r="H56" s="38" t="n">
        <v>217327576.7765</v>
      </c>
      <c r="I56" s="38" t="n">
        <v>0</v>
      </c>
      <c r="J56" s="38" t="n">
        <v>0</v>
      </c>
      <c r="K56" s="38" t="n">
        <v>1477782.6438275</v>
      </c>
      <c r="L56" s="38" t="n">
        <v>0</v>
      </c>
      <c r="M56" s="21" t="n">
        <f aca="false">SUM(B56:L56)</f>
        <v>380008767.250085</v>
      </c>
    </row>
    <row r="57" customFormat="false" ht="15" hidden="false" customHeight="false" outlineLevel="0" collapsed="false">
      <c r="A57" s="36" t="n">
        <v>45994</v>
      </c>
      <c r="B57" s="38" t="n">
        <v>0</v>
      </c>
      <c r="C57" s="38" t="n">
        <v>0</v>
      </c>
      <c r="D57" s="38" t="n">
        <v>91.47712</v>
      </c>
      <c r="E57" s="38" t="n">
        <v>0</v>
      </c>
      <c r="F57" s="38" t="n">
        <v>31403271.6135075</v>
      </c>
      <c r="G57" s="38" t="n">
        <v>129859790.01267</v>
      </c>
      <c r="H57" s="38" t="n">
        <v>244639255.975675</v>
      </c>
      <c r="I57" s="38" t="n">
        <v>0</v>
      </c>
      <c r="J57" s="38" t="n">
        <v>0</v>
      </c>
      <c r="K57" s="38" t="n">
        <v>2940212.410395</v>
      </c>
      <c r="L57" s="38" t="n">
        <v>0</v>
      </c>
      <c r="M57" s="21" t="n">
        <f aca="false">SUM(B57:L57)</f>
        <v>408842621.489368</v>
      </c>
    </row>
    <row r="58" customFormat="false" ht="15" hidden="false" customHeight="false" outlineLevel="0" collapsed="false">
      <c r="A58" s="36" t="n">
        <v>45995</v>
      </c>
      <c r="B58" s="38" t="n">
        <v>0</v>
      </c>
      <c r="C58" s="38" t="n">
        <v>0</v>
      </c>
      <c r="D58" s="38" t="n">
        <v>14.0832</v>
      </c>
      <c r="E58" s="38" t="n">
        <v>0</v>
      </c>
      <c r="F58" s="38" t="n">
        <v>41514319.6954275</v>
      </c>
      <c r="G58" s="38" t="n">
        <v>124745303.013485</v>
      </c>
      <c r="H58" s="38" t="n">
        <v>345873768.01335</v>
      </c>
      <c r="I58" s="38" t="n">
        <v>0</v>
      </c>
      <c r="J58" s="38" t="n">
        <v>0</v>
      </c>
      <c r="K58" s="38" t="n">
        <v>1937170.318805</v>
      </c>
      <c r="L58" s="38" t="n">
        <v>0</v>
      </c>
      <c r="M58" s="21" t="n">
        <f aca="false">SUM(B58:L58)</f>
        <v>514070575.124267</v>
      </c>
    </row>
    <row r="59" customFormat="false" ht="15" hidden="false" customHeight="false" outlineLevel="0" collapsed="false">
      <c r="A59" s="36" t="n">
        <v>45996</v>
      </c>
      <c r="B59" s="38" t="n">
        <v>0</v>
      </c>
      <c r="C59" s="38" t="n">
        <v>0</v>
      </c>
      <c r="D59" s="38" t="n">
        <v>269.9905</v>
      </c>
      <c r="E59" s="38" t="n">
        <v>0</v>
      </c>
      <c r="F59" s="38" t="n">
        <v>55300258.395205</v>
      </c>
      <c r="G59" s="38" t="n">
        <v>97569538.8073325</v>
      </c>
      <c r="H59" s="38" t="n">
        <v>183278370.34485</v>
      </c>
      <c r="I59" s="38" t="n">
        <v>0</v>
      </c>
      <c r="J59" s="38" t="n">
        <v>0</v>
      </c>
      <c r="K59" s="38" t="n">
        <v>1540491.17035</v>
      </c>
      <c r="L59" s="38" t="n">
        <v>0</v>
      </c>
      <c r="M59" s="21" t="n">
        <f aca="false">SUM(B59:L59)</f>
        <v>337688928.708238</v>
      </c>
    </row>
    <row r="60" customFormat="false" ht="15" hidden="false" customHeight="false" outlineLevel="0" collapsed="false">
      <c r="A60" s="36" t="n">
        <v>45997</v>
      </c>
      <c r="B60" s="38" t="n">
        <v>0</v>
      </c>
      <c r="C60" s="38" t="n">
        <v>0</v>
      </c>
      <c r="D60" s="38" t="n">
        <v>1638.1717375</v>
      </c>
      <c r="E60" s="38" t="n">
        <v>0</v>
      </c>
      <c r="F60" s="38" t="n">
        <v>3165763.842555</v>
      </c>
      <c r="G60" s="38" t="n">
        <v>8652696.572245</v>
      </c>
      <c r="H60" s="38" t="n">
        <v>46883680.6442</v>
      </c>
      <c r="I60" s="38" t="n">
        <v>0</v>
      </c>
      <c r="J60" s="38" t="n">
        <v>0</v>
      </c>
      <c r="K60" s="38" t="n">
        <v>1521336.8841725</v>
      </c>
      <c r="L60" s="38" t="n">
        <v>0</v>
      </c>
      <c r="M60" s="21" t="n">
        <f aca="false">SUM(B60:L60)</f>
        <v>60225116.11491</v>
      </c>
    </row>
    <row r="61" customFormat="false" ht="15" hidden="false" customHeight="false" outlineLevel="0" collapsed="false">
      <c r="A61" s="36" t="n">
        <v>45998</v>
      </c>
      <c r="B61" s="38" t="n">
        <v>0</v>
      </c>
      <c r="C61" s="38" t="n">
        <v>0</v>
      </c>
      <c r="D61" s="38" t="n">
        <v>101.29168</v>
      </c>
      <c r="E61" s="38" t="n">
        <v>0</v>
      </c>
      <c r="F61" s="38" t="n">
        <v>3416955.1029225</v>
      </c>
      <c r="G61" s="38" t="n">
        <v>8736667.047805</v>
      </c>
      <c r="H61" s="38" t="n">
        <v>88501084.648725</v>
      </c>
      <c r="I61" s="38" t="n">
        <v>0</v>
      </c>
      <c r="J61" s="38" t="n">
        <v>0</v>
      </c>
      <c r="K61" s="38" t="n">
        <v>683208.137815</v>
      </c>
      <c r="L61" s="38" t="n">
        <v>0</v>
      </c>
      <c r="M61" s="21" t="n">
        <f aca="false">SUM(B61:L61)</f>
        <v>101338016.228948</v>
      </c>
    </row>
    <row r="62" customFormat="false" ht="15" hidden="false" customHeight="false" outlineLevel="0" collapsed="false">
      <c r="A62" s="36" t="n">
        <v>45999</v>
      </c>
      <c r="B62" s="38" t="n">
        <v>0</v>
      </c>
      <c r="C62" s="38" t="n">
        <v>0</v>
      </c>
      <c r="D62" s="38" t="n">
        <v>6234.5707975</v>
      </c>
      <c r="E62" s="38" t="n">
        <v>0</v>
      </c>
      <c r="F62" s="38" t="n">
        <v>24480990.3948325</v>
      </c>
      <c r="G62" s="38" t="n">
        <v>106501583.720313</v>
      </c>
      <c r="H62" s="38" t="n">
        <v>171977370.7905</v>
      </c>
      <c r="I62" s="38" t="n">
        <v>0</v>
      </c>
      <c r="J62" s="38" t="n">
        <v>0</v>
      </c>
      <c r="K62" s="38" t="n">
        <v>458109.8728</v>
      </c>
      <c r="L62" s="38" t="n">
        <v>0</v>
      </c>
      <c r="M62" s="21" t="n">
        <f aca="false">SUM(B62:L62)</f>
        <v>303424289.349243</v>
      </c>
    </row>
    <row r="63" customFormat="false" ht="15" hidden="false" customHeight="false" outlineLevel="0" collapsed="false">
      <c r="A63" s="36" t="n">
        <v>46000</v>
      </c>
      <c r="B63" s="38" t="n">
        <v>0</v>
      </c>
      <c r="C63" s="38" t="n">
        <v>0</v>
      </c>
      <c r="D63" s="38" t="n">
        <v>15099718.891015</v>
      </c>
      <c r="E63" s="38" t="n">
        <v>0</v>
      </c>
      <c r="F63" s="38" t="n">
        <v>29295587.6983025</v>
      </c>
      <c r="G63" s="38" t="n">
        <v>85257763.2243345</v>
      </c>
      <c r="H63" s="38" t="n">
        <v>158254246.6873</v>
      </c>
      <c r="I63" s="38" t="n">
        <v>0</v>
      </c>
      <c r="J63" s="38" t="n">
        <v>0</v>
      </c>
      <c r="K63" s="38" t="n">
        <v>666130.99315</v>
      </c>
      <c r="L63" s="38" t="n">
        <v>0</v>
      </c>
      <c r="M63" s="21" t="n">
        <f aca="false">SUM(B63:L63)</f>
        <v>288573447.494102</v>
      </c>
    </row>
    <row r="64" customFormat="false" ht="15" hidden="false" customHeight="false" outlineLevel="0" collapsed="false">
      <c r="A64" s="36" t="n">
        <v>46001</v>
      </c>
      <c r="B64" s="38" t="n">
        <v>0</v>
      </c>
      <c r="C64" s="38" t="n">
        <v>0</v>
      </c>
      <c r="D64" s="38" t="n">
        <v>20540612.1300075</v>
      </c>
      <c r="E64" s="38" t="n">
        <v>0</v>
      </c>
      <c r="F64" s="38" t="n">
        <v>31047468.5531525</v>
      </c>
      <c r="G64" s="38" t="n">
        <v>129818782.505842</v>
      </c>
      <c r="H64" s="38" t="n">
        <v>214344451.763259</v>
      </c>
      <c r="I64" s="38" t="n">
        <v>0</v>
      </c>
      <c r="J64" s="38" t="n">
        <v>0</v>
      </c>
      <c r="K64" s="38" t="n">
        <v>1068821.396615</v>
      </c>
      <c r="L64" s="38" t="n">
        <v>0</v>
      </c>
      <c r="M64" s="21" t="n">
        <f aca="false">SUM(B64:L64)</f>
        <v>396820136.348875</v>
      </c>
    </row>
    <row r="65" customFormat="false" ht="15" hidden="false" customHeight="false" outlineLevel="0" collapsed="false">
      <c r="A65" s="36" t="n">
        <v>46002</v>
      </c>
      <c r="B65" s="38" t="n">
        <v>0</v>
      </c>
      <c r="C65" s="38" t="n">
        <v>0</v>
      </c>
      <c r="D65" s="38" t="n">
        <v>20153081.023015</v>
      </c>
      <c r="E65" s="38" t="n">
        <v>0</v>
      </c>
      <c r="F65" s="38" t="n">
        <v>30451724.2401625</v>
      </c>
      <c r="G65" s="38" t="n">
        <v>103106954.130928</v>
      </c>
      <c r="H65" s="38" t="n">
        <v>322558453.861556</v>
      </c>
      <c r="I65" s="38" t="n">
        <v>0</v>
      </c>
      <c r="J65" s="38" t="n">
        <v>0</v>
      </c>
      <c r="K65" s="38" t="n">
        <v>239798.990025</v>
      </c>
      <c r="L65" s="38" t="n">
        <v>0</v>
      </c>
      <c r="M65" s="21" t="n">
        <f aca="false">SUM(B65:L65)</f>
        <v>476510012.245686</v>
      </c>
    </row>
    <row r="66" customFormat="false" ht="15" hidden="false" customHeight="false" outlineLevel="0" collapsed="false">
      <c r="A66" s="36" t="n">
        <v>46003</v>
      </c>
      <c r="B66" s="38" t="n">
        <v>0</v>
      </c>
      <c r="C66" s="38" t="n">
        <v>0</v>
      </c>
      <c r="D66" s="38" t="n">
        <v>15694384.9308175</v>
      </c>
      <c r="E66" s="38" t="n">
        <v>0</v>
      </c>
      <c r="F66" s="38" t="n">
        <v>31699584.699495</v>
      </c>
      <c r="G66" s="38" t="n">
        <v>97931289.3654162</v>
      </c>
      <c r="H66" s="38" t="n">
        <v>345207930.058225</v>
      </c>
      <c r="I66" s="38" t="n">
        <v>0</v>
      </c>
      <c r="J66" s="38" t="n">
        <v>0</v>
      </c>
      <c r="K66" s="38" t="n">
        <v>221199.8246875</v>
      </c>
      <c r="L66" s="38" t="n">
        <v>513376.516275</v>
      </c>
      <c r="M66" s="21" t="n">
        <f aca="false">SUM(B66:L66)</f>
        <v>491267765.394916</v>
      </c>
    </row>
    <row r="67" customFormat="false" ht="15" hidden="false" customHeight="false" outlineLevel="0" collapsed="false">
      <c r="A67" s="36" t="n">
        <v>46004</v>
      </c>
      <c r="B67" s="38" t="n">
        <v>0</v>
      </c>
      <c r="C67" s="38" t="n">
        <v>0</v>
      </c>
      <c r="D67" s="38" t="n">
        <v>8400507.6613425</v>
      </c>
      <c r="E67" s="38" t="n">
        <v>0</v>
      </c>
      <c r="F67" s="38" t="n">
        <v>1090941.5174</v>
      </c>
      <c r="G67" s="38" t="n">
        <v>4371961.095214</v>
      </c>
      <c r="H67" s="38" t="n">
        <v>32369269.691555</v>
      </c>
      <c r="I67" s="38" t="n">
        <v>0</v>
      </c>
      <c r="J67" s="38" t="n">
        <v>0</v>
      </c>
      <c r="K67" s="38" t="n">
        <v>179824.6541025</v>
      </c>
      <c r="L67" s="38" t="n">
        <v>179130.853525</v>
      </c>
      <c r="M67" s="21" t="n">
        <f aca="false">SUM(B67:L67)</f>
        <v>46591635.473139</v>
      </c>
    </row>
    <row r="68" customFormat="false" ht="15" hidden="false" customHeight="false" outlineLevel="0" collapsed="false">
      <c r="A68" s="36" t="n">
        <v>46005</v>
      </c>
      <c r="B68" s="38" t="n">
        <v>0</v>
      </c>
      <c r="C68" s="38" t="n">
        <v>0</v>
      </c>
      <c r="D68" s="38" t="n">
        <v>12120144.7626675</v>
      </c>
      <c r="E68" s="38" t="n">
        <v>0</v>
      </c>
      <c r="F68" s="38" t="n">
        <v>1870618.6699175</v>
      </c>
      <c r="G68" s="38" t="n">
        <v>9982253.9966285</v>
      </c>
      <c r="H68" s="38" t="n">
        <v>117529639.058639</v>
      </c>
      <c r="I68" s="38" t="n">
        <v>0</v>
      </c>
      <c r="J68" s="38" t="n">
        <v>0</v>
      </c>
      <c r="K68" s="38" t="n">
        <v>659005.84813</v>
      </c>
      <c r="L68" s="38" t="n">
        <v>188431.056825</v>
      </c>
      <c r="M68" s="21" t="n">
        <f aca="false">SUM(B68:L68)</f>
        <v>142350093.392808</v>
      </c>
    </row>
    <row r="69" customFormat="false" ht="15" hidden="false" customHeight="false" outlineLevel="0" collapsed="false">
      <c r="A69" s="36" t="n">
        <v>46006</v>
      </c>
      <c r="B69" s="38" t="n">
        <v>0</v>
      </c>
      <c r="C69" s="38" t="n">
        <v>0</v>
      </c>
      <c r="D69" s="38" t="n">
        <v>17563970.2231625</v>
      </c>
      <c r="E69" s="38" t="n">
        <v>0</v>
      </c>
      <c r="F69" s="38" t="n">
        <v>18569795.8551565</v>
      </c>
      <c r="G69" s="38" t="n">
        <v>76718435.4924083</v>
      </c>
      <c r="H69" s="38" t="n">
        <v>226473755.80753</v>
      </c>
      <c r="I69" s="38" t="n">
        <v>0</v>
      </c>
      <c r="J69" s="38" t="n">
        <v>0</v>
      </c>
      <c r="K69" s="38" t="n">
        <v>340842.92709</v>
      </c>
      <c r="L69" s="38" t="n">
        <v>830191.042125</v>
      </c>
      <c r="M69" s="21" t="n">
        <f aca="false">SUM(B69:L69)</f>
        <v>340496991.347472</v>
      </c>
    </row>
    <row r="70" customFormat="false" ht="15" hidden="false" customHeight="false" outlineLevel="0" collapsed="false">
      <c r="A70" s="36" t="n">
        <v>46007</v>
      </c>
      <c r="B70" s="38" t="n">
        <v>0</v>
      </c>
      <c r="C70" s="38" t="n">
        <v>0</v>
      </c>
      <c r="D70" s="38" t="n">
        <v>15326890.0440325</v>
      </c>
      <c r="E70" s="38" t="n">
        <v>0</v>
      </c>
      <c r="F70" s="38" t="n">
        <v>20250046.362799</v>
      </c>
      <c r="G70" s="38" t="n">
        <v>94307394.8416945</v>
      </c>
      <c r="H70" s="38" t="n">
        <v>245285313.725692</v>
      </c>
      <c r="I70" s="38" t="n">
        <v>0</v>
      </c>
      <c r="J70" s="38" t="n">
        <v>0</v>
      </c>
      <c r="K70" s="38" t="n">
        <v>125668.525215</v>
      </c>
      <c r="L70" s="38" t="n">
        <v>1443119.4064</v>
      </c>
      <c r="M70" s="21" t="n">
        <f aca="false">SUM(B70:L70)</f>
        <v>376738432.905833</v>
      </c>
    </row>
    <row r="71" customFormat="false" ht="15" hidden="false" customHeight="false" outlineLevel="0" collapsed="false">
      <c r="A71" s="36" t="n">
        <v>46008</v>
      </c>
      <c r="B71" s="38" t="n">
        <v>0</v>
      </c>
      <c r="C71" s="38" t="n">
        <v>0</v>
      </c>
      <c r="D71" s="38" t="n">
        <v>18611010.15942</v>
      </c>
      <c r="E71" s="38" t="n">
        <v>0</v>
      </c>
      <c r="F71" s="38" t="n">
        <v>30682962.688125</v>
      </c>
      <c r="G71" s="38" t="n">
        <v>109020052.303324</v>
      </c>
      <c r="H71" s="38" t="n">
        <v>215742503.450822</v>
      </c>
      <c r="I71" s="38" t="n">
        <v>0</v>
      </c>
      <c r="J71" s="38" t="n">
        <v>0</v>
      </c>
      <c r="K71" s="38" t="n">
        <v>294024.4616975</v>
      </c>
      <c r="L71" s="38" t="n">
        <v>1832440.815025</v>
      </c>
      <c r="M71" s="21" t="n">
        <f aca="false">SUM(B71:L71)</f>
        <v>376182993.878413</v>
      </c>
    </row>
    <row r="72" customFormat="false" ht="15" hidden="false" customHeight="false" outlineLevel="0" collapsed="false">
      <c r="A72" s="36" t="n">
        <v>46009</v>
      </c>
      <c r="B72" s="38" t="n">
        <v>0</v>
      </c>
      <c r="C72" s="38" t="n">
        <v>0</v>
      </c>
      <c r="D72" s="38" t="n">
        <v>16271431.90327</v>
      </c>
      <c r="E72" s="38" t="n">
        <v>0</v>
      </c>
      <c r="F72" s="38" t="n">
        <v>30387072.596304</v>
      </c>
      <c r="G72" s="38" t="n">
        <v>88451314.1041035</v>
      </c>
      <c r="H72" s="38" t="n">
        <v>239695298.521991</v>
      </c>
      <c r="I72" s="38" t="n">
        <v>0</v>
      </c>
      <c r="J72" s="38" t="n">
        <v>0</v>
      </c>
      <c r="K72" s="38" t="n">
        <v>216060.8227625</v>
      </c>
      <c r="L72" s="38" t="n">
        <v>5592591.8918</v>
      </c>
      <c r="M72" s="21" t="n">
        <f aca="false">SUM(B72:L72)</f>
        <v>380613769.840231</v>
      </c>
    </row>
    <row r="73" customFormat="false" ht="15" hidden="false" customHeight="false" outlineLevel="0" collapsed="false">
      <c r="A73" s="36" t="n">
        <v>46010</v>
      </c>
      <c r="B73" s="38" t="n">
        <v>0</v>
      </c>
      <c r="C73" s="38" t="n">
        <v>0</v>
      </c>
      <c r="D73" s="38" t="n">
        <v>12538795.629075</v>
      </c>
      <c r="E73" s="38" t="n">
        <v>0</v>
      </c>
      <c r="F73" s="38" t="n">
        <v>18219416.58553</v>
      </c>
      <c r="G73" s="38" t="n">
        <v>72337572.9038375</v>
      </c>
      <c r="H73" s="38" t="n">
        <v>171609329.6757</v>
      </c>
      <c r="I73" s="38" t="n">
        <v>0</v>
      </c>
      <c r="J73" s="38" t="n">
        <v>0</v>
      </c>
      <c r="K73" s="38" t="n">
        <v>291372.82269</v>
      </c>
      <c r="L73" s="38" t="n">
        <v>5577879.35985</v>
      </c>
      <c r="M73" s="21" t="n">
        <f aca="false">SUM(B73:L73)</f>
        <v>280574366.976683</v>
      </c>
    </row>
    <row r="74" customFormat="false" ht="15" hidden="false" customHeight="false" outlineLevel="0" collapsed="false">
      <c r="A74" s="36" t="n">
        <v>46011</v>
      </c>
      <c r="B74" s="38" t="n">
        <v>0</v>
      </c>
      <c r="C74" s="38" t="n">
        <v>0</v>
      </c>
      <c r="D74" s="38" t="n">
        <v>16192262.49238</v>
      </c>
      <c r="E74" s="38" t="n">
        <v>0</v>
      </c>
      <c r="F74" s="38" t="n">
        <v>702033.34795925</v>
      </c>
      <c r="G74" s="38" t="n">
        <v>11105013.7821275</v>
      </c>
      <c r="H74" s="38" t="n">
        <v>33347189.3718585</v>
      </c>
      <c r="I74" s="38" t="n">
        <v>0</v>
      </c>
      <c r="J74" s="38" t="n">
        <v>0</v>
      </c>
      <c r="K74" s="38" t="n">
        <v>1692414.331125</v>
      </c>
      <c r="L74" s="38" t="n">
        <v>314564.725625</v>
      </c>
      <c r="M74" s="21" t="n">
        <f aca="false">SUM(B74:L74)</f>
        <v>63353478.0510753</v>
      </c>
    </row>
    <row r="75" customFormat="false" ht="15" hidden="false" customHeight="false" outlineLevel="0" collapsed="false">
      <c r="A75" s="36" t="n">
        <v>46012</v>
      </c>
      <c r="B75" s="38" t="n">
        <v>0</v>
      </c>
      <c r="C75" s="38" t="n">
        <v>0</v>
      </c>
      <c r="D75" s="38" t="n">
        <v>12026954.2875425</v>
      </c>
      <c r="E75" s="38" t="n">
        <v>0</v>
      </c>
      <c r="F75" s="38" t="n">
        <v>862514.37872525</v>
      </c>
      <c r="G75" s="38" t="n">
        <v>3343191.298315</v>
      </c>
      <c r="H75" s="38" t="n">
        <v>39339514.052112</v>
      </c>
      <c r="I75" s="38" t="n">
        <v>0</v>
      </c>
      <c r="J75" s="38" t="n">
        <v>0</v>
      </c>
      <c r="K75" s="38" t="n">
        <v>866646.1025625</v>
      </c>
      <c r="L75" s="38" t="n">
        <v>1060766.4943875</v>
      </c>
      <c r="M75" s="21" t="n">
        <f aca="false">SUM(B75:L75)</f>
        <v>57499586.6136448</v>
      </c>
    </row>
    <row r="76" customFormat="false" ht="15" hidden="false" customHeight="false" outlineLevel="0" collapsed="false">
      <c r="A76" s="36" t="n">
        <v>46013</v>
      </c>
      <c r="B76" s="38" t="n">
        <v>0</v>
      </c>
      <c r="C76" s="38" t="n">
        <v>0</v>
      </c>
      <c r="D76" s="38" t="n">
        <v>17533470.510223</v>
      </c>
      <c r="E76" s="38" t="n">
        <v>0</v>
      </c>
      <c r="F76" s="38" t="n">
        <v>16392542.975326</v>
      </c>
      <c r="G76" s="38" t="n">
        <v>61458231.5194797</v>
      </c>
      <c r="H76" s="38" t="n">
        <v>98534361.675465</v>
      </c>
      <c r="I76" s="38" t="n">
        <v>0</v>
      </c>
      <c r="J76" s="38" t="n">
        <v>0</v>
      </c>
      <c r="K76" s="38" t="n">
        <v>285135.9689275</v>
      </c>
      <c r="L76" s="38" t="n">
        <v>6440191.9809125</v>
      </c>
      <c r="M76" s="21" t="n">
        <f aca="false">SUM(B76:L76)</f>
        <v>200643934.630334</v>
      </c>
    </row>
    <row r="77" customFormat="false" ht="15" hidden="false" customHeight="false" outlineLevel="0" collapsed="false">
      <c r="A77" s="36" t="n">
        <v>46014</v>
      </c>
      <c r="B77" s="38" t="n">
        <v>0</v>
      </c>
      <c r="C77" s="38" t="n">
        <v>0</v>
      </c>
      <c r="D77" s="38" t="n">
        <v>15886345.9419375</v>
      </c>
      <c r="E77" s="38" t="n">
        <v>0</v>
      </c>
      <c r="F77" s="38" t="n">
        <v>20714227.2053953</v>
      </c>
      <c r="G77" s="38" t="n">
        <v>40121026.456274</v>
      </c>
      <c r="H77" s="38" t="n">
        <v>187367774.732509</v>
      </c>
      <c r="I77" s="38" t="n">
        <v>750813.80713</v>
      </c>
      <c r="J77" s="38" t="n">
        <v>0</v>
      </c>
      <c r="K77" s="38" t="n">
        <v>848556.157885</v>
      </c>
      <c r="L77" s="38" t="n">
        <v>8782581.9067</v>
      </c>
      <c r="M77" s="21" t="n">
        <f aca="false">SUM(B77:L77)</f>
        <v>274471326.207831</v>
      </c>
    </row>
    <row r="78" customFormat="false" ht="15" hidden="false" customHeight="false" outlineLevel="0" collapsed="false">
      <c r="A78" s="36" t="n">
        <v>46015</v>
      </c>
      <c r="B78" s="38" t="n">
        <v>0</v>
      </c>
      <c r="C78" s="38" t="n">
        <v>0</v>
      </c>
      <c r="D78" s="38" t="n">
        <v>9219828.420425</v>
      </c>
      <c r="E78" s="38" t="n">
        <v>0</v>
      </c>
      <c r="F78" s="38" t="n">
        <v>23552304.4399255</v>
      </c>
      <c r="G78" s="38" t="n">
        <v>32035961.281997</v>
      </c>
      <c r="H78" s="38" t="n">
        <v>78791712.786131</v>
      </c>
      <c r="I78" s="38" t="n">
        <v>959373.1247625</v>
      </c>
      <c r="J78" s="38" t="n">
        <v>0</v>
      </c>
      <c r="K78" s="38" t="n">
        <v>934841.75067</v>
      </c>
      <c r="L78" s="38" t="n">
        <v>8316263.4735425</v>
      </c>
      <c r="M78" s="21" t="n">
        <f aca="false">SUM(B78:L78)</f>
        <v>153810285.277454</v>
      </c>
    </row>
    <row r="79" customFormat="false" ht="15" hidden="false" customHeight="false" outlineLevel="0" collapsed="false">
      <c r="A79" s="36" t="n">
        <v>46016</v>
      </c>
      <c r="B79" s="38" t="n">
        <v>0</v>
      </c>
      <c r="C79" s="38" t="n">
        <v>0</v>
      </c>
      <c r="D79" s="38" t="n">
        <v>12225860.00489</v>
      </c>
      <c r="E79" s="38" t="n">
        <v>0</v>
      </c>
      <c r="F79" s="38" t="n">
        <v>706088.312402</v>
      </c>
      <c r="G79" s="38" t="n">
        <v>7503238.637381</v>
      </c>
      <c r="H79" s="38" t="n">
        <v>36524479.2490275</v>
      </c>
      <c r="I79" s="38" t="n">
        <v>262020.673675</v>
      </c>
      <c r="J79" s="38" t="n">
        <v>0</v>
      </c>
      <c r="K79" s="38" t="n">
        <v>1125160.22288</v>
      </c>
      <c r="L79" s="38" t="n">
        <v>2992557.8970225</v>
      </c>
      <c r="M79" s="21" t="n">
        <f aca="false">SUM(B79:L79)</f>
        <v>61339404.997278</v>
      </c>
    </row>
    <row r="80" customFormat="false" ht="15" hidden="false" customHeight="false" outlineLevel="0" collapsed="false">
      <c r="A80" s="36" t="n">
        <v>46017</v>
      </c>
      <c r="B80" s="38" t="n">
        <v>0</v>
      </c>
      <c r="C80" s="38" t="n">
        <v>0</v>
      </c>
      <c r="D80" s="38" t="n">
        <v>13761707.42185</v>
      </c>
      <c r="E80" s="38" t="n">
        <v>0</v>
      </c>
      <c r="F80" s="38" t="n">
        <v>8615535.0527525</v>
      </c>
      <c r="G80" s="38" t="n">
        <v>31617479.2405325</v>
      </c>
      <c r="H80" s="38" t="n">
        <v>150496229.74519</v>
      </c>
      <c r="I80" s="38" t="n">
        <v>522790.4078875</v>
      </c>
      <c r="J80" s="38" t="n">
        <v>0</v>
      </c>
      <c r="K80" s="38" t="n">
        <v>909726.764105</v>
      </c>
      <c r="L80" s="38" t="n">
        <v>24769129.19446</v>
      </c>
      <c r="M80" s="21" t="n">
        <f aca="false">SUM(B80:L80)</f>
        <v>230692597.826778</v>
      </c>
    </row>
    <row r="81" customFormat="false" ht="15" hidden="false" customHeight="false" outlineLevel="0" collapsed="false">
      <c r="A81" s="36" t="n">
        <v>46018</v>
      </c>
      <c r="B81" s="38" t="n">
        <v>0</v>
      </c>
      <c r="C81" s="38" t="n">
        <v>0</v>
      </c>
      <c r="D81" s="38" t="n">
        <v>14604705.1664825</v>
      </c>
      <c r="E81" s="38" t="n">
        <v>0</v>
      </c>
      <c r="F81" s="38" t="n">
        <v>353993.31733625</v>
      </c>
      <c r="G81" s="38" t="n">
        <v>6502344.4037075</v>
      </c>
      <c r="H81" s="38" t="n">
        <v>31724302.926908</v>
      </c>
      <c r="I81" s="38" t="n">
        <v>87955.72981</v>
      </c>
      <c r="J81" s="38" t="n">
        <v>0</v>
      </c>
      <c r="K81" s="38" t="n">
        <v>847860.214605</v>
      </c>
      <c r="L81" s="38" t="n">
        <v>9946459.3850975</v>
      </c>
      <c r="M81" s="21" t="n">
        <f aca="false">SUM(B81:L81)</f>
        <v>64067621.1439468</v>
      </c>
    </row>
    <row r="82" customFormat="false" ht="15" hidden="false" customHeight="false" outlineLevel="0" collapsed="false">
      <c r="A82" s="36" t="n">
        <v>46019</v>
      </c>
      <c r="B82" s="38" t="n">
        <v>0</v>
      </c>
      <c r="C82" s="38" t="n">
        <v>0</v>
      </c>
      <c r="D82" s="38" t="n">
        <v>8015736.41297</v>
      </c>
      <c r="E82" s="38" t="n">
        <v>0</v>
      </c>
      <c r="F82" s="38" t="n">
        <v>1516556.3759705</v>
      </c>
      <c r="G82" s="38" t="n">
        <v>10714440.414672</v>
      </c>
      <c r="H82" s="38" t="n">
        <v>28353342.976002</v>
      </c>
      <c r="I82" s="38" t="n">
        <v>56724.370875</v>
      </c>
      <c r="J82" s="38" t="n">
        <v>0</v>
      </c>
      <c r="K82" s="38" t="n">
        <v>69626.142825</v>
      </c>
      <c r="L82" s="38" t="n">
        <v>26116114.080255</v>
      </c>
      <c r="M82" s="21" t="n">
        <f aca="false">SUM(B82:L82)</f>
        <v>74842540.7735695</v>
      </c>
    </row>
    <row r="83" customFormat="false" ht="15" hidden="false" customHeight="false" outlineLevel="0" collapsed="false">
      <c r="A83" s="36" t="n">
        <v>46020</v>
      </c>
      <c r="B83" s="38" t="n">
        <v>0</v>
      </c>
      <c r="C83" s="38" t="n">
        <v>0</v>
      </c>
      <c r="D83" s="38" t="n">
        <v>14726739.8028925</v>
      </c>
      <c r="E83" s="38" t="n">
        <v>0</v>
      </c>
      <c r="F83" s="38" t="n">
        <v>17446077.8775388</v>
      </c>
      <c r="G83" s="38" t="n">
        <v>45962029.71254</v>
      </c>
      <c r="H83" s="38" t="n">
        <v>131839269.764154</v>
      </c>
      <c r="I83" s="38" t="n">
        <v>1204420.4039125</v>
      </c>
      <c r="J83" s="38" t="n">
        <v>0</v>
      </c>
      <c r="K83" s="38" t="n">
        <v>75260.6163</v>
      </c>
      <c r="L83" s="38" t="n">
        <v>89172674.455305</v>
      </c>
      <c r="M83" s="21" t="n">
        <f aca="false">SUM(B83:L83)</f>
        <v>300426472.632642</v>
      </c>
    </row>
    <row r="84" customFormat="false" ht="15" hidden="false" customHeight="false" outlineLevel="0" collapsed="false">
      <c r="A84" s="36" t="n">
        <v>46021</v>
      </c>
      <c r="B84" s="38" t="n">
        <v>0</v>
      </c>
      <c r="C84" s="38" t="n">
        <v>0</v>
      </c>
      <c r="D84" s="38" t="n">
        <v>11757111.9766875</v>
      </c>
      <c r="E84" s="38" t="n">
        <v>0</v>
      </c>
      <c r="F84" s="38" t="n">
        <v>14149637.971591</v>
      </c>
      <c r="G84" s="38" t="n">
        <v>41088365.9359173</v>
      </c>
      <c r="H84" s="38" t="n">
        <v>190683368.121207</v>
      </c>
      <c r="I84" s="38" t="n">
        <v>1101793.74876</v>
      </c>
      <c r="J84" s="38" t="n">
        <v>0</v>
      </c>
      <c r="K84" s="38" t="n">
        <v>158296.3011025</v>
      </c>
      <c r="L84" s="38" t="n">
        <v>57134432.302615</v>
      </c>
      <c r="M84" s="21" t="n">
        <f aca="false">SUM(B84:L84)</f>
        <v>316073006.35788</v>
      </c>
    </row>
    <row r="85" customFormat="false" ht="15" hidden="false" customHeight="false" outlineLevel="0" collapsed="false">
      <c r="A85" s="36" t="n">
        <v>46022</v>
      </c>
      <c r="B85" s="38" t="n">
        <v>0</v>
      </c>
      <c r="C85" s="38" t="n">
        <v>0</v>
      </c>
      <c r="D85" s="38" t="n">
        <v>8553626.3099775</v>
      </c>
      <c r="E85" s="38" t="n">
        <v>0</v>
      </c>
      <c r="F85" s="38" t="n">
        <v>15023321.7505405</v>
      </c>
      <c r="G85" s="38" t="n">
        <v>48483823.80042</v>
      </c>
      <c r="H85" s="38" t="n">
        <v>105141566.85084</v>
      </c>
      <c r="I85" s="38" t="n">
        <v>1236163.036235</v>
      </c>
      <c r="J85" s="38" t="n">
        <v>0</v>
      </c>
      <c r="K85" s="38" t="n">
        <v>141461.6173425</v>
      </c>
      <c r="L85" s="38" t="n">
        <v>54863880.675685</v>
      </c>
      <c r="M85" s="21" t="n">
        <f aca="false">SUM(B85:L85)</f>
        <v>233443844.04104</v>
      </c>
    </row>
    <row r="86" customFormat="false" ht="15" hidden="false" customHeight="false" outlineLevel="0" collapsed="false">
      <c r="A86" s="36" t="n">
        <v>46023</v>
      </c>
      <c r="B86" s="38" t="n">
        <v>0</v>
      </c>
      <c r="C86" s="38" t="n">
        <v>0</v>
      </c>
      <c r="D86" s="38" t="n">
        <v>7990464.6673775</v>
      </c>
      <c r="E86" s="38" t="n">
        <v>0</v>
      </c>
      <c r="F86" s="38" t="n">
        <v>1426259.5049645</v>
      </c>
      <c r="G86" s="38" t="n">
        <v>6398058.3155725</v>
      </c>
      <c r="H86" s="38" t="n">
        <v>36834076.005145</v>
      </c>
      <c r="I86" s="38" t="n">
        <v>231541.587155</v>
      </c>
      <c r="J86" s="38" t="n">
        <v>0</v>
      </c>
      <c r="K86" s="38" t="n">
        <v>130513.42135</v>
      </c>
      <c r="L86" s="38" t="n">
        <v>7674349.6240625</v>
      </c>
      <c r="M86" s="21" t="n">
        <f aca="false">SUM(B86:L86)</f>
        <v>60685263.125627</v>
      </c>
    </row>
    <row r="87" customFormat="false" ht="15" hidden="false" customHeight="false" outlineLevel="0" collapsed="false">
      <c r="A87" s="36" t="n">
        <v>46024</v>
      </c>
      <c r="B87" s="38" t="n">
        <v>0</v>
      </c>
      <c r="C87" s="38" t="n">
        <v>0</v>
      </c>
      <c r="D87" s="38" t="n">
        <v>15815127.31553</v>
      </c>
      <c r="E87" s="38" t="n">
        <v>0</v>
      </c>
      <c r="F87" s="38" t="n">
        <v>14977165.9297655</v>
      </c>
      <c r="G87" s="38" t="n">
        <v>60860590.71949</v>
      </c>
      <c r="H87" s="38" t="n">
        <v>191337286.885085</v>
      </c>
      <c r="I87" s="38" t="n">
        <v>1602812.42735</v>
      </c>
      <c r="J87" s="38" t="n">
        <v>0</v>
      </c>
      <c r="K87" s="38" t="n">
        <v>87654.335565</v>
      </c>
      <c r="L87" s="38" t="n">
        <v>39427080.2923725</v>
      </c>
      <c r="M87" s="21" t="n">
        <f aca="false">SUM(B87:L87)</f>
        <v>324107717.905158</v>
      </c>
    </row>
    <row r="88" customFormat="false" ht="15" hidden="false" customHeight="false" outlineLevel="0" collapsed="false">
      <c r="A88" s="36" t="n">
        <v>46025</v>
      </c>
      <c r="B88" s="38" t="n">
        <v>0</v>
      </c>
      <c r="C88" s="38" t="n">
        <v>0</v>
      </c>
      <c r="D88" s="38" t="n">
        <v>11667329.036855</v>
      </c>
      <c r="E88" s="38" t="n">
        <v>0</v>
      </c>
      <c r="F88" s="38" t="n">
        <v>1352020.908718</v>
      </c>
      <c r="G88" s="38" t="n">
        <v>19421485.8191385</v>
      </c>
      <c r="H88" s="38" t="n">
        <v>38199277.460601</v>
      </c>
      <c r="I88" s="38" t="n">
        <v>832181.99098</v>
      </c>
      <c r="J88" s="38" t="n">
        <v>0</v>
      </c>
      <c r="K88" s="38" t="n">
        <v>87900.43467</v>
      </c>
      <c r="L88" s="38" t="n">
        <v>8376027.03326</v>
      </c>
      <c r="M88" s="21" t="n">
        <f aca="false">SUM(B88:L88)</f>
        <v>79936222.6842225</v>
      </c>
    </row>
    <row r="89" customFormat="false" ht="15" hidden="false" customHeight="false" outlineLevel="0" collapsed="false">
      <c r="A89" s="36" t="n">
        <v>46026</v>
      </c>
      <c r="B89" s="38" t="n">
        <v>0</v>
      </c>
      <c r="C89" s="38" t="n">
        <v>0</v>
      </c>
      <c r="D89" s="38" t="n">
        <v>13229391.692815</v>
      </c>
      <c r="E89" s="38" t="n">
        <v>0</v>
      </c>
      <c r="F89" s="38" t="n">
        <v>3050861.582943</v>
      </c>
      <c r="G89" s="38" t="n">
        <v>9825908.931947</v>
      </c>
      <c r="H89" s="38" t="n">
        <v>37833269.98505</v>
      </c>
      <c r="I89" s="38" t="n">
        <v>1778865.042415</v>
      </c>
      <c r="J89" s="38" t="n">
        <v>0</v>
      </c>
      <c r="K89" s="38" t="n">
        <v>96443.8916275</v>
      </c>
      <c r="L89" s="38" t="n">
        <v>10043388.42736</v>
      </c>
      <c r="M89" s="21" t="n">
        <f aca="false">SUM(B89:L89)</f>
        <v>75858129.5541575</v>
      </c>
    </row>
    <row r="90" customFormat="false" ht="15" hidden="false" customHeight="false" outlineLevel="0" collapsed="false">
      <c r="A90" s="36" t="n">
        <v>46027</v>
      </c>
      <c r="B90" s="38" t="n">
        <v>0</v>
      </c>
      <c r="C90" s="38" t="n">
        <v>0</v>
      </c>
      <c r="D90" s="38" t="n">
        <v>21988890.873775</v>
      </c>
      <c r="E90" s="38" t="n">
        <v>0</v>
      </c>
      <c r="F90" s="38" t="n">
        <v>27572410.129744</v>
      </c>
      <c r="G90" s="38" t="n">
        <v>61469139.0659105</v>
      </c>
      <c r="H90" s="38" t="n">
        <v>176744786.397903</v>
      </c>
      <c r="I90" s="38" t="n">
        <v>1491460.019425</v>
      </c>
      <c r="J90" s="38" t="n">
        <v>0</v>
      </c>
      <c r="K90" s="38" t="n">
        <v>264553.7759475</v>
      </c>
      <c r="L90" s="38" t="n">
        <v>42434879.4257825</v>
      </c>
      <c r="M90" s="21" t="n">
        <f aca="false">SUM(B90:L90)</f>
        <v>331966119.688487</v>
      </c>
    </row>
    <row r="91" customFormat="false" ht="15" hidden="false" customHeight="false" outlineLevel="0" collapsed="false">
      <c r="A91" s="36" t="n">
        <v>46028</v>
      </c>
      <c r="B91" s="38" t="n">
        <v>0</v>
      </c>
      <c r="C91" s="38" t="n">
        <v>0</v>
      </c>
      <c r="D91" s="38" t="n">
        <v>23861683.165805</v>
      </c>
      <c r="E91" s="38" t="n">
        <v>635454.677205</v>
      </c>
      <c r="F91" s="38" t="n">
        <v>19499251.7390225</v>
      </c>
      <c r="G91" s="38" t="n">
        <v>56872823.148516</v>
      </c>
      <c r="H91" s="38" t="n">
        <v>150342657.976058</v>
      </c>
      <c r="I91" s="38" t="n">
        <v>2212835.57135</v>
      </c>
      <c r="J91" s="38" t="n">
        <v>0</v>
      </c>
      <c r="K91" s="38" t="n">
        <v>461608.24492</v>
      </c>
      <c r="L91" s="38" t="n">
        <v>73784010.2084475</v>
      </c>
      <c r="M91" s="21" t="n">
        <f aca="false">SUM(B91:L91)</f>
        <v>327670324.731324</v>
      </c>
    </row>
    <row r="92" customFormat="false" ht="15" hidden="false" customHeight="false" outlineLevel="0" collapsed="false">
      <c r="A92" s="36" t="n">
        <v>46029</v>
      </c>
      <c r="B92" s="38" t="n">
        <v>0</v>
      </c>
      <c r="C92" s="38" t="n">
        <v>0</v>
      </c>
      <c r="D92" s="38" t="n">
        <v>20168830.9387425</v>
      </c>
      <c r="E92" s="38" t="n">
        <v>746359.83674925</v>
      </c>
      <c r="F92" s="38" t="n">
        <v>25075559.3146125</v>
      </c>
      <c r="G92" s="38" t="n">
        <v>56125648.064634</v>
      </c>
      <c r="H92" s="38" t="n">
        <v>153105966.56889</v>
      </c>
      <c r="I92" s="38" t="n">
        <v>3642676.71185</v>
      </c>
      <c r="J92" s="38" t="n">
        <v>0</v>
      </c>
      <c r="K92" s="38" t="n">
        <v>357067.25249</v>
      </c>
      <c r="L92" s="38" t="n">
        <v>73507448.3912675</v>
      </c>
      <c r="M92" s="21" t="n">
        <f aca="false">SUM(B92:L92)</f>
        <v>332729557.079235</v>
      </c>
    </row>
    <row r="93" customFormat="false" ht="15" hidden="false" customHeight="false" outlineLevel="0" collapsed="false">
      <c r="A93" s="36" t="n">
        <v>46030</v>
      </c>
      <c r="B93" s="38" t="n">
        <v>0</v>
      </c>
      <c r="C93" s="38" t="n">
        <v>0</v>
      </c>
      <c r="D93" s="38" t="n">
        <v>26340710.6865775</v>
      </c>
      <c r="E93" s="38" t="n">
        <v>1123125.7413285</v>
      </c>
      <c r="F93" s="38" t="n">
        <v>40587267.9056625</v>
      </c>
      <c r="G93" s="38" t="n">
        <v>88825179.6646705</v>
      </c>
      <c r="H93" s="38" t="n">
        <v>213253513.858019</v>
      </c>
      <c r="I93" s="38" t="n">
        <v>2477750.8448825</v>
      </c>
      <c r="J93" s="38" t="n">
        <v>0</v>
      </c>
      <c r="K93" s="38" t="n">
        <v>211708.118545</v>
      </c>
      <c r="L93" s="38" t="n">
        <v>46802577.783725</v>
      </c>
      <c r="M93" s="21" t="n">
        <f aca="false">SUM(B93:L93)</f>
        <v>419621834.603411</v>
      </c>
    </row>
    <row r="94" customFormat="false" ht="15" hidden="false" customHeight="false" outlineLevel="0" collapsed="false">
      <c r="A94" s="36" t="n">
        <v>46031</v>
      </c>
      <c r="B94" s="38" t="n">
        <v>0</v>
      </c>
      <c r="C94" s="38" t="n">
        <v>0</v>
      </c>
      <c r="D94" s="38" t="n">
        <v>20352174.52377</v>
      </c>
      <c r="E94" s="38" t="n">
        <v>1800582.30881125</v>
      </c>
      <c r="F94" s="38" t="n">
        <v>15910207.5643695</v>
      </c>
      <c r="G94" s="38" t="n">
        <v>44616029.9811275</v>
      </c>
      <c r="H94" s="38" t="n">
        <v>180213917.39155</v>
      </c>
      <c r="I94" s="38" t="n">
        <v>2174842.8163175</v>
      </c>
      <c r="J94" s="38" t="n">
        <v>0</v>
      </c>
      <c r="K94" s="38" t="n">
        <v>119173.589635</v>
      </c>
      <c r="L94" s="38" t="n">
        <v>46560440.28206</v>
      </c>
      <c r="M94" s="21" t="n">
        <f aca="false">SUM(B94:L94)</f>
        <v>311747368.45764</v>
      </c>
    </row>
    <row r="95" customFormat="false" ht="15" hidden="false" customHeight="false" outlineLevel="0" collapsed="false">
      <c r="A95" s="36" t="n">
        <v>46032</v>
      </c>
      <c r="B95" s="38" t="n">
        <v>0</v>
      </c>
      <c r="C95" s="38" t="n">
        <v>0</v>
      </c>
      <c r="D95" s="38" t="n">
        <v>10846206.7381</v>
      </c>
      <c r="E95" s="38" t="n">
        <v>273405.97775525</v>
      </c>
      <c r="F95" s="38" t="n">
        <v>1519183.3825125</v>
      </c>
      <c r="G95" s="38" t="n">
        <v>10119741.7614073</v>
      </c>
      <c r="H95" s="38" t="n">
        <v>38862776.747802</v>
      </c>
      <c r="I95" s="38" t="n">
        <v>421023.56102</v>
      </c>
      <c r="J95" s="38" t="n">
        <v>0</v>
      </c>
      <c r="K95" s="38" t="n">
        <v>35971.64318</v>
      </c>
      <c r="L95" s="38" t="n">
        <v>16089923.566245</v>
      </c>
      <c r="M95" s="21" t="n">
        <f aca="false">SUM(B95:L95)</f>
        <v>78168233.378022</v>
      </c>
    </row>
    <row r="96" customFormat="false" ht="15" hidden="false" customHeight="false" outlineLevel="0" collapsed="false">
      <c r="A96" s="36" t="n">
        <v>46033</v>
      </c>
      <c r="B96" s="38" t="n">
        <v>0</v>
      </c>
      <c r="C96" s="38" t="n">
        <v>0</v>
      </c>
      <c r="D96" s="38" t="n">
        <v>18032916.5489275</v>
      </c>
      <c r="E96" s="38" t="n">
        <v>744165.53113225</v>
      </c>
      <c r="F96" s="38" t="n">
        <v>7896663.57703</v>
      </c>
      <c r="G96" s="38" t="n">
        <v>7541320.9232745</v>
      </c>
      <c r="H96" s="38" t="n">
        <v>50539156.9181625</v>
      </c>
      <c r="I96" s="38" t="n">
        <v>72217742.14715</v>
      </c>
      <c r="J96" s="38" t="n">
        <v>0</v>
      </c>
      <c r="K96" s="38" t="n">
        <v>71258.2435875</v>
      </c>
      <c r="L96" s="38" t="n">
        <v>15848891.2723</v>
      </c>
      <c r="M96" s="21" t="n">
        <f aca="false">SUM(B96:L96)</f>
        <v>172892115.161564</v>
      </c>
    </row>
    <row r="97" customFormat="false" ht="15" hidden="false" customHeight="false" outlineLevel="0" collapsed="false">
      <c r="A97" s="36" t="n">
        <v>46034</v>
      </c>
      <c r="B97" s="38" t="n">
        <v>0</v>
      </c>
      <c r="C97" s="38" t="n">
        <v>0</v>
      </c>
      <c r="D97" s="38" t="n">
        <v>36904258.8402425</v>
      </c>
      <c r="E97" s="38" t="n">
        <v>1889587.85220325</v>
      </c>
      <c r="F97" s="38" t="n">
        <v>20653667.2192065</v>
      </c>
      <c r="G97" s="38" t="n">
        <v>70681237.331072</v>
      </c>
      <c r="H97" s="38" t="n">
        <v>195526640.382098</v>
      </c>
      <c r="I97" s="38" t="n">
        <v>8794438.7514675</v>
      </c>
      <c r="J97" s="38" t="n">
        <v>0</v>
      </c>
      <c r="K97" s="38" t="n">
        <v>157638.3871975</v>
      </c>
      <c r="L97" s="38" t="n">
        <v>111047681.502348</v>
      </c>
      <c r="M97" s="21" t="n">
        <f aca="false">SUM(B97:L97)</f>
        <v>445655150.265835</v>
      </c>
    </row>
    <row r="98" customFormat="false" ht="15" hidden="false" customHeight="false" outlineLevel="0" collapsed="false">
      <c r="A98" s="36" t="n">
        <v>46035</v>
      </c>
      <c r="B98" s="38" t="n">
        <v>0</v>
      </c>
      <c r="C98" s="38" t="n">
        <v>0</v>
      </c>
      <c r="D98" s="38" t="n">
        <v>37589235.7895525</v>
      </c>
      <c r="E98" s="38" t="n">
        <v>2403521.430116</v>
      </c>
      <c r="F98" s="38" t="n">
        <v>38601206.65063</v>
      </c>
      <c r="G98" s="38" t="n">
        <v>91787256.884313</v>
      </c>
      <c r="H98" s="38" t="n">
        <v>270343704.874595</v>
      </c>
      <c r="I98" s="38" t="n">
        <v>4350272.12105</v>
      </c>
      <c r="J98" s="38" t="n">
        <v>0</v>
      </c>
      <c r="K98" s="38" t="n">
        <v>218622.3205625</v>
      </c>
      <c r="L98" s="38" t="n">
        <v>135244439.193495</v>
      </c>
      <c r="M98" s="21" t="n">
        <f aca="false">SUM(B98:L98)</f>
        <v>580538259.264314</v>
      </c>
    </row>
    <row r="99" customFormat="false" ht="15" hidden="false" customHeight="false" outlineLevel="0" collapsed="false">
      <c r="A99" s="36" t="n">
        <v>46036</v>
      </c>
      <c r="B99" s="38" t="n">
        <v>0</v>
      </c>
      <c r="C99" s="38" t="n">
        <v>0</v>
      </c>
      <c r="D99" s="38" t="n">
        <v>40391842.247642</v>
      </c>
      <c r="E99" s="38" t="n">
        <v>2918096.93239425</v>
      </c>
      <c r="F99" s="38" t="n">
        <v>42163910.054108</v>
      </c>
      <c r="G99" s="38" t="n">
        <v>79932353.900812</v>
      </c>
      <c r="H99" s="38" t="n">
        <v>344993340.21207</v>
      </c>
      <c r="I99" s="38" t="n">
        <v>2903288.8270625</v>
      </c>
      <c r="J99" s="38" t="n">
        <v>1632215.6852595</v>
      </c>
      <c r="K99" s="38" t="n">
        <v>869436.254</v>
      </c>
      <c r="L99" s="38" t="n">
        <v>190818498.630035</v>
      </c>
      <c r="M99" s="21" t="n">
        <f aca="false">SUM(B99:L99)</f>
        <v>706622982.743383</v>
      </c>
    </row>
    <row r="100" customFormat="false" ht="15" hidden="false" customHeight="false" outlineLevel="0" collapsed="false">
      <c r="A100" s="36" t="n">
        <v>46037</v>
      </c>
      <c r="B100" s="38" t="n">
        <v>0</v>
      </c>
      <c r="C100" s="38" t="n">
        <v>0</v>
      </c>
      <c r="D100" s="38" t="n">
        <v>34923588.4733403</v>
      </c>
      <c r="E100" s="38" t="n">
        <v>2068726.51713825</v>
      </c>
      <c r="F100" s="38" t="n">
        <v>43607044.407494</v>
      </c>
      <c r="G100" s="38" t="n">
        <v>68373778.4522705</v>
      </c>
      <c r="H100" s="38" t="n">
        <v>317562283.14445</v>
      </c>
      <c r="I100" s="38" t="n">
        <v>3726998.701185</v>
      </c>
      <c r="J100" s="38" t="n">
        <v>3158906.0475615</v>
      </c>
      <c r="K100" s="38" t="n">
        <v>557715.7144875</v>
      </c>
      <c r="L100" s="38" t="n">
        <v>252282209.581515</v>
      </c>
      <c r="M100" s="21" t="n">
        <f aca="false">SUM(B100:L100)</f>
        <v>726261251.039442</v>
      </c>
    </row>
    <row r="101" customFormat="false" ht="15" hidden="false" customHeight="false" outlineLevel="0" collapsed="false">
      <c r="A101" s="36" t="n">
        <v>46038</v>
      </c>
      <c r="B101" s="38" t="n">
        <v>0</v>
      </c>
      <c r="C101" s="38" t="n">
        <v>0</v>
      </c>
      <c r="D101" s="38" t="n">
        <v>19714740.1925033</v>
      </c>
      <c r="E101" s="38" t="n">
        <v>1167736.46719875</v>
      </c>
      <c r="F101" s="38" t="n">
        <v>21261339.498766</v>
      </c>
      <c r="G101" s="38" t="n">
        <v>74259058.9042893</v>
      </c>
      <c r="H101" s="38" t="n">
        <v>218054960.96595</v>
      </c>
      <c r="I101" s="38" t="n">
        <v>3610032.2066475</v>
      </c>
      <c r="J101" s="38" t="n">
        <v>11592479.4962795</v>
      </c>
      <c r="K101" s="38" t="n">
        <v>1091744.32678</v>
      </c>
      <c r="L101" s="38" t="n">
        <v>195800717.03919</v>
      </c>
      <c r="M101" s="21" t="n">
        <f aca="false">SUM(B101:L101)</f>
        <v>546552809.097604</v>
      </c>
    </row>
    <row r="102" customFormat="false" ht="15" hidden="false" customHeight="false" outlineLevel="0" collapsed="false">
      <c r="A102" s="36" t="n">
        <v>46039</v>
      </c>
      <c r="B102" s="38" t="n">
        <v>0</v>
      </c>
      <c r="C102" s="38" t="n">
        <v>0</v>
      </c>
      <c r="D102" s="38" t="n">
        <v>16237747.8130405</v>
      </c>
      <c r="E102" s="38" t="n">
        <v>257530.362076</v>
      </c>
      <c r="F102" s="38" t="n">
        <v>1648371.76767225</v>
      </c>
      <c r="G102" s="38" t="n">
        <v>14085377.498889</v>
      </c>
      <c r="H102" s="38" t="n">
        <v>124162995.899571</v>
      </c>
      <c r="I102" s="38" t="n">
        <v>2201225.2269775</v>
      </c>
      <c r="J102" s="38" t="n">
        <v>1879609.979997</v>
      </c>
      <c r="K102" s="38" t="n">
        <v>167686.8145425</v>
      </c>
      <c r="L102" s="38" t="n">
        <v>11495415.0041375</v>
      </c>
      <c r="M102" s="21" t="n">
        <f aca="false">SUM(B102:L102)</f>
        <v>172135960.366904</v>
      </c>
    </row>
    <row r="103" customFormat="false" ht="15" hidden="false" customHeight="false" outlineLevel="0" collapsed="false">
      <c r="A103" s="36" t="n">
        <v>46040</v>
      </c>
      <c r="B103" s="38" t="n">
        <v>0</v>
      </c>
      <c r="C103" s="38" t="n">
        <v>0</v>
      </c>
      <c r="D103" s="38" t="n">
        <v>19490129.8871713</v>
      </c>
      <c r="E103" s="38" t="n">
        <v>310112.57071575</v>
      </c>
      <c r="F103" s="38" t="n">
        <v>2045078.345431</v>
      </c>
      <c r="G103" s="38" t="n">
        <v>7390042.90145425</v>
      </c>
      <c r="H103" s="38" t="n">
        <v>92955955.4428415</v>
      </c>
      <c r="I103" s="38" t="n">
        <v>2749205.41856</v>
      </c>
      <c r="J103" s="38" t="n">
        <v>2356207.637429</v>
      </c>
      <c r="K103" s="38" t="n">
        <v>637768.326825</v>
      </c>
      <c r="L103" s="38" t="n">
        <v>56912926.61098</v>
      </c>
      <c r="M103" s="21" t="n">
        <f aca="false">SUM(B103:L103)</f>
        <v>184847427.141408</v>
      </c>
    </row>
    <row r="104" customFormat="false" ht="15" hidden="false" customHeight="false" outlineLevel="0" collapsed="false">
      <c r="A104" s="36" t="n">
        <v>46041</v>
      </c>
      <c r="B104" s="38" t="n">
        <v>0</v>
      </c>
      <c r="C104" s="38" t="n">
        <v>0</v>
      </c>
      <c r="D104" s="38" t="n">
        <v>32629377.955316</v>
      </c>
      <c r="E104" s="38" t="n">
        <v>1057701.74550875</v>
      </c>
      <c r="F104" s="38" t="n">
        <v>11178612.5368678</v>
      </c>
      <c r="G104" s="38" t="n">
        <v>36560628.2655725</v>
      </c>
      <c r="H104" s="38" t="n">
        <v>193017496.443025</v>
      </c>
      <c r="I104" s="38" t="n">
        <v>3303817.256825</v>
      </c>
      <c r="J104" s="38" t="n">
        <v>19239087.8676645</v>
      </c>
      <c r="K104" s="38" t="n">
        <v>245310.3123475</v>
      </c>
      <c r="L104" s="38" t="n">
        <v>130200002.989758</v>
      </c>
      <c r="M104" s="21" t="n">
        <f aca="false">SUM(B104:L104)</f>
        <v>427432035.372884</v>
      </c>
    </row>
    <row r="105" customFormat="false" ht="15" hidden="false" customHeight="false" outlineLevel="0" collapsed="false">
      <c r="A105" s="36" t="n">
        <v>46042</v>
      </c>
      <c r="B105" s="38" t="n">
        <v>0</v>
      </c>
      <c r="C105" s="38" t="n">
        <v>0</v>
      </c>
      <c r="D105" s="38" t="n">
        <v>39337004.9209625</v>
      </c>
      <c r="E105" s="38" t="n">
        <v>1226121.736394</v>
      </c>
      <c r="F105" s="38" t="n">
        <v>41296253.93304</v>
      </c>
      <c r="G105" s="38" t="n">
        <v>139164641.473379</v>
      </c>
      <c r="H105" s="38" t="n">
        <v>315538497.30135</v>
      </c>
      <c r="I105" s="38" t="n">
        <v>6296615.20974</v>
      </c>
      <c r="J105" s="38" t="n">
        <v>25399646.931302</v>
      </c>
      <c r="K105" s="38" t="n">
        <v>72899.4828275</v>
      </c>
      <c r="L105" s="38" t="n">
        <v>193371311.456613</v>
      </c>
      <c r="M105" s="21" t="n">
        <f aca="false">SUM(B105:L105)</f>
        <v>761702992.445607</v>
      </c>
    </row>
    <row r="106" customFormat="false" ht="15" hidden="false" customHeight="false" outlineLevel="0" collapsed="false">
      <c r="A106" s="36" t="n">
        <v>46043</v>
      </c>
      <c r="B106" s="38" t="n">
        <v>0</v>
      </c>
      <c r="C106" s="38" t="n">
        <v>166804.1414585</v>
      </c>
      <c r="D106" s="38" t="n">
        <v>41305512.2102113</v>
      </c>
      <c r="E106" s="38" t="n">
        <v>2571183.31831225</v>
      </c>
      <c r="F106" s="38" t="n">
        <v>34595773.3355075</v>
      </c>
      <c r="G106" s="38" t="n">
        <v>154842190.92826</v>
      </c>
      <c r="H106" s="38" t="n">
        <v>405913527.704576</v>
      </c>
      <c r="I106" s="38" t="n">
        <v>4630788.42265</v>
      </c>
      <c r="J106" s="38" t="n">
        <v>21390710.1098218</v>
      </c>
      <c r="K106" s="38" t="n">
        <v>293497.538715</v>
      </c>
      <c r="L106" s="38" t="n">
        <v>319860744.655665</v>
      </c>
      <c r="M106" s="21" t="n">
        <f aca="false">SUM(B106:L106)</f>
        <v>985570732.365177</v>
      </c>
    </row>
    <row r="107" customFormat="false" ht="15" hidden="false" customHeight="false" outlineLevel="0" collapsed="false">
      <c r="A107" s="36" t="n">
        <v>46044</v>
      </c>
      <c r="B107" s="38" t="n">
        <v>0</v>
      </c>
      <c r="C107" s="38" t="n">
        <v>262837.95940425</v>
      </c>
      <c r="D107" s="38" t="n">
        <v>21254056.321122</v>
      </c>
      <c r="E107" s="38" t="n">
        <v>14636389.1590283</v>
      </c>
      <c r="F107" s="38" t="n">
        <v>42714802.7839355</v>
      </c>
      <c r="G107" s="38" t="n">
        <v>166098851.457317</v>
      </c>
      <c r="H107" s="38" t="n">
        <v>436047752.331659</v>
      </c>
      <c r="I107" s="38" t="n">
        <v>4431250.97671</v>
      </c>
      <c r="J107" s="38" t="n">
        <v>7036582.0923115</v>
      </c>
      <c r="K107" s="38" t="n">
        <v>553222.162835</v>
      </c>
      <c r="L107" s="38" t="n">
        <v>228012892.696498</v>
      </c>
      <c r="M107" s="21" t="n">
        <f aca="false">SUM(B107:L107)</f>
        <v>921048637.94082</v>
      </c>
    </row>
    <row r="108" customFormat="false" ht="15" hidden="false" customHeight="false" outlineLevel="0" collapsed="false">
      <c r="A108" s="36" t="n">
        <v>46045</v>
      </c>
      <c r="B108" s="38" t="n">
        <v>0</v>
      </c>
      <c r="C108" s="38" t="n">
        <v>633278.32633475</v>
      </c>
      <c r="D108" s="38" t="n">
        <v>28675410.789461</v>
      </c>
      <c r="E108" s="38" t="n">
        <v>9401703.6983425</v>
      </c>
      <c r="F108" s="38" t="n">
        <v>32911437.693592</v>
      </c>
      <c r="G108" s="38" t="n">
        <v>132394013.654273</v>
      </c>
      <c r="H108" s="38" t="n">
        <v>276337082.925017</v>
      </c>
      <c r="I108" s="38" t="n">
        <v>7907170.075275</v>
      </c>
      <c r="J108" s="38" t="n">
        <v>30062024.1467173</v>
      </c>
      <c r="K108" s="38" t="n">
        <v>381742.69089</v>
      </c>
      <c r="L108" s="38" t="n">
        <v>361070305.565</v>
      </c>
      <c r="M108" s="21" t="n">
        <f aca="false">SUM(B108:L108)</f>
        <v>879774169.564902</v>
      </c>
    </row>
    <row r="109" customFormat="false" ht="15" hidden="false" customHeight="false" outlineLevel="0" collapsed="false">
      <c r="A109" s="36" t="n">
        <v>46046</v>
      </c>
      <c r="B109" s="38" t="n">
        <v>0</v>
      </c>
      <c r="C109" s="38" t="n">
        <v>214760.666557</v>
      </c>
      <c r="D109" s="38" t="n">
        <v>19882579.2906733</v>
      </c>
      <c r="E109" s="38" t="n">
        <v>8992695.31629175</v>
      </c>
      <c r="F109" s="38" t="n">
        <v>843834.47392125</v>
      </c>
      <c r="G109" s="38" t="n">
        <v>10057986.6915928</v>
      </c>
      <c r="H109" s="38" t="n">
        <v>63175649.7176275</v>
      </c>
      <c r="I109" s="38" t="n">
        <v>1972352.192415</v>
      </c>
      <c r="J109" s="38" t="n">
        <v>15716506.573626</v>
      </c>
      <c r="K109" s="38" t="n">
        <v>65636.6869875</v>
      </c>
      <c r="L109" s="38" t="n">
        <v>75619140.59715</v>
      </c>
      <c r="M109" s="21" t="n">
        <f aca="false">SUM(B109:L109)</f>
        <v>196541142.206842</v>
      </c>
    </row>
    <row r="110" customFormat="false" ht="15" hidden="false" customHeight="false" outlineLevel="0" collapsed="false">
      <c r="A110" s="36" t="n">
        <v>46047</v>
      </c>
      <c r="B110" s="38" t="n">
        <v>0</v>
      </c>
      <c r="C110" s="38" t="n">
        <v>126688.730177</v>
      </c>
      <c r="D110" s="38" t="n">
        <v>38004029.3988595</v>
      </c>
      <c r="E110" s="38" t="n">
        <v>10474160.2929545</v>
      </c>
      <c r="F110" s="38" t="n">
        <v>3191424.556948</v>
      </c>
      <c r="G110" s="38" t="n">
        <v>46823564.3082488</v>
      </c>
      <c r="H110" s="38" t="n">
        <v>110935927.897073</v>
      </c>
      <c r="I110" s="38" t="n">
        <v>59313649.767855</v>
      </c>
      <c r="J110" s="38" t="n">
        <v>29021786.974636</v>
      </c>
      <c r="K110" s="38" t="n">
        <v>216735.131565</v>
      </c>
      <c r="L110" s="38" t="n">
        <v>148812756.799315</v>
      </c>
      <c r="M110" s="21" t="n">
        <f aca="false">SUM(B110:L110)</f>
        <v>446920723.857632</v>
      </c>
    </row>
    <row r="111" customFormat="false" ht="15" hidden="false" customHeight="false" outlineLevel="0" collapsed="false">
      <c r="A111" s="36" t="n">
        <v>46048</v>
      </c>
      <c r="B111" s="38" t="n">
        <v>0</v>
      </c>
      <c r="C111" s="38" t="n">
        <v>1204562.1198975</v>
      </c>
      <c r="D111" s="38" t="n">
        <v>30901981.5354625</v>
      </c>
      <c r="E111" s="38" t="n">
        <v>17741291.9655815</v>
      </c>
      <c r="F111" s="38" t="n">
        <v>39438816.4327398</v>
      </c>
      <c r="G111" s="38" t="n">
        <v>112379897.19141</v>
      </c>
      <c r="H111" s="38" t="n">
        <v>298178280.898886</v>
      </c>
      <c r="I111" s="38" t="n">
        <v>10872925.903325</v>
      </c>
      <c r="J111" s="38" t="n">
        <v>85820580.9764325</v>
      </c>
      <c r="K111" s="38" t="n">
        <v>385530.9850775</v>
      </c>
      <c r="L111" s="38" t="n">
        <v>1098741759.0766</v>
      </c>
      <c r="M111" s="21" t="n">
        <f aca="false">SUM(B111:L111)</f>
        <v>1695665627.08541</v>
      </c>
    </row>
    <row r="112" customFormat="false" ht="15" hidden="false" customHeight="false" outlineLevel="0" collapsed="false">
      <c r="A112" s="36" t="n">
        <v>46049</v>
      </c>
      <c r="B112" s="38" t="n">
        <v>0</v>
      </c>
      <c r="C112" s="38" t="n">
        <v>862762.917456</v>
      </c>
      <c r="D112" s="38" t="n">
        <v>36498593.5880195</v>
      </c>
      <c r="E112" s="38" t="n">
        <v>12140923.0611515</v>
      </c>
      <c r="F112" s="38" t="n">
        <v>32147750.7201765</v>
      </c>
      <c r="G112" s="38" t="n">
        <v>110924754.150702</v>
      </c>
      <c r="H112" s="38" t="n">
        <v>258403762.061952</v>
      </c>
      <c r="I112" s="38" t="n">
        <v>12122552.6452625</v>
      </c>
      <c r="J112" s="38" t="n">
        <v>32507737.9612485</v>
      </c>
      <c r="K112" s="38" t="n">
        <v>517720.93809</v>
      </c>
      <c r="L112" s="38" t="n">
        <v>1290267117.51753</v>
      </c>
      <c r="M112" s="21" t="n">
        <f aca="false">SUM(B112:L112)</f>
        <v>1786393675.56158</v>
      </c>
    </row>
    <row r="113" customFormat="false" ht="15" hidden="false" customHeight="false" outlineLevel="0" collapsed="false">
      <c r="A113" s="36" t="n">
        <v>46050</v>
      </c>
      <c r="B113" s="38" t="n">
        <v>0</v>
      </c>
      <c r="C113" s="38" t="n">
        <v>786841.575102</v>
      </c>
      <c r="D113" s="38" t="n">
        <v>39978065.1606973</v>
      </c>
      <c r="E113" s="38" t="n">
        <v>18600191.4457425</v>
      </c>
      <c r="F113" s="38" t="n">
        <v>29414022.7677045</v>
      </c>
      <c r="G113" s="38" t="n">
        <v>214846526.252688</v>
      </c>
      <c r="H113" s="38" t="n">
        <v>398751647.482486</v>
      </c>
      <c r="I113" s="38" t="n">
        <v>12867943.491025</v>
      </c>
      <c r="J113" s="38" t="n">
        <v>39498935.982258</v>
      </c>
      <c r="K113" s="38" t="n">
        <v>495589.0961675</v>
      </c>
      <c r="L113" s="38" t="n">
        <v>1470078013.49208</v>
      </c>
      <c r="M113" s="21" t="n">
        <f aca="false">SUM(B113:L113)</f>
        <v>2225317776.74595</v>
      </c>
    </row>
    <row r="114" customFormat="false" ht="15" hidden="false" customHeight="false" outlineLevel="0" collapsed="false">
      <c r="A114" s="36" t="n">
        <v>46051</v>
      </c>
      <c r="B114" s="38" t="n">
        <v>0</v>
      </c>
      <c r="C114" s="38" t="n">
        <v>382531.07092175</v>
      </c>
      <c r="D114" s="38" t="n">
        <v>52563185.8787153</v>
      </c>
      <c r="E114" s="38" t="n">
        <v>29023619.6234955</v>
      </c>
      <c r="F114" s="38" t="n">
        <v>34908321.0351208</v>
      </c>
      <c r="G114" s="38" t="n">
        <v>286123964.484296</v>
      </c>
      <c r="H114" s="38" t="n">
        <v>473133253.114381</v>
      </c>
      <c r="I114" s="38" t="n">
        <v>8680842.77105</v>
      </c>
      <c r="J114" s="38" t="n">
        <v>307417017.118864</v>
      </c>
      <c r="K114" s="38" t="n">
        <v>614375.8130575</v>
      </c>
      <c r="L114" s="38" t="n">
        <v>2142504685.24412</v>
      </c>
      <c r="M114" s="21" t="n">
        <f aca="false">SUM(B114:L114)</f>
        <v>3335351796.15402</v>
      </c>
    </row>
    <row r="115" customFormat="false" ht="15" hidden="false" customHeight="false" outlineLevel="0" collapsed="false">
      <c r="A115" s="36" t="n">
        <v>46052</v>
      </c>
      <c r="B115" s="38" t="n">
        <v>0</v>
      </c>
      <c r="C115" s="38" t="n">
        <v>241103.5260235</v>
      </c>
      <c r="D115" s="38" t="n">
        <v>55348235.8189018</v>
      </c>
      <c r="E115" s="38" t="n">
        <v>23365065.019432</v>
      </c>
      <c r="F115" s="38" t="n">
        <v>56337874.7359363</v>
      </c>
      <c r="G115" s="38" t="n">
        <v>212973968.154356</v>
      </c>
      <c r="H115" s="38" t="n">
        <v>535050936.289493</v>
      </c>
      <c r="I115" s="38" t="n">
        <v>8813166.370175</v>
      </c>
      <c r="J115" s="38" t="n">
        <v>269253674.882902</v>
      </c>
      <c r="K115" s="38" t="n">
        <v>1670564.5956525</v>
      </c>
      <c r="L115" s="38" t="n">
        <v>3823186910.49962</v>
      </c>
      <c r="M115" s="21" t="n">
        <f aca="false">SUM(B115:L115)</f>
        <v>4986241499.8925</v>
      </c>
    </row>
    <row r="116" customFormat="false" ht="15" hidden="false" customHeight="false" outlineLevel="0" collapsed="false">
      <c r="A116" s="36" t="n">
        <v>46053</v>
      </c>
      <c r="B116" s="38" t="n">
        <v>0</v>
      </c>
      <c r="C116" s="38" t="n">
        <v>649647.43976</v>
      </c>
      <c r="D116" s="38" t="n">
        <v>58900137.2911363</v>
      </c>
      <c r="E116" s="38" t="n">
        <v>2490809.68582925</v>
      </c>
      <c r="F116" s="38" t="n">
        <v>10591882.5718233</v>
      </c>
      <c r="G116" s="38" t="n">
        <v>36893704.5766785</v>
      </c>
      <c r="H116" s="38" t="n">
        <v>83077110.588464</v>
      </c>
      <c r="I116" s="38" t="n">
        <v>2202612.297585</v>
      </c>
      <c r="J116" s="38" t="n">
        <v>25122403.510284</v>
      </c>
      <c r="K116" s="38" t="n">
        <v>420551.487385</v>
      </c>
      <c r="L116" s="38" t="n">
        <v>233413593.379477</v>
      </c>
      <c r="M116" s="21" t="n">
        <f aca="false">SUM(B116:L116)</f>
        <v>453762452.828422</v>
      </c>
    </row>
    <row r="117" customFormat="false" ht="15" hidden="false" customHeight="false" outlineLevel="0" collapsed="false">
      <c r="A117" s="36" t="n">
        <v>46054</v>
      </c>
      <c r="B117" s="38" t="n">
        <v>0</v>
      </c>
      <c r="C117" s="38" t="n">
        <v>262162.0544085</v>
      </c>
      <c r="D117" s="38" t="n">
        <v>38272578.5837593</v>
      </c>
      <c r="E117" s="38" t="n">
        <v>7632075.846368</v>
      </c>
      <c r="F117" s="38" t="n">
        <v>24336086.5491533</v>
      </c>
      <c r="G117" s="38" t="n">
        <v>57390269.531168</v>
      </c>
      <c r="H117" s="38" t="n">
        <v>97380472.8748543</v>
      </c>
      <c r="I117" s="38" t="n">
        <v>2890128.725375</v>
      </c>
      <c r="J117" s="38" t="n">
        <v>19251535.5669773</v>
      </c>
      <c r="K117" s="38" t="n">
        <v>108421.6647275</v>
      </c>
      <c r="L117" s="38" t="n">
        <v>325733263.451619</v>
      </c>
      <c r="M117" s="21" t="n">
        <f aca="false">SUM(B117:L117)</f>
        <v>573256994.84841</v>
      </c>
    </row>
    <row r="118" customFormat="false" ht="15" hidden="false" customHeight="false" outlineLevel="0" collapsed="false">
      <c r="A118" s="36" t="n">
        <v>46055</v>
      </c>
      <c r="B118" s="38" t="n">
        <v>0</v>
      </c>
      <c r="C118" s="38" t="n">
        <v>361283.606904</v>
      </c>
      <c r="D118" s="38" t="n">
        <v>52748014.1500545</v>
      </c>
      <c r="E118" s="38" t="n">
        <v>28664328.117733</v>
      </c>
      <c r="F118" s="38" t="n">
        <v>91674686.783274</v>
      </c>
      <c r="G118" s="38" t="n">
        <v>276668729.653587</v>
      </c>
      <c r="H118" s="38" t="n">
        <v>692757769.19194</v>
      </c>
      <c r="I118" s="38" t="n">
        <v>7406659.159</v>
      </c>
      <c r="J118" s="38" t="n">
        <v>101494681.067805</v>
      </c>
      <c r="K118" s="38" t="n">
        <v>360899.81224</v>
      </c>
      <c r="L118" s="38" t="n">
        <v>2283554362.32525</v>
      </c>
      <c r="M118" s="21" t="n">
        <f aca="false">SUM(B118:L118)</f>
        <v>3535691413.86779</v>
      </c>
    </row>
    <row r="119" customFormat="false" ht="15" hidden="false" customHeight="false" outlineLevel="0" collapsed="false">
      <c r="A119" s="36" t="n">
        <v>46056</v>
      </c>
      <c r="B119" s="38" t="n">
        <v>0</v>
      </c>
      <c r="C119" s="38" t="n">
        <v>234908.10770625</v>
      </c>
      <c r="D119" s="38" t="n">
        <v>64902964.8809828</v>
      </c>
      <c r="E119" s="38" t="n">
        <v>32265033.327834</v>
      </c>
      <c r="F119" s="38" t="n">
        <v>74501418.5958768</v>
      </c>
      <c r="G119" s="38" t="n">
        <v>299951465.852549</v>
      </c>
      <c r="H119" s="38" t="n">
        <v>435122571.136514</v>
      </c>
      <c r="I119" s="38" t="n">
        <v>5571059.434775</v>
      </c>
      <c r="J119" s="38" t="n">
        <v>114009216.465733</v>
      </c>
      <c r="K119" s="38" t="n">
        <v>2064950.584635</v>
      </c>
      <c r="L119" s="38" t="n">
        <v>1718004691.24964</v>
      </c>
      <c r="M119" s="21" t="n">
        <f aca="false">SUM(B119:L119)</f>
        <v>2746628279.63624</v>
      </c>
    </row>
    <row r="120" customFormat="false" ht="15" hidden="false" customHeight="false" outlineLevel="0" collapsed="false">
      <c r="A120" s="36" t="n">
        <v>46057</v>
      </c>
      <c r="B120" s="38" t="n">
        <v>0</v>
      </c>
      <c r="C120" s="38" t="n">
        <v>572663.9790985</v>
      </c>
      <c r="D120" s="38" t="n">
        <v>56258542.3364088</v>
      </c>
      <c r="E120" s="38" t="n">
        <v>23041822.9911958</v>
      </c>
      <c r="F120" s="38" t="n">
        <v>41292208.037052</v>
      </c>
      <c r="G120" s="38" t="n">
        <v>274037110.467753</v>
      </c>
      <c r="H120" s="38" t="n">
        <v>552465522.224409</v>
      </c>
      <c r="I120" s="38" t="n">
        <v>6908564.817</v>
      </c>
      <c r="J120" s="38" t="n">
        <v>61351807.7271945</v>
      </c>
      <c r="K120" s="38" t="n">
        <v>967239.2959375</v>
      </c>
      <c r="L120" s="38" t="n">
        <v>1627176199.22983</v>
      </c>
      <c r="M120" s="21" t="n">
        <f aca="false">SUM(B120:L120)</f>
        <v>2644071681.10588</v>
      </c>
    </row>
    <row r="121" customFormat="false" ht="15" hidden="false" customHeight="false" outlineLevel="0" collapsed="false">
      <c r="A121" s="36" t="n">
        <v>46058</v>
      </c>
      <c r="B121" s="38" t="n">
        <v>0</v>
      </c>
      <c r="C121" s="38" t="n">
        <v>554608.447848</v>
      </c>
      <c r="D121" s="38" t="n">
        <v>101827709.532386</v>
      </c>
      <c r="E121" s="38" t="n">
        <v>18621523.8611478</v>
      </c>
      <c r="F121" s="38" t="n">
        <v>77942464.4447668</v>
      </c>
      <c r="G121" s="38" t="n">
        <v>369599182.592013</v>
      </c>
      <c r="H121" s="38" t="n">
        <v>794881917.388511</v>
      </c>
      <c r="I121" s="38" t="n">
        <v>5087734.54382</v>
      </c>
      <c r="J121" s="38" t="n">
        <v>60309690.096348</v>
      </c>
      <c r="K121" s="38" t="n">
        <v>845387.6335475</v>
      </c>
      <c r="L121" s="38" t="n">
        <v>3857388549.19564</v>
      </c>
      <c r="M121" s="21" t="n">
        <f aca="false">SUM(B121:L121)</f>
        <v>5287058767.73603</v>
      </c>
    </row>
    <row r="122" customFormat="false" ht="15" hidden="false" customHeight="false" outlineLevel="0" collapsed="false">
      <c r="A122" s="36" t="n">
        <v>46059</v>
      </c>
      <c r="B122" s="38" t="n">
        <v>0</v>
      </c>
      <c r="C122" s="38" t="n">
        <v>308114.99921625</v>
      </c>
      <c r="D122" s="38" t="n">
        <v>80947220.4306025</v>
      </c>
      <c r="E122" s="38" t="n">
        <v>12996563.623367</v>
      </c>
      <c r="F122" s="38" t="n">
        <v>83691061.9840095</v>
      </c>
      <c r="G122" s="38" t="n">
        <v>296044359.245471</v>
      </c>
      <c r="H122" s="38" t="n">
        <v>556402447.900562</v>
      </c>
      <c r="I122" s="38" t="n">
        <v>6097014.8236025</v>
      </c>
      <c r="J122" s="38" t="n">
        <v>38041562.0401373</v>
      </c>
      <c r="K122" s="38" t="n">
        <v>680992.05385</v>
      </c>
      <c r="L122" s="38" t="n">
        <v>2012953536.99718</v>
      </c>
      <c r="M122" s="21" t="n">
        <f aca="false">SUM(B122:L122)</f>
        <v>3088162874.098</v>
      </c>
    </row>
    <row r="123" customFormat="false" ht="15" hidden="false" customHeight="false" outlineLevel="0" collapsed="false">
      <c r="A123" s="36" t="n">
        <v>46060</v>
      </c>
      <c r="B123" s="38" t="n">
        <v>0</v>
      </c>
      <c r="C123" s="38" t="n">
        <v>40065.79924125</v>
      </c>
      <c r="D123" s="38" t="n">
        <v>34100999.8030238</v>
      </c>
      <c r="E123" s="38" t="n">
        <v>1206316.33502975</v>
      </c>
      <c r="F123" s="38" t="n">
        <v>11228805.231982</v>
      </c>
      <c r="G123" s="38" t="n">
        <v>16828372.252039</v>
      </c>
      <c r="H123" s="38" t="n">
        <v>52067817.3447312</v>
      </c>
      <c r="I123" s="38" t="n">
        <v>1014849.888045</v>
      </c>
      <c r="J123" s="38" t="n">
        <v>2121253.917678</v>
      </c>
      <c r="K123" s="38" t="n">
        <v>1366965.7997775</v>
      </c>
      <c r="L123" s="38" t="n">
        <v>34194881.9487275</v>
      </c>
      <c r="M123" s="21" t="n">
        <f aca="false">SUM(B123:L123)</f>
        <v>154170328.320275</v>
      </c>
    </row>
    <row r="124" customFormat="false" ht="15" hidden="false" customHeight="false" outlineLevel="0" collapsed="false">
      <c r="A124" s="36" t="n">
        <v>46061</v>
      </c>
      <c r="B124" s="38" t="n">
        <v>0</v>
      </c>
      <c r="C124" s="38" t="n">
        <v>41242.65012</v>
      </c>
      <c r="D124" s="38" t="n">
        <v>18920729.5580215</v>
      </c>
      <c r="E124" s="38" t="n">
        <v>2000056.65618775</v>
      </c>
      <c r="F124" s="38" t="n">
        <v>5065278.70756475</v>
      </c>
      <c r="G124" s="38" t="n">
        <v>13979268.560613</v>
      </c>
      <c r="H124" s="38" t="n">
        <v>62564978.4785705</v>
      </c>
      <c r="I124" s="38" t="n">
        <v>3899670.08886</v>
      </c>
      <c r="J124" s="38" t="n">
        <v>9986835.17441825</v>
      </c>
      <c r="K124" s="38" t="n">
        <v>1032228.67716</v>
      </c>
      <c r="L124" s="38" t="n">
        <v>151147062.186972</v>
      </c>
      <c r="M124" s="21" t="n">
        <f aca="false">SUM(B124:L124)</f>
        <v>268637350.738487</v>
      </c>
    </row>
    <row r="125" customFormat="false" ht="15" hidden="false" customHeight="false" outlineLevel="0" collapsed="false">
      <c r="A125" s="36" t="n">
        <v>46062</v>
      </c>
      <c r="B125" s="38" t="n">
        <v>0</v>
      </c>
      <c r="C125" s="38" t="n">
        <v>191134.718904</v>
      </c>
      <c r="D125" s="38" t="n">
        <v>23707457.2348795</v>
      </c>
      <c r="E125" s="38" t="n">
        <v>9000158.16262</v>
      </c>
      <c r="F125" s="38" t="n">
        <v>50129855.8847393</v>
      </c>
      <c r="G125" s="38" t="n">
        <v>207702416.577498</v>
      </c>
      <c r="H125" s="38" t="n">
        <v>350516882.749385</v>
      </c>
      <c r="I125" s="38" t="n">
        <v>6364874.4394375</v>
      </c>
      <c r="J125" s="38" t="n">
        <v>35774550.698256</v>
      </c>
      <c r="K125" s="38" t="n">
        <v>142862.16115</v>
      </c>
      <c r="L125" s="38" t="n">
        <v>681529815.583102</v>
      </c>
      <c r="M125" s="21" t="n">
        <f aca="false">SUM(B125:L125)</f>
        <v>1365060008.20997</v>
      </c>
    </row>
    <row r="126" customFormat="false" ht="15" hidden="false" customHeight="false" outlineLevel="0" collapsed="false">
      <c r="A126" s="36" t="n">
        <v>46063</v>
      </c>
      <c r="B126" s="38" t="n">
        <v>0</v>
      </c>
      <c r="C126" s="38" t="n">
        <v>185027.2153145</v>
      </c>
      <c r="D126" s="38" t="n">
        <v>20233664.575609</v>
      </c>
      <c r="E126" s="38" t="n">
        <v>9283524.4235605</v>
      </c>
      <c r="F126" s="38" t="n">
        <v>50835604.9274003</v>
      </c>
      <c r="G126" s="38" t="n">
        <v>209582961.423692</v>
      </c>
      <c r="H126" s="38" t="n">
        <v>355366225.721399</v>
      </c>
      <c r="I126" s="38" t="n">
        <v>3553454.254365</v>
      </c>
      <c r="J126" s="38" t="n">
        <v>21339482.467304</v>
      </c>
      <c r="K126" s="38" t="n">
        <v>607043.5098675</v>
      </c>
      <c r="L126" s="38" t="n">
        <v>450953139.534551</v>
      </c>
      <c r="M126" s="21" t="n">
        <f aca="false">SUM(B126:L126)</f>
        <v>1121940128.05306</v>
      </c>
    </row>
    <row r="127" customFormat="false" ht="15" hidden="false" customHeight="false" outlineLevel="0" collapsed="false">
      <c r="A127" s="36" t="n">
        <v>46064</v>
      </c>
      <c r="B127" s="38" t="n">
        <v>0</v>
      </c>
      <c r="C127" s="38" t="n">
        <v>162819.944445</v>
      </c>
      <c r="D127" s="38" t="n">
        <v>41922684.5071383</v>
      </c>
      <c r="E127" s="38" t="n">
        <v>4911773.1737335</v>
      </c>
      <c r="F127" s="38" t="n">
        <v>63460875.0774625</v>
      </c>
      <c r="G127" s="38" t="n">
        <v>193978660.467869</v>
      </c>
      <c r="H127" s="38" t="n">
        <v>469799134.661978</v>
      </c>
      <c r="I127" s="38" t="n">
        <v>7052527.13395</v>
      </c>
      <c r="J127" s="38" t="n">
        <v>21032461.8772975</v>
      </c>
      <c r="K127" s="38" t="n">
        <v>791439.67973</v>
      </c>
      <c r="L127" s="38" t="n">
        <v>575193525.214668</v>
      </c>
      <c r="M127" s="21" t="n">
        <f aca="false">SUM(B127:L127)</f>
        <v>1378305901.73827</v>
      </c>
    </row>
    <row r="128" customFormat="false" ht="15" hidden="false" customHeight="false" outlineLevel="0" collapsed="false">
      <c r="A128" s="36" t="n">
        <v>46065</v>
      </c>
      <c r="B128" s="38" t="n">
        <v>0</v>
      </c>
      <c r="C128" s="38" t="n">
        <v>269733.12319425</v>
      </c>
      <c r="D128" s="38" t="n">
        <v>41450269.4509188</v>
      </c>
      <c r="E128" s="38" t="n">
        <v>7052421.8005675</v>
      </c>
      <c r="F128" s="38" t="n">
        <v>54846884.3584105</v>
      </c>
      <c r="G128" s="38" t="n">
        <v>194898577.994666</v>
      </c>
      <c r="H128" s="38" t="n">
        <v>575671362.841414</v>
      </c>
      <c r="I128" s="38" t="n">
        <v>5020889.342305</v>
      </c>
      <c r="J128" s="38" t="n">
        <v>17011083.3156408</v>
      </c>
      <c r="K128" s="38" t="n">
        <v>331729.5965275</v>
      </c>
      <c r="L128" s="38" t="n">
        <v>920978352.550978</v>
      </c>
      <c r="M128" s="21" t="n">
        <f aca="false">SUM(B128:L128)</f>
        <v>1817531304.37462</v>
      </c>
    </row>
    <row r="129" customFormat="false" ht="15" hidden="false" customHeight="false" outlineLevel="0" collapsed="false">
      <c r="A129" s="36" t="n">
        <v>46066</v>
      </c>
      <c r="B129" s="38" t="n">
        <v>0</v>
      </c>
      <c r="C129" s="38" t="n">
        <v>669148.5028535</v>
      </c>
      <c r="D129" s="38" t="n">
        <v>31135154.9558508</v>
      </c>
      <c r="E129" s="38" t="n">
        <v>6617294.575327</v>
      </c>
      <c r="F129" s="38" t="n">
        <v>54327965.4692475</v>
      </c>
      <c r="G129" s="38" t="n">
        <v>195543207.319643</v>
      </c>
      <c r="H129" s="38" t="n">
        <v>611237561.301325</v>
      </c>
      <c r="I129" s="38" t="n">
        <v>2411247.8676275</v>
      </c>
      <c r="J129" s="38" t="n">
        <v>19910958.2689833</v>
      </c>
      <c r="K129" s="38" t="n">
        <v>111783.3680875</v>
      </c>
      <c r="L129" s="38" t="n">
        <v>536017921.960175</v>
      </c>
      <c r="M129" s="21" t="n">
        <f aca="false">SUM(B129:L129)</f>
        <v>1457982243.58912</v>
      </c>
    </row>
    <row r="130" customFormat="false" ht="15" hidden="false" customHeight="false" outlineLevel="0" collapsed="false">
      <c r="A130" s="36" t="n">
        <v>46067</v>
      </c>
      <c r="B130" s="38" t="n">
        <v>0</v>
      </c>
      <c r="C130" s="38" t="n">
        <v>165655.6516615</v>
      </c>
      <c r="D130" s="38" t="n">
        <v>17253383.8454078</v>
      </c>
      <c r="E130" s="38" t="n">
        <v>2330544.8239505</v>
      </c>
      <c r="F130" s="38" t="n">
        <v>7745844.4813885</v>
      </c>
      <c r="G130" s="38" t="n">
        <v>16355636.292612</v>
      </c>
      <c r="H130" s="38" t="n">
        <v>49633719.1232315</v>
      </c>
      <c r="I130" s="38" t="n">
        <v>588061.1867925</v>
      </c>
      <c r="J130" s="38" t="n">
        <v>499702.36362625</v>
      </c>
      <c r="K130" s="38" t="n">
        <v>74726.32209</v>
      </c>
      <c r="L130" s="38" t="n">
        <v>16324065.24187</v>
      </c>
      <c r="M130" s="21" t="n">
        <f aca="false">SUM(B130:L130)</f>
        <v>110971339.332631</v>
      </c>
    </row>
    <row r="131" customFormat="false" ht="15" hidden="false" customHeight="false" outlineLevel="0" collapsed="false">
      <c r="A131" s="36" t="n">
        <v>46068</v>
      </c>
      <c r="B131" s="38" t="n">
        <v>0</v>
      </c>
      <c r="C131" s="38" t="n">
        <v>180885.46041475</v>
      </c>
      <c r="D131" s="38" t="n">
        <v>26311830.7401558</v>
      </c>
      <c r="E131" s="38" t="n">
        <v>1758415.5289965</v>
      </c>
      <c r="F131" s="38" t="n">
        <v>11817633.2026775</v>
      </c>
      <c r="G131" s="38" t="n">
        <v>18913855.9857748</v>
      </c>
      <c r="H131" s="38" t="n">
        <v>88699049.260078</v>
      </c>
      <c r="I131" s="38" t="n">
        <v>1012428.549</v>
      </c>
      <c r="J131" s="38" t="n">
        <v>2462831.27975</v>
      </c>
      <c r="K131" s="38" t="n">
        <v>169959.7000475</v>
      </c>
      <c r="L131" s="38" t="n">
        <v>110050946.333665</v>
      </c>
      <c r="M131" s="21" t="n">
        <f aca="false">SUM(B131:L131)</f>
        <v>261377836.04056</v>
      </c>
    </row>
    <row r="132" customFormat="false" ht="15" hidden="false" customHeight="false" outlineLevel="0" collapsed="false">
      <c r="A132" s="36" t="n">
        <v>46069</v>
      </c>
      <c r="B132" s="38" t="n">
        <v>0</v>
      </c>
      <c r="C132" s="38" t="n">
        <v>143171.390166</v>
      </c>
      <c r="D132" s="38" t="n">
        <v>16378398.5480923</v>
      </c>
      <c r="E132" s="38" t="n">
        <v>3904798.37817275</v>
      </c>
      <c r="F132" s="38" t="n">
        <v>15502311.9636213</v>
      </c>
      <c r="G132" s="38" t="n">
        <v>34714517.3898688</v>
      </c>
      <c r="H132" s="38" t="n">
        <v>153664199.594422</v>
      </c>
      <c r="I132" s="38" t="n">
        <v>2207005.406655</v>
      </c>
      <c r="J132" s="38" t="n">
        <v>7983335.68197025</v>
      </c>
      <c r="K132" s="38" t="n">
        <v>48015.6465025</v>
      </c>
      <c r="L132" s="38" t="n">
        <v>205761120.919082</v>
      </c>
      <c r="M132" s="21" t="n">
        <f aca="false">SUM(B132:L132)</f>
        <v>440306874.918552</v>
      </c>
    </row>
    <row r="133" customFormat="false" ht="15" hidden="false" customHeight="false" outlineLevel="0" collapsed="false">
      <c r="A133" s="36" t="n">
        <v>46070</v>
      </c>
      <c r="B133" s="38" t="n">
        <v>0</v>
      </c>
      <c r="C133" s="38" t="n">
        <v>762850.81252075</v>
      </c>
      <c r="D133" s="38" t="n">
        <v>22729644.9083915</v>
      </c>
      <c r="E133" s="38" t="n">
        <v>13131046.8638635</v>
      </c>
      <c r="F133" s="38" t="n">
        <v>35936925.200801</v>
      </c>
      <c r="G133" s="38" t="n">
        <v>192569480.214454</v>
      </c>
      <c r="H133" s="38" t="n">
        <v>504107943.075092</v>
      </c>
      <c r="I133" s="38" t="n">
        <v>3028999.57455</v>
      </c>
      <c r="J133" s="38" t="n">
        <v>14176952.2324465</v>
      </c>
      <c r="K133" s="38" t="n">
        <v>51737.2320625</v>
      </c>
      <c r="L133" s="38" t="n">
        <v>570412788.356233</v>
      </c>
      <c r="M133" s="21" t="n">
        <f aca="false">SUM(B133:L133)</f>
        <v>1356908368.47041</v>
      </c>
    </row>
    <row r="134" customFormat="false" ht="15" hidden="false" customHeight="false" outlineLevel="0" collapsed="false">
      <c r="A134" s="36" t="n">
        <v>46071</v>
      </c>
      <c r="B134" s="38" t="n">
        <v>0</v>
      </c>
      <c r="C134" s="38" t="n">
        <v>605082.5982685</v>
      </c>
      <c r="D134" s="38" t="n">
        <v>24747407.983278</v>
      </c>
      <c r="E134" s="38" t="n">
        <v>12258054.4822513</v>
      </c>
      <c r="F134" s="38" t="n">
        <v>24531161.1335198</v>
      </c>
      <c r="G134" s="38" t="n">
        <v>162998275.768842</v>
      </c>
      <c r="H134" s="38" t="n">
        <v>336331106.935423</v>
      </c>
      <c r="I134" s="38" t="n">
        <v>4346487.442575</v>
      </c>
      <c r="J134" s="38" t="n">
        <v>7900215.5975815</v>
      </c>
      <c r="K134" s="38" t="n">
        <v>63653.913005</v>
      </c>
      <c r="L134" s="38" t="n">
        <v>291011883.910695</v>
      </c>
      <c r="M134" s="21" t="n">
        <f aca="false">SUM(B134:L134)</f>
        <v>864793329.765439</v>
      </c>
    </row>
    <row r="135" customFormat="false" ht="15" hidden="false" customHeight="false" outlineLevel="0" collapsed="false">
      <c r="A135" s="36" t="n">
        <v>46072</v>
      </c>
      <c r="B135" s="38" t="n">
        <v>0</v>
      </c>
      <c r="C135" s="38" t="n">
        <v>805429.6247775</v>
      </c>
      <c r="D135" s="38" t="n">
        <v>26007572.896784</v>
      </c>
      <c r="E135" s="38" t="n">
        <v>27492963.4396478</v>
      </c>
      <c r="F135" s="38" t="n">
        <v>27356648.5886288</v>
      </c>
      <c r="G135" s="38" t="n">
        <v>141682314.616685</v>
      </c>
      <c r="H135" s="38" t="n">
        <v>463349817.431616</v>
      </c>
      <c r="I135" s="38" t="n">
        <v>9599614.069145</v>
      </c>
      <c r="J135" s="38" t="n">
        <v>7282980.06406875</v>
      </c>
      <c r="K135" s="38" t="n">
        <v>1221636.0155725</v>
      </c>
      <c r="L135" s="38" t="n">
        <v>313995165.392643</v>
      </c>
      <c r="M135" s="21" t="n">
        <f aca="false">SUM(B135:L135)</f>
        <v>1018794142.13957</v>
      </c>
    </row>
    <row r="136" customFormat="false" ht="15" hidden="false" customHeight="false" outlineLevel="0" collapsed="false">
      <c r="A136" s="36" t="n">
        <v>46073</v>
      </c>
      <c r="B136" s="38" t="n">
        <v>0</v>
      </c>
      <c r="C136" s="38" t="n">
        <v>450785.063754</v>
      </c>
      <c r="D136" s="38" t="n">
        <v>28279892.6735175</v>
      </c>
      <c r="E136" s="38" t="n">
        <v>26634859.582755</v>
      </c>
      <c r="F136" s="38" t="n">
        <v>34729117.4854303</v>
      </c>
      <c r="G136" s="38" t="n">
        <v>187365227.757416</v>
      </c>
      <c r="H136" s="38" t="n">
        <v>690779355.732977</v>
      </c>
      <c r="I136" s="38" t="n">
        <v>11498740.868775</v>
      </c>
      <c r="J136" s="38" t="n">
        <v>8233233.142162</v>
      </c>
      <c r="K136" s="38" t="n">
        <v>1008954.8940125</v>
      </c>
      <c r="L136" s="38" t="n">
        <v>611646491.574778</v>
      </c>
      <c r="M136" s="21" t="n">
        <f aca="false">SUM(B136:L136)</f>
        <v>1600626658.77558</v>
      </c>
    </row>
    <row r="137" customFormat="false" ht="15" hidden="false" customHeight="false" outlineLevel="0" collapsed="false">
      <c r="A137" s="36" t="n">
        <v>46074</v>
      </c>
      <c r="B137" s="38" t="n">
        <v>0</v>
      </c>
      <c r="C137" s="38" t="n">
        <v>4710.418225</v>
      </c>
      <c r="D137" s="38" t="n">
        <v>12070420.1561568</v>
      </c>
      <c r="E137" s="38" t="n">
        <v>2073748.6650735</v>
      </c>
      <c r="F137" s="38" t="n">
        <v>5679122.6807155</v>
      </c>
      <c r="G137" s="38" t="n">
        <v>18081472.2106713</v>
      </c>
      <c r="H137" s="38" t="n">
        <v>121389529.991977</v>
      </c>
      <c r="I137" s="38" t="n">
        <v>4757576.1665</v>
      </c>
      <c r="J137" s="38" t="n">
        <v>686255.658954</v>
      </c>
      <c r="K137" s="38" t="n">
        <v>354569.6678</v>
      </c>
      <c r="L137" s="38" t="n">
        <v>47320732.12371</v>
      </c>
      <c r="M137" s="21" t="n">
        <f aca="false">SUM(B137:L137)</f>
        <v>212418137.739783</v>
      </c>
    </row>
    <row r="138" customFormat="false" ht="15" hidden="false" customHeight="false" outlineLevel="0" collapsed="false">
      <c r="A138" s="36" t="n">
        <v>46075</v>
      </c>
      <c r="B138" s="38" t="n">
        <v>0</v>
      </c>
      <c r="C138" s="38" t="n">
        <v>5820.80110125</v>
      </c>
      <c r="D138" s="38" t="n">
        <v>13282857.7199943</v>
      </c>
      <c r="E138" s="38" t="n">
        <v>9163797.8075135</v>
      </c>
      <c r="F138" s="38" t="n">
        <v>4401098.66295075</v>
      </c>
      <c r="G138" s="38" t="n">
        <v>18418731.6223755</v>
      </c>
      <c r="H138" s="38" t="n">
        <v>93772523.2903632</v>
      </c>
      <c r="I138" s="38" t="n">
        <v>8237605.80192</v>
      </c>
      <c r="J138" s="38" t="n">
        <v>1296334.3784385</v>
      </c>
      <c r="K138" s="38" t="n">
        <v>273464.8822625</v>
      </c>
      <c r="L138" s="38" t="n">
        <v>190322414.251697</v>
      </c>
      <c r="M138" s="21" t="n">
        <f aca="false">SUM(B138:L138)</f>
        <v>339174649.218617</v>
      </c>
    </row>
    <row r="139" customFormat="false" ht="15" hidden="false" customHeight="false" outlineLevel="0" collapsed="false">
      <c r="A139" s="36" t="n">
        <v>46076</v>
      </c>
      <c r="B139" s="38" t="n">
        <v>0</v>
      </c>
      <c r="C139" s="38" t="n">
        <v>59517.8832725</v>
      </c>
      <c r="D139" s="38" t="n">
        <v>34079006.5501368</v>
      </c>
      <c r="E139" s="38" t="n">
        <v>29672806.2845803</v>
      </c>
      <c r="F139" s="38" t="n">
        <v>37530894.716194</v>
      </c>
      <c r="G139" s="38" t="n">
        <v>164620526.830801</v>
      </c>
      <c r="H139" s="38" t="n">
        <v>437029852.096045</v>
      </c>
      <c r="I139" s="38" t="n">
        <v>8567749.9138875</v>
      </c>
      <c r="J139" s="38" t="n">
        <v>8442459.43403075</v>
      </c>
      <c r="K139" s="38" t="n">
        <v>794637.200905</v>
      </c>
      <c r="L139" s="38" t="n">
        <v>613931555.221713</v>
      </c>
      <c r="M139" s="21" t="n">
        <f aca="false">SUM(B139:L139)</f>
        <v>1334729006.13156</v>
      </c>
    </row>
    <row r="140" customFormat="false" ht="15" hidden="false" customHeight="false" outlineLevel="0" collapsed="false">
      <c r="A140" s="36" t="n">
        <v>46077</v>
      </c>
      <c r="B140" s="38" t="n">
        <v>0</v>
      </c>
      <c r="C140" s="38" t="n">
        <v>276621.36762625</v>
      </c>
      <c r="D140" s="38" t="n">
        <v>28770914.9966638</v>
      </c>
      <c r="E140" s="38" t="n">
        <v>33384852.1072668</v>
      </c>
      <c r="F140" s="38" t="n">
        <v>35309476.6469675</v>
      </c>
      <c r="G140" s="38" t="n">
        <v>210426546.856751</v>
      </c>
      <c r="H140" s="38" t="n">
        <v>348732895.32312</v>
      </c>
      <c r="I140" s="38" t="n">
        <v>6872462.897515</v>
      </c>
      <c r="J140" s="38" t="n">
        <v>27749318.608356</v>
      </c>
      <c r="K140" s="38" t="n">
        <v>623268.909945</v>
      </c>
      <c r="L140" s="38" t="n">
        <v>852807433.301952</v>
      </c>
      <c r="M140" s="21" t="n">
        <f aca="false">SUM(B140:L140)</f>
        <v>1544953791.01616</v>
      </c>
    </row>
    <row r="141" customFormat="false" ht="15" hidden="false" customHeight="false" outlineLevel="0" collapsed="false">
      <c r="A141" s="36" t="n">
        <v>46078</v>
      </c>
      <c r="B141" s="38" t="n">
        <v>0</v>
      </c>
      <c r="C141" s="38" t="n">
        <v>33273.965335</v>
      </c>
      <c r="D141" s="38" t="n">
        <v>60076816.322739</v>
      </c>
      <c r="E141" s="38" t="n">
        <v>22048339.7846585</v>
      </c>
      <c r="F141" s="38" t="n">
        <v>77287182.6637873</v>
      </c>
      <c r="G141" s="38" t="n">
        <v>233011356.307538</v>
      </c>
      <c r="H141" s="38" t="n">
        <v>403387776.487672</v>
      </c>
      <c r="I141" s="38" t="n">
        <v>16747426.38131</v>
      </c>
      <c r="J141" s="38" t="n">
        <v>25620724.91582</v>
      </c>
      <c r="K141" s="38" t="n">
        <v>98405.415555</v>
      </c>
      <c r="L141" s="38" t="n">
        <v>1080295974.18397</v>
      </c>
      <c r="M141" s="21" t="n">
        <f aca="false">SUM(B141:L141)</f>
        <v>1918607276.42838</v>
      </c>
    </row>
    <row r="142" customFormat="false" ht="15" hidden="false" customHeight="false" outlineLevel="0" collapsed="false">
      <c r="A142" s="36" t="n">
        <v>46079</v>
      </c>
      <c r="B142" s="38" t="n">
        <v>0</v>
      </c>
      <c r="C142" s="38" t="n">
        <v>159050.884587</v>
      </c>
      <c r="D142" s="38" t="n">
        <v>35534326.559934</v>
      </c>
      <c r="E142" s="38" t="n">
        <v>31544349.7460355</v>
      </c>
      <c r="F142" s="38" t="n">
        <v>77251653.2706608</v>
      </c>
      <c r="G142" s="38" t="n">
        <v>291815549.757568</v>
      </c>
      <c r="H142" s="38" t="n">
        <v>453457046.15671</v>
      </c>
      <c r="I142" s="38" t="n">
        <v>13963228.605</v>
      </c>
      <c r="J142" s="38" t="n">
        <v>9262096.121202</v>
      </c>
      <c r="K142" s="38" t="n">
        <v>267724.172305</v>
      </c>
      <c r="L142" s="38" t="n">
        <v>796513676.870492</v>
      </c>
      <c r="M142" s="21" t="n">
        <f aca="false">SUM(B142:L142)</f>
        <v>1709768702.14449</v>
      </c>
    </row>
    <row r="143" customFormat="false" ht="15" hidden="false" customHeight="false" outlineLevel="0" collapsed="false">
      <c r="A143" s="36" t="n">
        <v>46080</v>
      </c>
      <c r="B143" s="38" t="n">
        <v>0</v>
      </c>
      <c r="C143" s="38" t="n">
        <v>337794.840219</v>
      </c>
      <c r="D143" s="38" t="n">
        <v>35271776.6737993</v>
      </c>
      <c r="E143" s="38" t="n">
        <v>36392308.2264265</v>
      </c>
      <c r="F143" s="38" t="n">
        <v>55444388.2165563</v>
      </c>
      <c r="G143" s="38" t="n">
        <v>223658239.257419</v>
      </c>
      <c r="H143" s="38" t="n">
        <v>438510103.756748</v>
      </c>
      <c r="I143" s="38" t="n">
        <v>21194551.0952</v>
      </c>
      <c r="J143" s="38" t="n">
        <v>21183756.665001</v>
      </c>
      <c r="K143" s="38" t="n">
        <v>2704462.5157625</v>
      </c>
      <c r="L143" s="38" t="n">
        <v>651847793.197694</v>
      </c>
      <c r="M143" s="21" t="n">
        <f aca="false">SUM(B143:L143)</f>
        <v>1486545174.44483</v>
      </c>
    </row>
    <row r="144" customFormat="false" ht="15" hidden="false" customHeight="false" outlineLevel="0" collapsed="false">
      <c r="A144" s="36" t="n">
        <v>46081</v>
      </c>
      <c r="B144" s="38" t="n">
        <v>0</v>
      </c>
      <c r="C144" s="38" t="n">
        <v>87936.11558025</v>
      </c>
      <c r="D144" s="38" t="n">
        <v>43864493.754974</v>
      </c>
      <c r="E144" s="38" t="n">
        <v>15569454.7765988</v>
      </c>
      <c r="F144" s="38" t="n">
        <v>36666650.009948</v>
      </c>
      <c r="G144" s="38" t="n">
        <v>97698828.5639658</v>
      </c>
      <c r="H144" s="38" t="n">
        <v>133877747.07149</v>
      </c>
      <c r="I144" s="38" t="n">
        <v>17966989.299085</v>
      </c>
      <c r="J144" s="38" t="n">
        <v>9342051.5140425</v>
      </c>
      <c r="K144" s="38" t="n">
        <v>5341535.4506775</v>
      </c>
      <c r="L144" s="38" t="n">
        <v>441681317.309177</v>
      </c>
      <c r="M144" s="21" t="n">
        <f aca="false">SUM(B144:L144)</f>
        <v>802097003.865539</v>
      </c>
    </row>
    <row r="145" customFormat="false" ht="15" hidden="false" customHeight="false" outlineLevel="0" collapsed="false">
      <c r="A145" s="36" t="n">
        <v>46082</v>
      </c>
      <c r="B145" s="38" t="n">
        <v>0</v>
      </c>
      <c r="C145" s="38" t="n">
        <v>40731.1728735</v>
      </c>
      <c r="D145" s="38" t="n">
        <v>36635642.8313145</v>
      </c>
      <c r="E145" s="38" t="n">
        <v>42858002.544736</v>
      </c>
      <c r="F145" s="38" t="n">
        <v>19609284.833357</v>
      </c>
      <c r="G145" s="38" t="n">
        <v>66157915.418436</v>
      </c>
      <c r="H145" s="38" t="n">
        <v>127888785.905103</v>
      </c>
      <c r="I145" s="38" t="n">
        <v>20429080.855035</v>
      </c>
      <c r="J145" s="38" t="n">
        <v>8309796.9438015</v>
      </c>
      <c r="K145" s="38" t="n">
        <v>359269.348405</v>
      </c>
      <c r="L145" s="38" t="n">
        <v>352616459.899528</v>
      </c>
      <c r="M145" s="21" t="n">
        <f aca="false">SUM(B145:L145)</f>
        <v>674904969.752589</v>
      </c>
    </row>
    <row r="146" customFormat="false" ht="15" hidden="false" customHeight="false" outlineLevel="0" collapsed="false">
      <c r="A146" s="36" t="n">
        <v>46083</v>
      </c>
      <c r="B146" s="38" t="n">
        <v>0</v>
      </c>
      <c r="C146" s="38" t="n">
        <v>669310.315746</v>
      </c>
      <c r="D146" s="38" t="n">
        <v>42406524.5811033</v>
      </c>
      <c r="E146" s="38" t="n">
        <v>144157964.914947</v>
      </c>
      <c r="F146" s="38" t="n">
        <v>89119513.8269578</v>
      </c>
      <c r="G146" s="38" t="n">
        <v>288406076.803458</v>
      </c>
      <c r="H146" s="38" t="n">
        <v>649156251.218</v>
      </c>
      <c r="I146" s="38" t="n">
        <v>22235724.6425425</v>
      </c>
      <c r="J146" s="38" t="n">
        <v>12368341.1612033</v>
      </c>
      <c r="K146" s="38" t="n">
        <v>184140.06823</v>
      </c>
      <c r="L146" s="38" t="n">
        <v>1373822067.20482</v>
      </c>
      <c r="M146" s="21" t="n">
        <f aca="false">SUM(B146:L146)</f>
        <v>2622525914.73701</v>
      </c>
    </row>
    <row r="147" customFormat="false" ht="15" hidden="false" customHeight="false" outlineLevel="0" collapsed="false">
      <c r="A147" s="36" t="n">
        <v>46084</v>
      </c>
      <c r="B147" s="38" t="n">
        <v>0</v>
      </c>
      <c r="C147" s="38" t="n">
        <v>1200324.75963525</v>
      </c>
      <c r="D147" s="38" t="n">
        <v>40266595.395868</v>
      </c>
      <c r="E147" s="38" t="n">
        <v>289073852.531594</v>
      </c>
      <c r="F147" s="38" t="n">
        <v>120897424.158601</v>
      </c>
      <c r="G147" s="38" t="n">
        <v>364267962.282536</v>
      </c>
      <c r="H147" s="38" t="n">
        <v>1103338722.102</v>
      </c>
      <c r="I147" s="38" t="n">
        <v>21489750.054595</v>
      </c>
      <c r="J147" s="38" t="n">
        <v>17985814.838983</v>
      </c>
      <c r="K147" s="38" t="n">
        <v>596100.6823375</v>
      </c>
      <c r="L147" s="38" t="n">
        <v>2011560976.0089</v>
      </c>
      <c r="M147" s="21" t="n">
        <f aca="false">SUM(B147:L147)</f>
        <v>3970677522.81505</v>
      </c>
    </row>
    <row r="148" customFormat="false" ht="15" hidden="false" customHeight="false" outlineLevel="0" collapsed="false">
      <c r="A148" s="36" t="n">
        <v>46085</v>
      </c>
      <c r="B148" s="38" t="n">
        <v>0</v>
      </c>
      <c r="C148" s="38" t="n">
        <v>350815.3200965</v>
      </c>
      <c r="D148" s="38" t="n">
        <v>60439995.1399755</v>
      </c>
      <c r="E148" s="38" t="n">
        <v>250218432.858278</v>
      </c>
      <c r="F148" s="38" t="n">
        <v>103253100.634064</v>
      </c>
      <c r="G148" s="38" t="n">
        <v>230847459.806857</v>
      </c>
      <c r="H148" s="38" t="n">
        <v>793395990.924086</v>
      </c>
      <c r="I148" s="38" t="n">
        <v>24949369.725075</v>
      </c>
      <c r="J148" s="38" t="n">
        <v>11816602.435384</v>
      </c>
      <c r="K148" s="38" t="n">
        <v>397695.7694575</v>
      </c>
      <c r="L148" s="38" t="n">
        <v>1149908541.73775</v>
      </c>
      <c r="M148" s="21" t="n">
        <f aca="false">SUM(B148:L148)</f>
        <v>2625578004.35102</v>
      </c>
    </row>
    <row r="149" customFormat="false" ht="15" hidden="false" customHeight="false" outlineLevel="0" collapsed="false">
      <c r="A149" s="36" t="n">
        <v>46086</v>
      </c>
      <c r="B149" s="38" t="n">
        <v>0</v>
      </c>
      <c r="C149" s="38" t="n">
        <v>266979.735188</v>
      </c>
      <c r="D149" s="38" t="n">
        <v>37364188.6948993</v>
      </c>
      <c r="E149" s="38" t="n">
        <v>295533211.489344</v>
      </c>
      <c r="F149" s="38" t="n">
        <v>107132540.158828</v>
      </c>
      <c r="G149" s="38" t="n">
        <v>246976505.55662</v>
      </c>
      <c r="H149" s="38" t="n">
        <v>650445873.567329</v>
      </c>
      <c r="I149" s="38" t="n">
        <v>26146986.713875</v>
      </c>
      <c r="J149" s="38" t="n">
        <v>10579294.6930335</v>
      </c>
      <c r="K149" s="38" t="n">
        <v>243206.761425</v>
      </c>
      <c r="L149" s="38" t="n">
        <v>932798718.429508</v>
      </c>
      <c r="M149" s="21" t="n">
        <f aca="false">SUM(B149:L149)</f>
        <v>2307487505.80005</v>
      </c>
    </row>
    <row r="150" customFormat="false" ht="15" hidden="false" customHeight="false" outlineLevel="0" collapsed="false">
      <c r="A150" s="36" t="n">
        <v>46087</v>
      </c>
      <c r="B150" s="38" t="n">
        <v>0</v>
      </c>
      <c r="C150" s="38" t="n">
        <v>238882.815522</v>
      </c>
      <c r="D150" s="38" t="n">
        <v>31954245.9110708</v>
      </c>
      <c r="E150" s="38" t="n">
        <v>503974271.316955</v>
      </c>
      <c r="F150" s="38" t="n">
        <v>86740794.372882</v>
      </c>
      <c r="G150" s="38" t="n">
        <v>274145000.238557</v>
      </c>
      <c r="H150" s="38" t="n">
        <v>745285430.594081</v>
      </c>
      <c r="I150" s="38" t="n">
        <v>29407591.3966275</v>
      </c>
      <c r="J150" s="38" t="n">
        <v>18031189.4099943</v>
      </c>
      <c r="K150" s="38" t="n">
        <v>325233.85437</v>
      </c>
      <c r="L150" s="38" t="n">
        <v>660528553.439889</v>
      </c>
      <c r="M150" s="21" t="n">
        <f aca="false">SUM(B150:L150)</f>
        <v>2350631193.34995</v>
      </c>
    </row>
    <row r="151" customFormat="false" ht="15" hidden="false" customHeight="false" outlineLevel="0" collapsed="false">
      <c r="A151" s="36" t="n">
        <v>46088</v>
      </c>
      <c r="B151" s="38" t="n">
        <v>0</v>
      </c>
      <c r="C151" s="38" t="n">
        <v>89555.53152</v>
      </c>
      <c r="D151" s="38" t="n">
        <v>14101451.1058728</v>
      </c>
      <c r="E151" s="38" t="n">
        <v>175823916.053477</v>
      </c>
      <c r="F151" s="38" t="n">
        <v>9079042.19914325</v>
      </c>
      <c r="G151" s="38" t="n">
        <v>105823805.62175</v>
      </c>
      <c r="H151" s="38" t="n">
        <v>83990041.8509015</v>
      </c>
      <c r="I151" s="38" t="n">
        <v>26195741.8013775</v>
      </c>
      <c r="J151" s="38" t="n">
        <v>2700890.6226745</v>
      </c>
      <c r="K151" s="38" t="n">
        <v>127477.4315075</v>
      </c>
      <c r="L151" s="38" t="n">
        <v>24344025.6127285</v>
      </c>
      <c r="M151" s="21" t="n">
        <f aca="false">SUM(B151:L151)</f>
        <v>442275947.830952</v>
      </c>
    </row>
    <row r="152" customFormat="false" ht="15" hidden="false" customHeight="false" outlineLevel="0" collapsed="false">
      <c r="A152" s="36" t="n">
        <v>46089</v>
      </c>
      <c r="B152" s="38" t="n">
        <v>0</v>
      </c>
      <c r="C152" s="38" t="n">
        <v>10056.479584</v>
      </c>
      <c r="D152" s="38" t="n">
        <v>21683571.45068</v>
      </c>
      <c r="E152" s="38" t="n">
        <v>413768427.34807</v>
      </c>
      <c r="F152" s="38" t="n">
        <v>20621360.9667853</v>
      </c>
      <c r="G152" s="38" t="n">
        <v>76165130.0551468</v>
      </c>
      <c r="H152" s="38" t="n">
        <v>151747607.021874</v>
      </c>
      <c r="I152" s="38" t="n">
        <v>29275871.23974</v>
      </c>
      <c r="J152" s="38" t="n">
        <v>7957412.34189325</v>
      </c>
      <c r="K152" s="38" t="n">
        <v>449690.0396775</v>
      </c>
      <c r="L152" s="38" t="n">
        <v>153779094.855968</v>
      </c>
      <c r="M152" s="21" t="n">
        <f aca="false">SUM(B152:L152)</f>
        <v>875458221.799418</v>
      </c>
    </row>
    <row r="153" customFormat="false" ht="15" hidden="false" customHeight="false" outlineLevel="0" collapsed="false">
      <c r="A153" s="36" t="n">
        <v>46090</v>
      </c>
      <c r="B153" s="38" t="n">
        <v>0</v>
      </c>
      <c r="C153" s="38" t="n">
        <v>312873.73373025</v>
      </c>
      <c r="D153" s="38" t="n">
        <v>50811886.9944573</v>
      </c>
      <c r="E153" s="38" t="n">
        <v>2282265103.02424</v>
      </c>
      <c r="F153" s="38" t="n">
        <v>91823000.4011373</v>
      </c>
      <c r="G153" s="38" t="n">
        <v>254888922.217308</v>
      </c>
      <c r="H153" s="38" t="n">
        <v>775174132.44522</v>
      </c>
      <c r="I153" s="38" t="n">
        <v>35236312.630025</v>
      </c>
      <c r="J153" s="38" t="n">
        <v>21759702.8904503</v>
      </c>
      <c r="K153" s="38" t="n">
        <v>244901.307825</v>
      </c>
      <c r="L153" s="38" t="n">
        <v>616721115.555409</v>
      </c>
      <c r="M153" s="21" t="n">
        <f aca="false">SUM(B153:L153)</f>
        <v>4129237951.1998</v>
      </c>
    </row>
    <row r="154" customFormat="false" ht="15" hidden="false" customHeight="false" outlineLevel="0" collapsed="false">
      <c r="A154" s="36" t="n">
        <v>46091</v>
      </c>
      <c r="B154" s="38" t="n">
        <v>0</v>
      </c>
      <c r="C154" s="38" t="n">
        <v>163968.285248</v>
      </c>
      <c r="D154" s="38" t="n">
        <v>44435473.4268428</v>
      </c>
      <c r="E154" s="38" t="n">
        <v>1433329645.196</v>
      </c>
      <c r="F154" s="38" t="n">
        <v>93091848.008723</v>
      </c>
      <c r="G154" s="38" t="n">
        <v>190279687.47747</v>
      </c>
      <c r="H154" s="38" t="n">
        <v>536679403.0624</v>
      </c>
      <c r="I154" s="38" t="n">
        <v>25853079.96395</v>
      </c>
      <c r="J154" s="38" t="n">
        <v>12682765.364786</v>
      </c>
      <c r="K154" s="38" t="n">
        <v>90202.4030025</v>
      </c>
      <c r="L154" s="38" t="n">
        <v>362966958.479965</v>
      </c>
      <c r="M154" s="21" t="n">
        <f aca="false">SUM(B154:L154)</f>
        <v>2699573031.66838</v>
      </c>
    </row>
    <row r="155" customFormat="false" ht="15" hidden="false" customHeight="false" outlineLevel="0" collapsed="false">
      <c r="A155" s="36" t="n">
        <v>46092</v>
      </c>
      <c r="B155" s="38" t="n">
        <v>0</v>
      </c>
      <c r="C155" s="38" t="n">
        <v>114081.000984</v>
      </c>
      <c r="D155" s="38" t="n">
        <v>34947385.788137</v>
      </c>
      <c r="E155" s="38" t="n">
        <v>1288240755.14147</v>
      </c>
      <c r="F155" s="38" t="n">
        <v>84288854.151551</v>
      </c>
      <c r="G155" s="38" t="n">
        <v>174835414.82112</v>
      </c>
      <c r="H155" s="38" t="n">
        <v>359804599.337072</v>
      </c>
      <c r="I155" s="38" t="n">
        <v>14911901.37666</v>
      </c>
      <c r="J155" s="38" t="n">
        <v>8700279.70841725</v>
      </c>
      <c r="K155" s="38" t="n">
        <v>166703.66736</v>
      </c>
      <c r="L155" s="38" t="n">
        <v>354862422.362859</v>
      </c>
      <c r="M155" s="21" t="n">
        <f aca="false">SUM(B155:L155)</f>
        <v>2320872397.35563</v>
      </c>
    </row>
    <row r="156" customFormat="false" ht="15" hidden="false" customHeight="false" outlineLevel="0" collapsed="false">
      <c r="A156" s="36" t="n">
        <v>46093</v>
      </c>
      <c r="B156" s="38" t="n">
        <v>0</v>
      </c>
      <c r="C156" s="38" t="n">
        <v>279249.47513775</v>
      </c>
      <c r="D156" s="38" t="n">
        <v>31650554.4638665</v>
      </c>
      <c r="E156" s="38" t="n">
        <v>1536049284.52083</v>
      </c>
      <c r="F156" s="38" t="n">
        <v>83845525.2356815</v>
      </c>
      <c r="G156" s="38" t="n">
        <v>195325707.335644</v>
      </c>
      <c r="H156" s="38" t="n">
        <v>422743507.113089</v>
      </c>
      <c r="I156" s="38" t="n">
        <v>29791271.025615</v>
      </c>
      <c r="J156" s="38" t="n">
        <v>18369825.652418</v>
      </c>
      <c r="K156" s="38" t="n">
        <v>65997.49068</v>
      </c>
      <c r="L156" s="38" t="n">
        <v>399544746.313137</v>
      </c>
      <c r="M156" s="21" t="n">
        <f aca="false">SUM(B156:L156)</f>
        <v>2717665668.6261</v>
      </c>
    </row>
    <row r="157" customFormat="false" ht="15" hidden="false" customHeight="false" outlineLevel="0" collapsed="false">
      <c r="A157" s="36" t="n">
        <v>46094</v>
      </c>
      <c r="B157" s="38" t="n">
        <v>0</v>
      </c>
      <c r="C157" s="38" t="n">
        <v>357924.88627875</v>
      </c>
      <c r="D157" s="38" t="n">
        <v>41357606.8957045</v>
      </c>
      <c r="E157" s="38" t="n">
        <v>926754337.437822</v>
      </c>
      <c r="F157" s="38" t="n">
        <v>96216751.028755</v>
      </c>
      <c r="G157" s="38" t="n">
        <v>184794523.239376</v>
      </c>
      <c r="H157" s="38" t="n">
        <v>410283192.079425</v>
      </c>
      <c r="I157" s="38" t="n">
        <v>19265406.173315</v>
      </c>
      <c r="J157" s="38" t="n">
        <v>7813117.117317</v>
      </c>
      <c r="K157" s="38" t="n">
        <v>59540.1757075</v>
      </c>
      <c r="L157" s="38" t="n">
        <v>413362954.678429</v>
      </c>
      <c r="M157" s="21" t="n">
        <f aca="false">SUM(B157:L157)</f>
        <v>2100265353.71213</v>
      </c>
    </row>
    <row r="158" customFormat="false" ht="15" hidden="false" customHeight="false" outlineLevel="0" collapsed="false">
      <c r="A158" s="36" t="n">
        <v>46095</v>
      </c>
      <c r="B158" s="38" t="n">
        <v>0</v>
      </c>
      <c r="C158" s="38" t="n">
        <v>56619.77884975</v>
      </c>
      <c r="D158" s="38" t="n">
        <v>12629335.9711335</v>
      </c>
      <c r="E158" s="38" t="n">
        <v>390808038.12311</v>
      </c>
      <c r="F158" s="38" t="n">
        <v>13902235.6340538</v>
      </c>
      <c r="G158" s="38" t="n">
        <v>24073793.8111395</v>
      </c>
      <c r="H158" s="38" t="n">
        <v>144225167.008195</v>
      </c>
      <c r="I158" s="38" t="n">
        <v>14737402.510665</v>
      </c>
      <c r="J158" s="38" t="n">
        <v>2360027.080422</v>
      </c>
      <c r="K158" s="38" t="n">
        <v>94652.627365</v>
      </c>
      <c r="L158" s="38" t="n">
        <v>28530808.6461343</v>
      </c>
      <c r="M158" s="21" t="n">
        <f aca="false">SUM(B158:L158)</f>
        <v>631418081.191067</v>
      </c>
    </row>
    <row r="159" customFormat="false" ht="15" hidden="false" customHeight="false" outlineLevel="0" collapsed="false">
      <c r="A159" s="36" t="n">
        <v>46096</v>
      </c>
      <c r="B159" s="38" t="n">
        <v>0</v>
      </c>
      <c r="C159" s="38" t="n">
        <v>52986.7112</v>
      </c>
      <c r="D159" s="38" t="n">
        <v>20207410.9672458</v>
      </c>
      <c r="E159" s="38" t="n">
        <v>544183511.113054</v>
      </c>
      <c r="F159" s="38" t="n">
        <v>16406038.012559</v>
      </c>
      <c r="G159" s="38" t="n">
        <v>39420254.0378445</v>
      </c>
      <c r="H159" s="38" t="n">
        <v>213603953.104739</v>
      </c>
      <c r="I159" s="38" t="n">
        <v>19206553.30125</v>
      </c>
      <c r="J159" s="38" t="n">
        <v>2332510.19167925</v>
      </c>
      <c r="K159" s="38" t="n">
        <v>144890.8956425</v>
      </c>
      <c r="L159" s="38" t="n">
        <v>107306731.082041</v>
      </c>
      <c r="M159" s="21" t="n">
        <f aca="false">SUM(B159:L159)</f>
        <v>962864839.417255</v>
      </c>
    </row>
    <row r="160" customFormat="false" ht="15" hidden="false" customHeight="false" outlineLevel="0" collapsed="false">
      <c r="A160" s="36" t="n">
        <v>46097</v>
      </c>
      <c r="B160" s="38" t="n">
        <v>0</v>
      </c>
      <c r="C160" s="38" t="n">
        <v>463924.02656</v>
      </c>
      <c r="D160" s="38" t="n">
        <v>65434583.4138445</v>
      </c>
      <c r="E160" s="38" t="n">
        <v>946017809.117038</v>
      </c>
      <c r="F160" s="38" t="n">
        <v>64845774.2840415</v>
      </c>
      <c r="G160" s="38" t="n">
        <v>178039348.781877</v>
      </c>
      <c r="H160" s="38" t="n">
        <v>354433282.881069</v>
      </c>
      <c r="I160" s="38" t="n">
        <v>19716688.70491</v>
      </c>
      <c r="J160" s="38" t="n">
        <v>10299016.472441</v>
      </c>
      <c r="K160" s="38" t="n">
        <v>91627.56456</v>
      </c>
      <c r="L160" s="38" t="n">
        <v>418444573.948551</v>
      </c>
      <c r="M160" s="21" t="n">
        <f aca="false">SUM(B160:L160)</f>
        <v>2057786629.19489</v>
      </c>
    </row>
    <row r="161" customFormat="false" ht="15" hidden="false" customHeight="false" outlineLevel="0" collapsed="false">
      <c r="A161" s="36" t="n">
        <v>46098</v>
      </c>
      <c r="B161" s="38" t="n">
        <v>0</v>
      </c>
      <c r="C161" s="38" t="n">
        <v>1778989.839342</v>
      </c>
      <c r="D161" s="38" t="n">
        <v>39733834.297495</v>
      </c>
      <c r="E161" s="38" t="n">
        <v>571479207.989397</v>
      </c>
      <c r="F161" s="38" t="n">
        <v>67983096.971129</v>
      </c>
      <c r="G161" s="38" t="n">
        <v>141122038.031361</v>
      </c>
      <c r="H161" s="38" t="n">
        <v>334781221.600858</v>
      </c>
      <c r="I161" s="38" t="n">
        <v>19226168.51605</v>
      </c>
      <c r="J161" s="38" t="n">
        <v>5001834.0298</v>
      </c>
      <c r="K161" s="38" t="n">
        <v>68069.2827025</v>
      </c>
      <c r="L161" s="38" t="n">
        <v>236143037.905602</v>
      </c>
      <c r="M161" s="21" t="n">
        <f aca="false">SUM(B161:L161)</f>
        <v>1417317498.46374</v>
      </c>
    </row>
    <row r="162" customFormat="false" ht="15" hidden="false" customHeight="false" outlineLevel="0" collapsed="false">
      <c r="A162" s="36" t="n">
        <v>46099</v>
      </c>
      <c r="B162" s="38" t="n">
        <v>0</v>
      </c>
      <c r="C162" s="38" t="n">
        <v>336196.441784</v>
      </c>
      <c r="D162" s="38" t="n">
        <v>44298518.0704005</v>
      </c>
      <c r="E162" s="38" t="n">
        <v>1176594742.01726</v>
      </c>
      <c r="F162" s="38" t="n">
        <v>94250119.8173583</v>
      </c>
      <c r="G162" s="38" t="n">
        <v>164800914.052987</v>
      </c>
      <c r="H162" s="38" t="n">
        <v>464474646.068351</v>
      </c>
      <c r="I162" s="38" t="n">
        <v>20066885.206125</v>
      </c>
      <c r="J162" s="38" t="n">
        <v>16362883.8482103</v>
      </c>
      <c r="K162" s="38" t="n">
        <v>215749.8725125</v>
      </c>
      <c r="L162" s="38" t="n">
        <v>470255757.967185</v>
      </c>
      <c r="M162" s="21" t="n">
        <f aca="false">SUM(B162:L162)</f>
        <v>2451656413.36217</v>
      </c>
    </row>
    <row r="163" customFormat="false" ht="15" hidden="false" customHeight="false" outlineLevel="0" collapsed="false">
      <c r="A163" s="36" t="n">
        <v>46100</v>
      </c>
      <c r="B163" s="38" t="n">
        <v>0</v>
      </c>
      <c r="C163" s="38" t="n">
        <v>14004.00929375</v>
      </c>
      <c r="D163" s="38" t="n">
        <v>37401865.07003</v>
      </c>
      <c r="E163" s="38" t="n">
        <v>1689152211.87569</v>
      </c>
      <c r="F163" s="38" t="n">
        <v>101252596.374212</v>
      </c>
      <c r="G163" s="38" t="n">
        <v>186270622.905209</v>
      </c>
      <c r="H163" s="38" t="n">
        <v>613472178.589758</v>
      </c>
      <c r="I163" s="38" t="n">
        <v>19696725.58044</v>
      </c>
      <c r="J163" s="38" t="n">
        <v>28873853.703401</v>
      </c>
      <c r="K163" s="38" t="n">
        <v>116226.4746375</v>
      </c>
      <c r="L163" s="38" t="n">
        <v>1269618039.78054</v>
      </c>
      <c r="M163" s="21" t="n">
        <f aca="false">SUM(B163:L163)</f>
        <v>3945868324.36321</v>
      </c>
    </row>
    <row r="164" customFormat="false" ht="15" hidden="false" customHeight="false" outlineLevel="0" collapsed="false">
      <c r="A164" s="36" t="n">
        <v>46101</v>
      </c>
      <c r="B164" s="38" t="n">
        <v>0</v>
      </c>
      <c r="C164" s="38" t="n">
        <v>97776.87150825</v>
      </c>
      <c r="D164" s="38" t="n">
        <v>28042070.7888245</v>
      </c>
      <c r="E164" s="38" t="n">
        <v>805046186.163646</v>
      </c>
      <c r="F164" s="38" t="n">
        <v>102025117.438493</v>
      </c>
      <c r="G164" s="38" t="n">
        <v>179923492.034618</v>
      </c>
      <c r="H164" s="38" t="n">
        <v>479906697.033688</v>
      </c>
      <c r="I164" s="38" t="n">
        <v>22987289.79425</v>
      </c>
      <c r="J164" s="38" t="n">
        <v>11521712.5474213</v>
      </c>
      <c r="K164" s="38" t="n">
        <v>36045.8816225</v>
      </c>
      <c r="L164" s="38" t="n">
        <v>694292842.380914</v>
      </c>
      <c r="M164" s="21" t="n">
        <f aca="false">SUM(B164:L164)</f>
        <v>2323879230.93499</v>
      </c>
    </row>
    <row r="165" customFormat="false" ht="15" hidden="false" customHeight="false" outlineLevel="0" collapsed="false">
      <c r="A165" s="36" t="n">
        <v>46102</v>
      </c>
      <c r="B165" s="38" t="n">
        <v>0</v>
      </c>
      <c r="C165" s="38" t="n">
        <v>8649.629076</v>
      </c>
      <c r="D165" s="38" t="n">
        <v>10469076.8343428</v>
      </c>
      <c r="E165" s="38" t="n">
        <v>158123730.714596</v>
      </c>
      <c r="F165" s="38" t="n">
        <v>15987209.5351815</v>
      </c>
      <c r="G165" s="38" t="n">
        <v>29153461.4973058</v>
      </c>
      <c r="H165" s="38" t="n">
        <v>69075916.5451725</v>
      </c>
      <c r="I165" s="38" t="n">
        <v>15822875.2258475</v>
      </c>
      <c r="J165" s="38" t="n">
        <v>12743288.32644</v>
      </c>
      <c r="K165" s="38" t="n">
        <v>11454.64795</v>
      </c>
      <c r="L165" s="38" t="n">
        <v>75363047.8484913</v>
      </c>
      <c r="M165" s="21" t="n">
        <f aca="false">SUM(B165:L165)</f>
        <v>386758710.804403</v>
      </c>
    </row>
    <row r="166" customFormat="false" ht="15" hidden="false" customHeight="false" outlineLevel="0" collapsed="false">
      <c r="A166" s="36" t="n">
        <v>46103</v>
      </c>
      <c r="B166" s="38" t="n">
        <v>0</v>
      </c>
      <c r="C166" s="38" t="n">
        <v>302296.9200425</v>
      </c>
      <c r="D166" s="38" t="n">
        <v>18810943.097163</v>
      </c>
      <c r="E166" s="38" t="n">
        <v>441317687.381828</v>
      </c>
      <c r="F166" s="38" t="n">
        <v>26183259.9124045</v>
      </c>
      <c r="G166" s="38" t="n">
        <v>45834684.740969</v>
      </c>
      <c r="H166" s="38" t="n">
        <v>153214024.144084</v>
      </c>
      <c r="I166" s="38" t="n">
        <v>18959007.94923</v>
      </c>
      <c r="J166" s="38" t="n">
        <v>3047244.0480885</v>
      </c>
      <c r="K166" s="38" t="n">
        <v>20970.2240475</v>
      </c>
      <c r="L166" s="38" t="n">
        <v>223521447.7715</v>
      </c>
      <c r="M166" s="21" t="n">
        <f aca="false">SUM(B166:L166)</f>
        <v>931211566.189357</v>
      </c>
    </row>
    <row r="167" customFormat="false" ht="15" hidden="false" customHeight="false" outlineLevel="0" collapsed="false">
      <c r="A167" s="36" t="n">
        <v>46104</v>
      </c>
      <c r="B167" s="38" t="n">
        <v>0</v>
      </c>
      <c r="C167" s="38" t="n">
        <v>867766.507894</v>
      </c>
      <c r="D167" s="38" t="n">
        <v>37880138.3301385</v>
      </c>
      <c r="E167" s="38" t="n">
        <v>2295037792.33773</v>
      </c>
      <c r="F167" s="38" t="n">
        <v>139412866.882976</v>
      </c>
      <c r="G167" s="38" t="n">
        <v>336334441.417297</v>
      </c>
      <c r="H167" s="38" t="n">
        <v>903570828.08698</v>
      </c>
      <c r="I167" s="38" t="n">
        <v>21352915.7449625</v>
      </c>
      <c r="J167" s="38" t="n">
        <v>46746202.7009675</v>
      </c>
      <c r="K167" s="38" t="n">
        <v>115250.0388</v>
      </c>
      <c r="L167" s="38" t="n">
        <v>2179081631.72228</v>
      </c>
      <c r="M167" s="21" t="n">
        <f aca="false">SUM(B167:L167)</f>
        <v>5960399833.77002</v>
      </c>
    </row>
    <row r="168" customFormat="false" ht="15" hidden="false" customHeight="false" outlineLevel="0" collapsed="false">
      <c r="A168" s="36" t="n">
        <v>46105</v>
      </c>
      <c r="B168" s="38" t="n">
        <v>0</v>
      </c>
      <c r="C168" s="38" t="n">
        <v>891513.207039</v>
      </c>
      <c r="D168" s="38" t="n">
        <v>25724783.1032103</v>
      </c>
      <c r="E168" s="38" t="n">
        <v>1381751805.22751</v>
      </c>
      <c r="F168" s="38" t="n">
        <v>166616702.686564</v>
      </c>
      <c r="G168" s="38" t="n">
        <v>203446774.442535</v>
      </c>
      <c r="H168" s="38" t="n">
        <v>703294962.039959</v>
      </c>
      <c r="I168" s="38" t="n">
        <v>21472291.489665</v>
      </c>
      <c r="J168" s="38" t="n">
        <v>23175357.1100475</v>
      </c>
      <c r="K168" s="38" t="n">
        <v>49242.244505</v>
      </c>
      <c r="L168" s="38" t="n">
        <v>955917098.185896</v>
      </c>
      <c r="M168" s="21" t="n">
        <f aca="false">SUM(B168:L168)</f>
        <v>3482340529.73693</v>
      </c>
    </row>
    <row r="169" customFormat="false" ht="15" hidden="false" customHeight="false" outlineLevel="0" collapsed="false">
      <c r="A169" s="36" t="n">
        <v>46106</v>
      </c>
      <c r="B169" s="38" t="n">
        <v>0</v>
      </c>
      <c r="C169" s="38" t="n">
        <v>99697.6592115</v>
      </c>
      <c r="D169" s="38" t="n">
        <v>24784539.8438305</v>
      </c>
      <c r="E169" s="38" t="n">
        <v>995580027.300988</v>
      </c>
      <c r="F169" s="38" t="n">
        <v>132383512.207219</v>
      </c>
      <c r="G169" s="38" t="n">
        <v>210354765.210874</v>
      </c>
      <c r="H169" s="38" t="n">
        <v>486273391.180261</v>
      </c>
      <c r="I169" s="38" t="n">
        <v>23644318.04115</v>
      </c>
      <c r="J169" s="38" t="n">
        <v>12540305.781559</v>
      </c>
      <c r="K169" s="38" t="n">
        <v>207203.826395</v>
      </c>
      <c r="L169" s="38" t="n">
        <v>659945917.8834</v>
      </c>
      <c r="M169" s="21" t="n">
        <f aca="false">SUM(B169:L169)</f>
        <v>2545813678.93489</v>
      </c>
    </row>
    <row r="170" customFormat="false" ht="15" hidden="false" customHeight="false" outlineLevel="0" collapsed="false">
      <c r="A170" s="36" t="n">
        <v>46107</v>
      </c>
      <c r="B170" s="38" t="n">
        <v>0</v>
      </c>
      <c r="C170" s="38" t="n">
        <v>28765.183499</v>
      </c>
      <c r="D170" s="38" t="n">
        <v>22461296.2392455</v>
      </c>
      <c r="E170" s="38" t="n">
        <v>824589221.72329</v>
      </c>
      <c r="F170" s="38" t="n">
        <v>86479909.3356043</v>
      </c>
      <c r="G170" s="38" t="n">
        <v>203399915.074929</v>
      </c>
      <c r="H170" s="38" t="n">
        <v>478843527.311923</v>
      </c>
      <c r="I170" s="38" t="n">
        <v>27268193.815875</v>
      </c>
      <c r="J170" s="38" t="n">
        <v>6700514.4743075</v>
      </c>
      <c r="K170" s="38" t="n">
        <v>135707.24713</v>
      </c>
      <c r="L170" s="38" t="n">
        <v>767009517.590554</v>
      </c>
      <c r="M170" s="21" t="n">
        <f aca="false">SUM(B170:L170)</f>
        <v>2416916567.99636</v>
      </c>
    </row>
    <row r="171" customFormat="false" ht="15" hidden="false" customHeight="false" outlineLevel="0" collapsed="false">
      <c r="A171" s="36" t="n">
        <v>46108</v>
      </c>
      <c r="B171" s="38" t="n">
        <v>0</v>
      </c>
      <c r="C171" s="38" t="n">
        <v>24755.2190595</v>
      </c>
      <c r="D171" s="38" t="n">
        <v>23614346.293774</v>
      </c>
      <c r="E171" s="38" t="n">
        <v>794631950.420498</v>
      </c>
      <c r="F171" s="38" t="n">
        <v>90651005.839387</v>
      </c>
      <c r="G171" s="38" t="n">
        <v>278561191.160191</v>
      </c>
      <c r="H171" s="38" t="n">
        <v>498235986.065872</v>
      </c>
      <c r="I171" s="38" t="n">
        <v>30333085.877815</v>
      </c>
      <c r="J171" s="38" t="n">
        <v>3424557.282934</v>
      </c>
      <c r="K171" s="38" t="n">
        <v>181147.75409</v>
      </c>
      <c r="L171" s="38" t="n">
        <v>612230275.059228</v>
      </c>
      <c r="M171" s="21" t="n">
        <f aca="false">SUM(B171:L171)</f>
        <v>2331888300.97285</v>
      </c>
    </row>
    <row r="172" customFormat="false" ht="15" hidden="false" customHeight="false" outlineLevel="0" collapsed="false">
      <c r="A172" s="36" t="n">
        <v>46109</v>
      </c>
      <c r="B172" s="38" t="n">
        <v>0</v>
      </c>
      <c r="C172" s="38" t="n">
        <v>7787.5022025</v>
      </c>
      <c r="D172" s="38" t="n">
        <v>11577114.2218598</v>
      </c>
      <c r="E172" s="38" t="n">
        <v>207247489.709069</v>
      </c>
      <c r="F172" s="38" t="n">
        <v>13008875.4064363</v>
      </c>
      <c r="G172" s="38" t="n">
        <v>38819710.2298013</v>
      </c>
      <c r="H172" s="38" t="n">
        <v>73768165.012226</v>
      </c>
      <c r="I172" s="38" t="n">
        <v>24007187.59042</v>
      </c>
      <c r="J172" s="38" t="n">
        <v>257458.0240905</v>
      </c>
      <c r="K172" s="38" t="n">
        <v>47150.8758375</v>
      </c>
      <c r="L172" s="38" t="n">
        <v>18156853.373295</v>
      </c>
      <c r="M172" s="21" t="n">
        <f aca="false">SUM(B172:L172)</f>
        <v>386897791.945238</v>
      </c>
    </row>
    <row r="173" customFormat="false" ht="15" hidden="false" customHeight="false" outlineLevel="0" collapsed="false">
      <c r="A173" s="36" t="n">
        <v>46110</v>
      </c>
      <c r="B173" s="38" t="n">
        <v>0</v>
      </c>
      <c r="C173" s="38" t="n">
        <v>10883.67166125</v>
      </c>
      <c r="D173" s="38" t="n">
        <v>15355528.2415075</v>
      </c>
      <c r="E173" s="38" t="n">
        <v>324205439.165084</v>
      </c>
      <c r="F173" s="38" t="n">
        <v>9258934.57848425</v>
      </c>
      <c r="G173" s="38" t="n">
        <v>28552834.6855888</v>
      </c>
      <c r="H173" s="38" t="n">
        <v>132205912.245464</v>
      </c>
      <c r="I173" s="38" t="n">
        <v>26998772.19451</v>
      </c>
      <c r="J173" s="38" t="n">
        <v>2105389.53484975</v>
      </c>
      <c r="K173" s="38" t="n">
        <v>38349.421505</v>
      </c>
      <c r="L173" s="38" t="n">
        <v>104411941.889349</v>
      </c>
      <c r="M173" s="21" t="n">
        <f aca="false">SUM(B173:L173)</f>
        <v>643143985.628003</v>
      </c>
    </row>
    <row r="174" customFormat="false" ht="15" hidden="false" customHeight="false" outlineLevel="0" collapsed="false">
      <c r="A174" s="36" t="n">
        <v>46111</v>
      </c>
      <c r="B174" s="38" t="n">
        <v>0</v>
      </c>
      <c r="C174" s="38" t="n">
        <v>925476.286312</v>
      </c>
      <c r="D174" s="38" t="n">
        <v>23050621.9214598</v>
      </c>
      <c r="E174" s="38" t="n">
        <v>975635668.72392</v>
      </c>
      <c r="F174" s="38" t="n">
        <v>87739687.4483343</v>
      </c>
      <c r="G174" s="38" t="n">
        <v>234658160.981313</v>
      </c>
      <c r="H174" s="38" t="n">
        <v>515157794.29965</v>
      </c>
      <c r="I174" s="38" t="n">
        <v>28956160.88555</v>
      </c>
      <c r="J174" s="38" t="n">
        <v>7199520.96806475</v>
      </c>
      <c r="K174" s="38" t="n">
        <v>235584.075655</v>
      </c>
      <c r="L174" s="38" t="n">
        <v>424175643.947319</v>
      </c>
      <c r="M174" s="21" t="n">
        <f aca="false">SUM(B174:L174)</f>
        <v>2297734319.53758</v>
      </c>
    </row>
    <row r="175" customFormat="false" ht="15" hidden="false" customHeight="false" outlineLevel="0" collapsed="false">
      <c r="A175" s="36" t="n">
        <v>46112</v>
      </c>
      <c r="B175" s="38" t="n">
        <v>0</v>
      </c>
      <c r="C175" s="38" t="n">
        <v>596496.75837</v>
      </c>
      <c r="D175" s="38" t="n">
        <v>31183789.8542813</v>
      </c>
      <c r="E175" s="38" t="n">
        <v>1573504689.25549</v>
      </c>
      <c r="F175" s="38" t="n">
        <v>109221762.872454</v>
      </c>
      <c r="G175" s="38" t="n">
        <v>302974035.899418</v>
      </c>
      <c r="H175" s="38" t="n">
        <v>1051602665.61858</v>
      </c>
      <c r="I175" s="38" t="n">
        <v>22808113.2842975</v>
      </c>
      <c r="J175" s="38" t="n">
        <v>7663717.7489155</v>
      </c>
      <c r="K175" s="38" t="n">
        <v>86744.1344625</v>
      </c>
      <c r="L175" s="38" t="n">
        <v>535102639.269171</v>
      </c>
      <c r="M175" s="21" t="n">
        <f aca="false">SUM(B175:L175)</f>
        <v>3634744654.69543</v>
      </c>
    </row>
    <row r="176" customFormat="false" ht="15" hidden="false" customHeight="false" outlineLevel="0" collapsed="false">
      <c r="A176" s="36" t="n">
        <v>46113</v>
      </c>
      <c r="B176" s="38" t="n">
        <v>0</v>
      </c>
      <c r="C176" s="38" t="n">
        <v>1091336.1250545</v>
      </c>
      <c r="D176" s="38" t="n">
        <v>17827694.040503</v>
      </c>
      <c r="E176" s="38" t="n">
        <v>1604686414.6657</v>
      </c>
      <c r="F176" s="38" t="n">
        <v>91684343.744793</v>
      </c>
      <c r="G176" s="38" t="n">
        <v>243742788.806946</v>
      </c>
      <c r="H176" s="38" t="n">
        <v>782633361.129585</v>
      </c>
      <c r="I176" s="38" t="n">
        <v>25801042.6022625</v>
      </c>
      <c r="J176" s="38" t="n">
        <v>6494846.72533925</v>
      </c>
      <c r="K176" s="38" t="n">
        <v>79859.95348</v>
      </c>
      <c r="L176" s="38" t="n">
        <v>446952950.632612</v>
      </c>
      <c r="M176" s="21" t="n">
        <f aca="false">SUM(B176:L176)</f>
        <v>3220994638.42628</v>
      </c>
    </row>
    <row r="177" customFormat="false" ht="15" hidden="false" customHeight="false" outlineLevel="0" collapsed="false">
      <c r="A177" s="36" t="n">
        <v>46114</v>
      </c>
      <c r="B177" s="38" t="n">
        <v>0</v>
      </c>
      <c r="C177" s="38" t="n">
        <v>261152.4487485</v>
      </c>
      <c r="D177" s="38" t="n">
        <v>25294933.6156563</v>
      </c>
      <c r="E177" s="38" t="n">
        <v>2057873354.13936</v>
      </c>
      <c r="F177" s="38" t="n">
        <v>105081449.014145</v>
      </c>
      <c r="G177" s="38" t="n">
        <v>296132053.740808</v>
      </c>
      <c r="H177" s="38" t="n">
        <v>1069576218.2885</v>
      </c>
      <c r="I177" s="38" t="n">
        <v>25578500.0616525</v>
      </c>
      <c r="J177" s="38" t="n">
        <v>10517105.4299763</v>
      </c>
      <c r="K177" s="38" t="n">
        <v>211675.1560625</v>
      </c>
      <c r="L177" s="38" t="n">
        <v>666522640.358046</v>
      </c>
      <c r="M177" s="21" t="n">
        <f aca="false">SUM(B177:L177)</f>
        <v>4257049082.25295</v>
      </c>
    </row>
    <row r="178" customFormat="false" ht="15" hidden="false" customHeight="false" outlineLevel="0" collapsed="false">
      <c r="A178" s="36" t="n">
        <v>46115</v>
      </c>
      <c r="B178" s="38" t="n">
        <v>0</v>
      </c>
      <c r="C178" s="38" t="n">
        <v>53014.226391</v>
      </c>
      <c r="D178" s="38" t="n">
        <v>11556123.8756118</v>
      </c>
      <c r="E178" s="38" t="n">
        <v>224925030.365926</v>
      </c>
      <c r="F178" s="38" t="n">
        <v>15146748.9618313</v>
      </c>
      <c r="G178" s="38" t="n">
        <v>31030967.164097</v>
      </c>
      <c r="H178" s="38" t="n">
        <v>151557534.27584</v>
      </c>
      <c r="I178" s="38" t="n">
        <v>9524436.688165</v>
      </c>
      <c r="J178" s="38" t="n">
        <v>1076079.4580795</v>
      </c>
      <c r="K178" s="38" t="n">
        <v>64424.924705</v>
      </c>
      <c r="L178" s="38" t="n">
        <v>30339351.3804845</v>
      </c>
      <c r="M178" s="21" t="n">
        <f aca="false">SUM(B178:L178)</f>
        <v>475273711.321131</v>
      </c>
    </row>
    <row r="179" customFormat="false" ht="15" hidden="false" customHeight="false" outlineLevel="0" collapsed="false">
      <c r="A179" s="36" t="n">
        <v>46116</v>
      </c>
      <c r="B179" s="38" t="n">
        <v>0</v>
      </c>
      <c r="C179" s="38" t="n">
        <v>525.584517</v>
      </c>
      <c r="D179" s="38" t="n">
        <v>7501425.711835</v>
      </c>
      <c r="E179" s="38" t="n">
        <v>110421728.936306</v>
      </c>
      <c r="F179" s="38" t="n">
        <v>4812168.58107025</v>
      </c>
      <c r="G179" s="38" t="n">
        <v>15061691.6420778</v>
      </c>
      <c r="H179" s="38" t="n">
        <v>53427408.197982</v>
      </c>
      <c r="I179" s="38" t="n">
        <v>8631195.534195</v>
      </c>
      <c r="J179" s="38" t="n">
        <v>591694.511673</v>
      </c>
      <c r="K179" s="38" t="n">
        <v>41382.94387</v>
      </c>
      <c r="L179" s="38" t="n">
        <v>13279561.9796375</v>
      </c>
      <c r="M179" s="21" t="n">
        <f aca="false">SUM(B179:L179)</f>
        <v>213768783.623163</v>
      </c>
    </row>
    <row r="180" customFormat="false" ht="15" hidden="false" customHeight="false" outlineLevel="0" collapsed="false">
      <c r="A180" s="36" t="n">
        <v>46117</v>
      </c>
      <c r="B180" s="38" t="n">
        <v>0</v>
      </c>
      <c r="C180" s="38" t="n">
        <v>13370.7698</v>
      </c>
      <c r="D180" s="38" t="n">
        <v>12367671.0526795</v>
      </c>
      <c r="E180" s="38" t="n">
        <v>413258573.094821</v>
      </c>
      <c r="F180" s="38" t="n">
        <v>17516235.4362163</v>
      </c>
      <c r="G180" s="38" t="n">
        <v>32035283.505566</v>
      </c>
      <c r="H180" s="38" t="n">
        <v>142495597.990695</v>
      </c>
      <c r="I180" s="38" t="n">
        <v>5655475.85251</v>
      </c>
      <c r="J180" s="38" t="n">
        <v>1130590.32548525</v>
      </c>
      <c r="K180" s="38" t="n">
        <v>17597.13304</v>
      </c>
      <c r="L180" s="38" t="n">
        <v>136155096.413076</v>
      </c>
      <c r="M180" s="21" t="n">
        <f aca="false">SUM(B180:L180)</f>
        <v>760645491.573889</v>
      </c>
    </row>
    <row r="181" customFormat="false" ht="15" hidden="false" customHeight="false" outlineLevel="0" collapsed="false">
      <c r="A181" s="36" t="n">
        <v>46118</v>
      </c>
      <c r="B181" s="38" t="n">
        <v>0</v>
      </c>
      <c r="C181" s="38" t="n">
        <v>36647.4958585</v>
      </c>
      <c r="D181" s="38" t="n">
        <v>20306332.5046808</v>
      </c>
      <c r="E181" s="38" t="n">
        <v>1430866454.31349</v>
      </c>
      <c r="F181" s="38" t="n">
        <v>78485634.9706563</v>
      </c>
      <c r="G181" s="38" t="n">
        <v>176325206.450536</v>
      </c>
      <c r="H181" s="38" t="n">
        <v>597031586.691724</v>
      </c>
      <c r="I181" s="38" t="n">
        <v>19565480.8031375</v>
      </c>
      <c r="J181" s="38" t="n">
        <v>5388820.266615</v>
      </c>
      <c r="K181" s="38" t="n">
        <v>34192.65043</v>
      </c>
      <c r="L181" s="38" t="n">
        <v>363155285.300278</v>
      </c>
      <c r="M181" s="21" t="n">
        <f aca="false">SUM(B181:L181)</f>
        <v>2691195641.44741</v>
      </c>
    </row>
    <row r="182" customFormat="false" ht="15" hidden="false" customHeight="false" outlineLevel="0" collapsed="false">
      <c r="A182" s="36" t="n">
        <v>46119</v>
      </c>
      <c r="B182" s="38" t="n">
        <v>61722.98375</v>
      </c>
      <c r="C182" s="38" t="n">
        <v>14456.78770125</v>
      </c>
      <c r="D182" s="38" t="n">
        <v>28717988.0171738</v>
      </c>
      <c r="E182" s="38" t="n">
        <v>3279852251.764</v>
      </c>
      <c r="F182" s="38" t="n">
        <v>93534248.3922817</v>
      </c>
      <c r="G182" s="38" t="n">
        <v>265050232.231648</v>
      </c>
      <c r="H182" s="38" t="n">
        <v>1157345361.59885</v>
      </c>
      <c r="I182" s="38" t="n">
        <v>16517677.2752575</v>
      </c>
      <c r="J182" s="38" t="n">
        <v>4815535.200996</v>
      </c>
      <c r="K182" s="38" t="n">
        <v>905154.404225</v>
      </c>
      <c r="L182" s="38" t="n">
        <v>623870790.473881</v>
      </c>
      <c r="M182" s="21" t="n">
        <f aca="false">SUM(B182:L182)</f>
        <v>5470685419.12977</v>
      </c>
    </row>
    <row r="183" customFormat="false" ht="15" hidden="false" customHeight="false" outlineLevel="0" collapsed="false">
      <c r="A183" s="36" t="n">
        <v>46120</v>
      </c>
      <c r="B183" s="38" t="n">
        <v>644930.05808</v>
      </c>
      <c r="C183" s="38" t="n">
        <v>29556.6698</v>
      </c>
      <c r="D183" s="38" t="n">
        <v>25494285.421605</v>
      </c>
      <c r="E183" s="38" t="n">
        <v>3020833926.0872</v>
      </c>
      <c r="F183" s="38" t="n">
        <v>89156682.5858855</v>
      </c>
      <c r="G183" s="38" t="n">
        <v>310908702.160483</v>
      </c>
      <c r="H183" s="38" t="n">
        <v>856411365.283511</v>
      </c>
      <c r="I183" s="38" t="n">
        <v>12267497.31512</v>
      </c>
      <c r="J183" s="38" t="n">
        <v>5126056.948902</v>
      </c>
      <c r="K183" s="38" t="n">
        <v>622701.18235</v>
      </c>
      <c r="L183" s="38" t="n">
        <v>395360820.145716</v>
      </c>
      <c r="M183" s="21" t="n">
        <f aca="false">SUM(B183:L183)</f>
        <v>4716856523.85866</v>
      </c>
    </row>
    <row r="184" customFormat="false" ht="15" hidden="false" customHeight="false" outlineLevel="0" collapsed="false">
      <c r="A184" s="36" t="n">
        <v>46121</v>
      </c>
      <c r="B184" s="38" t="n">
        <v>4955938.03303</v>
      </c>
      <c r="C184" s="38" t="n">
        <v>3955.05044175</v>
      </c>
      <c r="D184" s="38" t="n">
        <v>24767653.3274083</v>
      </c>
      <c r="E184" s="38" t="n">
        <v>2055945545.57387</v>
      </c>
      <c r="F184" s="38" t="n">
        <v>106804346.324921</v>
      </c>
      <c r="G184" s="38" t="n">
        <v>204826926.617189</v>
      </c>
      <c r="H184" s="38" t="n">
        <v>619885221.424069</v>
      </c>
      <c r="I184" s="38" t="n">
        <v>3138053.138705</v>
      </c>
      <c r="J184" s="38" t="n">
        <v>4846220.046532</v>
      </c>
      <c r="K184" s="38" t="n">
        <v>1026872.4869575</v>
      </c>
      <c r="L184" s="38" t="n">
        <v>269645948.161438</v>
      </c>
      <c r="M184" s="21" t="n">
        <f aca="false">SUM(B184:L184)</f>
        <v>3295846680.18456</v>
      </c>
    </row>
    <row r="185" customFormat="false" ht="15" hidden="false" customHeight="false" outlineLevel="0" collapsed="false">
      <c r="A185" s="36" t="n">
        <v>46122</v>
      </c>
      <c r="B185" s="38" t="n">
        <v>1436972.0743</v>
      </c>
      <c r="C185" s="38" t="n">
        <v>367388.06129375</v>
      </c>
      <c r="D185" s="38" t="n">
        <v>21315587.1388608</v>
      </c>
      <c r="E185" s="38" t="n">
        <v>1033958009.17784</v>
      </c>
      <c r="F185" s="38" t="n">
        <v>85554538.6410358</v>
      </c>
      <c r="G185" s="38" t="n">
        <v>205683848.783122</v>
      </c>
      <c r="H185" s="38" t="n">
        <v>443854797.243014</v>
      </c>
      <c r="I185" s="38" t="n">
        <v>3421208.291225</v>
      </c>
      <c r="J185" s="38" t="n">
        <v>11916861.2520678</v>
      </c>
      <c r="K185" s="38" t="n">
        <v>761302.17271</v>
      </c>
      <c r="L185" s="38" t="n">
        <v>195642187.103172</v>
      </c>
      <c r="M185" s="21" t="n">
        <f aca="false">SUM(B185:L185)</f>
        <v>2003912699.93864</v>
      </c>
    </row>
    <row r="186" customFormat="false" ht="15" hidden="false" customHeight="false" outlineLevel="0" collapsed="false">
      <c r="A186" s="36" t="n">
        <v>46123</v>
      </c>
      <c r="B186" s="38" t="n">
        <v>6754.3003475</v>
      </c>
      <c r="C186" s="38" t="n">
        <v>79779.096446</v>
      </c>
      <c r="D186" s="38" t="n">
        <v>11422019.9281345</v>
      </c>
      <c r="E186" s="38" t="n">
        <v>344748056.722839</v>
      </c>
      <c r="F186" s="38" t="n">
        <v>16268190.5238478</v>
      </c>
      <c r="G186" s="38" t="n">
        <v>44401029.626373</v>
      </c>
      <c r="H186" s="38" t="n">
        <v>105693269.499217</v>
      </c>
      <c r="I186" s="38" t="n">
        <v>9897772.8779425</v>
      </c>
      <c r="J186" s="38" t="n">
        <v>1080332.33771875</v>
      </c>
      <c r="K186" s="38" t="n">
        <v>611144.0784</v>
      </c>
      <c r="L186" s="38" t="n">
        <v>12713652.17304</v>
      </c>
      <c r="M186" s="21" t="n">
        <f aca="false">SUM(B186:L186)</f>
        <v>546922001.164305</v>
      </c>
    </row>
    <row r="187" customFormat="false" ht="15" hidden="false" customHeight="false" outlineLevel="0" collapsed="false">
      <c r="A187" s="36" t="n">
        <v>46124</v>
      </c>
      <c r="B187" s="38" t="n">
        <v>8324.792905</v>
      </c>
      <c r="C187" s="38" t="n">
        <v>241.9452</v>
      </c>
      <c r="D187" s="38" t="n">
        <v>13710792.6618395</v>
      </c>
      <c r="E187" s="38" t="n">
        <v>1277732832.96494</v>
      </c>
      <c r="F187" s="38" t="n">
        <v>35710490.0098825</v>
      </c>
      <c r="G187" s="38" t="n">
        <v>92258386.812354</v>
      </c>
      <c r="H187" s="38" t="n">
        <v>392983456.825794</v>
      </c>
      <c r="I187" s="38" t="n">
        <v>14452369.1356575</v>
      </c>
      <c r="J187" s="38" t="n">
        <v>7525508.574098</v>
      </c>
      <c r="K187" s="38" t="n">
        <v>483395.2404075</v>
      </c>
      <c r="L187" s="38" t="n">
        <v>126397682.546753</v>
      </c>
      <c r="M187" s="21" t="n">
        <f aca="false">SUM(B187:L187)</f>
        <v>1961263481.50983</v>
      </c>
    </row>
    <row r="188" customFormat="false" ht="15" hidden="false" customHeight="false" outlineLevel="0" collapsed="false">
      <c r="A188" s="36" t="n">
        <v>46125</v>
      </c>
      <c r="B188" s="38" t="n">
        <v>1491665.35518</v>
      </c>
      <c r="C188" s="38" t="n">
        <v>1373.199808</v>
      </c>
      <c r="D188" s="38" t="n">
        <v>19849787.9988478</v>
      </c>
      <c r="E188" s="38" t="n">
        <v>1512996321.09412</v>
      </c>
      <c r="F188" s="38" t="n">
        <v>65328171.6936295</v>
      </c>
      <c r="G188" s="38" t="n">
        <v>174472616.059266</v>
      </c>
      <c r="H188" s="38" t="n">
        <v>651756467.910394</v>
      </c>
      <c r="I188" s="38" t="n">
        <v>12923011.38951</v>
      </c>
      <c r="J188" s="38" t="n">
        <v>18103668.9763395</v>
      </c>
      <c r="K188" s="38" t="n">
        <v>698813.26579</v>
      </c>
      <c r="L188" s="38" t="n">
        <v>217615356.459366</v>
      </c>
      <c r="M188" s="21" t="n">
        <f aca="false">SUM(B188:L188)</f>
        <v>2675237253.40225</v>
      </c>
    </row>
    <row r="189" customFormat="false" ht="15" hidden="false" customHeight="false" outlineLevel="0" collapsed="false">
      <c r="A189" s="36" t="n">
        <v>46126</v>
      </c>
      <c r="B189" s="38" t="n">
        <v>320927.94259</v>
      </c>
      <c r="C189" s="38" t="n">
        <v>105905.794665</v>
      </c>
      <c r="D189" s="38" t="n">
        <v>18597319.7325048</v>
      </c>
      <c r="E189" s="38" t="n">
        <v>1233101930.72255</v>
      </c>
      <c r="F189" s="38" t="n">
        <v>71926941.5535855</v>
      </c>
      <c r="G189" s="38" t="n">
        <v>187735838.521945</v>
      </c>
      <c r="H189" s="38" t="n">
        <v>494148489.189093</v>
      </c>
      <c r="I189" s="38" t="n">
        <v>6691500.8181575</v>
      </c>
      <c r="J189" s="38" t="n">
        <v>17772408.444954</v>
      </c>
      <c r="K189" s="38" t="n">
        <v>728544.123875</v>
      </c>
      <c r="L189" s="38" t="n">
        <v>192148093.976598</v>
      </c>
      <c r="M189" s="21" t="n">
        <f aca="false">SUM(B189:L189)</f>
        <v>2223277900.82052</v>
      </c>
    </row>
    <row r="190" customFormat="false" ht="15" hidden="false" customHeight="false" outlineLevel="0" collapsed="false">
      <c r="A190" s="36" t="n">
        <v>46127</v>
      </c>
      <c r="B190" s="38" t="n">
        <v>82814.006475</v>
      </c>
      <c r="C190" s="38" t="n">
        <v>4411.461924</v>
      </c>
      <c r="D190" s="38" t="n">
        <v>12670136.3655915</v>
      </c>
      <c r="E190" s="38" t="n">
        <v>867109788.638186</v>
      </c>
      <c r="F190" s="38" t="n">
        <v>72439362.6830213</v>
      </c>
      <c r="G190" s="38" t="n">
        <v>163578975.289948</v>
      </c>
      <c r="H190" s="38" t="n">
        <v>631123305.067881</v>
      </c>
      <c r="I190" s="38" t="n">
        <v>8499280.8332</v>
      </c>
      <c r="J190" s="38" t="n">
        <v>16939153.2276945</v>
      </c>
      <c r="K190" s="38" t="n">
        <v>445540.52158</v>
      </c>
      <c r="L190" s="38" t="n">
        <v>278549914.560038</v>
      </c>
      <c r="M190" s="21" t="n">
        <f aca="false">SUM(B190:L190)</f>
        <v>2051442682.65554</v>
      </c>
    </row>
    <row r="191" customFormat="false" ht="15" hidden="false" customHeight="false" outlineLevel="0" collapsed="false">
      <c r="A191" s="36" t="n">
        <v>46128</v>
      </c>
      <c r="B191" s="38" t="n">
        <v>909250.9765425</v>
      </c>
      <c r="C191" s="38" t="n">
        <v>898.3100925</v>
      </c>
      <c r="D191" s="38" t="n">
        <v>22146770.2483543</v>
      </c>
      <c r="E191" s="38" t="n">
        <v>712286216.312915</v>
      </c>
      <c r="F191" s="38" t="n">
        <v>57627502.8232455</v>
      </c>
      <c r="G191" s="38" t="n">
        <v>182939570.952917</v>
      </c>
      <c r="H191" s="38" t="n">
        <v>612552850.136299</v>
      </c>
      <c r="I191" s="38" t="n">
        <v>3822716.78393</v>
      </c>
      <c r="J191" s="38" t="n">
        <v>7440954.39315375</v>
      </c>
      <c r="K191" s="38" t="n">
        <v>296488.80727</v>
      </c>
      <c r="L191" s="38" t="n">
        <v>190262978.513508</v>
      </c>
      <c r="M191" s="21" t="n">
        <f aca="false">SUM(B191:L191)</f>
        <v>1790286198.25823</v>
      </c>
    </row>
    <row r="192" customFormat="false" ht="15" hidden="false" customHeight="false" outlineLevel="0" collapsed="false">
      <c r="A192" s="36" t="n">
        <v>46129</v>
      </c>
      <c r="B192" s="38" t="n">
        <v>325391.8731075</v>
      </c>
      <c r="C192" s="38" t="n">
        <v>5027.95569675</v>
      </c>
      <c r="D192" s="38" t="n">
        <v>33441045.3965253</v>
      </c>
      <c r="E192" s="38" t="n">
        <v>1512770561.28038</v>
      </c>
      <c r="F192" s="38" t="n">
        <v>83018619.8150165</v>
      </c>
      <c r="G192" s="38" t="n">
        <v>146181372.622196</v>
      </c>
      <c r="H192" s="38" t="n">
        <v>638744207.295545</v>
      </c>
      <c r="I192" s="38" t="n">
        <v>9239152.28924</v>
      </c>
      <c r="J192" s="38" t="n">
        <v>3627423.3983585</v>
      </c>
      <c r="K192" s="38" t="n">
        <v>865262.6667925</v>
      </c>
      <c r="L192" s="38" t="n">
        <v>262205067.969338</v>
      </c>
      <c r="M192" s="21" t="n">
        <f aca="false">SUM(B192:L192)</f>
        <v>2690423132.5622</v>
      </c>
    </row>
    <row r="193" customFormat="false" ht="15" hidden="false" customHeight="false" outlineLevel="0" collapsed="false">
      <c r="A193" s="36" t="n">
        <v>46130</v>
      </c>
      <c r="B193" s="38" t="n">
        <v>8370.57522</v>
      </c>
      <c r="C193" s="38" t="n">
        <v>6871.913343</v>
      </c>
      <c r="D193" s="38" t="n">
        <v>14543201.3708665</v>
      </c>
      <c r="E193" s="38" t="n">
        <v>437245488.374643</v>
      </c>
      <c r="F193" s="38" t="n">
        <v>26337250.4153885</v>
      </c>
      <c r="G193" s="38" t="n">
        <v>45500382.3249983</v>
      </c>
      <c r="H193" s="38" t="n">
        <v>128992306.913089</v>
      </c>
      <c r="I193" s="38" t="n">
        <v>12891087.84616</v>
      </c>
      <c r="J193" s="38" t="n">
        <v>385460.104011</v>
      </c>
      <c r="K193" s="38" t="n">
        <v>702264.956835</v>
      </c>
      <c r="L193" s="38" t="n">
        <v>36654656.472096</v>
      </c>
      <c r="M193" s="21" t="n">
        <f aca="false">SUM(B193:L193)</f>
        <v>703267341.266651</v>
      </c>
    </row>
    <row r="194" customFormat="false" ht="15" hidden="false" customHeight="false" outlineLevel="0" collapsed="false">
      <c r="A194" s="36" t="n">
        <v>46131</v>
      </c>
      <c r="B194" s="38" t="n">
        <v>26279.55374</v>
      </c>
      <c r="C194" s="38" t="n">
        <v>4163.4108625</v>
      </c>
      <c r="D194" s="38" t="n">
        <v>14428448.871412</v>
      </c>
      <c r="E194" s="38" t="n">
        <v>712546026.860848</v>
      </c>
      <c r="F194" s="38" t="n">
        <v>40094108.4890335</v>
      </c>
      <c r="G194" s="38" t="n">
        <v>40044109.8520123</v>
      </c>
      <c r="H194" s="38" t="n">
        <v>178945089.026225</v>
      </c>
      <c r="I194" s="38" t="n">
        <v>14393158.504125</v>
      </c>
      <c r="J194" s="38" t="n">
        <v>2783224.08201825</v>
      </c>
      <c r="K194" s="38" t="n">
        <v>735942.111455</v>
      </c>
      <c r="L194" s="38" t="n">
        <v>104119119.387462</v>
      </c>
      <c r="M194" s="21" t="n">
        <f aca="false">SUM(B194:L194)</f>
        <v>1108119670.14919</v>
      </c>
    </row>
    <row r="195" customFormat="false" ht="15" hidden="false" customHeight="false" outlineLevel="0" collapsed="false">
      <c r="A195" s="36" t="n">
        <v>46132</v>
      </c>
      <c r="B195" s="38" t="n">
        <v>90503.88185</v>
      </c>
      <c r="C195" s="38" t="n">
        <v>98.152365</v>
      </c>
      <c r="D195" s="38" t="n">
        <v>25913133.3145468</v>
      </c>
      <c r="E195" s="38" t="n">
        <v>1108203507.71317</v>
      </c>
      <c r="F195" s="38" t="n">
        <v>91088443.312943</v>
      </c>
      <c r="G195" s="38" t="n">
        <v>143333733.832128</v>
      </c>
      <c r="H195" s="38" t="n">
        <v>534789377.837816</v>
      </c>
      <c r="I195" s="38" t="n">
        <v>6007201.87444</v>
      </c>
      <c r="J195" s="38" t="n">
        <v>5279311.2972045</v>
      </c>
      <c r="K195" s="38" t="n">
        <v>675970.427745</v>
      </c>
      <c r="L195" s="38" t="n">
        <v>225054837.754319</v>
      </c>
      <c r="M195" s="21" t="n">
        <f aca="false">SUM(B195:L195)</f>
        <v>2140436119.39853</v>
      </c>
    </row>
    <row r="196" customFormat="false" ht="15" hidden="false" customHeight="false" outlineLevel="0" collapsed="false">
      <c r="A196" s="36" t="n">
        <v>46133</v>
      </c>
      <c r="B196" s="38" t="n">
        <v>23053.81613</v>
      </c>
      <c r="C196" s="38" t="n">
        <v>298874.8854775</v>
      </c>
      <c r="D196" s="38" t="n">
        <v>15278160.4445523</v>
      </c>
      <c r="E196" s="38" t="n">
        <v>1344720450.91795</v>
      </c>
      <c r="F196" s="38" t="n">
        <v>54964227.0446655</v>
      </c>
      <c r="G196" s="38" t="n">
        <v>132760964.01827</v>
      </c>
      <c r="H196" s="38" t="n">
        <v>590529440.889977</v>
      </c>
      <c r="I196" s="38" t="n">
        <v>16500251.4419875</v>
      </c>
      <c r="J196" s="38" t="n">
        <v>4540835.98142875</v>
      </c>
      <c r="K196" s="38" t="n">
        <v>959730.7870575</v>
      </c>
      <c r="L196" s="38" t="n">
        <v>369435279.477033</v>
      </c>
      <c r="M196" s="21" t="n">
        <f aca="false">SUM(B196:L196)</f>
        <v>2530011269.70453</v>
      </c>
    </row>
    <row r="197" customFormat="false" ht="15" hidden="false" customHeight="false" outlineLevel="0" collapsed="false">
      <c r="A197" s="36" t="n">
        <v>46134</v>
      </c>
      <c r="B197" s="38" t="n">
        <v>88225.685695</v>
      </c>
      <c r="C197" s="38" t="n">
        <v>861673.370355</v>
      </c>
      <c r="D197" s="38" t="n">
        <v>23239187.106628</v>
      </c>
      <c r="E197" s="38" t="n">
        <v>916415540.357203</v>
      </c>
      <c r="F197" s="38" t="n">
        <v>45141633.7956368</v>
      </c>
      <c r="G197" s="38" t="n">
        <v>141317419.05825</v>
      </c>
      <c r="H197" s="38" t="n">
        <v>441854368.795918</v>
      </c>
      <c r="I197" s="38" t="n">
        <v>8268251.390695</v>
      </c>
      <c r="J197" s="38" t="n">
        <v>5302767.99645025</v>
      </c>
      <c r="K197" s="38" t="n">
        <v>1766873.94675</v>
      </c>
      <c r="L197" s="38" t="n">
        <v>240279682.926506</v>
      </c>
      <c r="M197" s="21" t="n">
        <f aca="false">SUM(B197:L197)</f>
        <v>1824535624.43009</v>
      </c>
    </row>
    <row r="198" customFormat="false" ht="15" hidden="false" customHeight="false" outlineLevel="0" collapsed="false">
      <c r="A198" s="36" t="n">
        <v>46135</v>
      </c>
      <c r="B198" s="38" t="n">
        <v>42121.3732</v>
      </c>
      <c r="C198" s="38" t="n">
        <v>713873.68028275</v>
      </c>
      <c r="D198" s="38" t="n">
        <v>36120353.1053763</v>
      </c>
      <c r="E198" s="38" t="n">
        <v>1298942307.20191</v>
      </c>
      <c r="F198" s="38" t="n">
        <v>53251899.1026735</v>
      </c>
      <c r="G198" s="38" t="n">
        <v>237527321.099977</v>
      </c>
      <c r="H198" s="38" t="n">
        <v>702541782.84222</v>
      </c>
      <c r="I198" s="38" t="n">
        <v>8574709.2921</v>
      </c>
      <c r="J198" s="38" t="n">
        <v>8425781.38872975</v>
      </c>
      <c r="K198" s="38" t="n">
        <v>858832.0391</v>
      </c>
      <c r="L198" s="38" t="n">
        <v>353816841.856322</v>
      </c>
      <c r="M198" s="21" t="n">
        <f aca="false">SUM(B198:L198)</f>
        <v>2700815822.98189</v>
      </c>
    </row>
    <row r="199" customFormat="false" ht="15" hidden="false" customHeight="false" outlineLevel="0" collapsed="false">
      <c r="A199" s="36" t="n">
        <v>46136</v>
      </c>
      <c r="B199" s="38" t="n">
        <v>41452.89557</v>
      </c>
      <c r="C199" s="38" t="n">
        <v>963423.137162</v>
      </c>
      <c r="D199" s="38" t="n">
        <v>7758267.456415</v>
      </c>
      <c r="E199" s="38" t="n">
        <v>1027115548.56498</v>
      </c>
      <c r="F199" s="38" t="n">
        <v>51872650.9734922</v>
      </c>
      <c r="G199" s="38" t="n">
        <v>294338105.341563</v>
      </c>
      <c r="H199" s="38" t="n">
        <v>540244909.957691</v>
      </c>
      <c r="I199" s="38" t="n">
        <v>7106660.407785</v>
      </c>
      <c r="J199" s="38" t="n">
        <v>5537277.3464665</v>
      </c>
      <c r="K199" s="38" t="n">
        <v>350604.7505</v>
      </c>
      <c r="L199" s="38" t="n">
        <v>307848515.630752</v>
      </c>
      <c r="M199" s="21" t="n">
        <f aca="false">SUM(B199:L199)</f>
        <v>2243177416.46238</v>
      </c>
    </row>
    <row r="200" customFormat="false" ht="15" hidden="false" customHeight="false" outlineLevel="0" collapsed="false">
      <c r="A200" s="36" t="n">
        <v>46137</v>
      </c>
      <c r="B200" s="38" t="n">
        <v>4765.4707875</v>
      </c>
      <c r="C200" s="38" t="n">
        <v>832282.7248025</v>
      </c>
      <c r="D200" s="38" t="n">
        <v>5437934.9698705</v>
      </c>
      <c r="E200" s="38" t="n">
        <v>162456495.217656</v>
      </c>
      <c r="F200" s="38" t="n">
        <v>6922937.2310555</v>
      </c>
      <c r="G200" s="38" t="n">
        <v>34284539.6785675</v>
      </c>
      <c r="H200" s="38" t="n">
        <v>78540819.1640143</v>
      </c>
      <c r="I200" s="38" t="n">
        <v>692868.2346</v>
      </c>
      <c r="J200" s="38" t="n">
        <v>340360.65562625</v>
      </c>
      <c r="K200" s="38" t="n">
        <v>109366.9194</v>
      </c>
      <c r="L200" s="38" t="n">
        <v>27503186.279761</v>
      </c>
      <c r="M200" s="21" t="n">
        <f aca="false">SUM(B200:L200)</f>
        <v>317125556.546141</v>
      </c>
    </row>
    <row r="201" customFormat="false" ht="15" hidden="false" customHeight="false" outlineLevel="0" collapsed="false">
      <c r="A201" s="36" t="n">
        <v>46138</v>
      </c>
      <c r="B201" s="38" t="n">
        <v>15223.73306</v>
      </c>
      <c r="C201" s="38" t="n">
        <v>173470.325616</v>
      </c>
      <c r="D201" s="38" t="n">
        <v>50882122.3656808</v>
      </c>
      <c r="E201" s="38" t="n">
        <v>213045622.133653</v>
      </c>
      <c r="F201" s="38" t="n">
        <v>12635560.0057038</v>
      </c>
      <c r="G201" s="38" t="n">
        <v>81012874.5389137</v>
      </c>
      <c r="H201" s="38" t="n">
        <v>160273310.193135</v>
      </c>
      <c r="I201" s="38" t="n">
        <v>2709808.5238125</v>
      </c>
      <c r="J201" s="38" t="n">
        <v>5770678.1425615</v>
      </c>
      <c r="K201" s="38" t="n">
        <v>507784.342975</v>
      </c>
      <c r="L201" s="38" t="n">
        <v>72418173.009548</v>
      </c>
      <c r="M201" s="21" t="n">
        <f aca="false">SUM(B201:L201)</f>
        <v>599444627.314659</v>
      </c>
    </row>
    <row r="202" customFormat="false" ht="15" hidden="false" customHeight="false" outlineLevel="0" collapsed="false">
      <c r="A202" s="36" t="n">
        <v>46139</v>
      </c>
      <c r="B202" s="38" t="n">
        <v>32975.481355</v>
      </c>
      <c r="C202" s="38" t="n">
        <v>25454.013322</v>
      </c>
      <c r="D202" s="38" t="n">
        <v>13465587.6858043</v>
      </c>
      <c r="E202" s="38" t="n">
        <v>568306822.33307</v>
      </c>
      <c r="F202" s="38" t="n">
        <v>70751004.874157</v>
      </c>
      <c r="G202" s="38" t="n">
        <v>340334751.048459</v>
      </c>
      <c r="H202" s="38" t="n">
        <v>458727252.37259</v>
      </c>
      <c r="I202" s="38" t="n">
        <v>6652500.4441625</v>
      </c>
      <c r="J202" s="38" t="n">
        <v>4877896.99550025</v>
      </c>
      <c r="K202" s="38" t="n">
        <v>330372.970675</v>
      </c>
      <c r="L202" s="38" t="n">
        <v>245290625.114036</v>
      </c>
      <c r="M202" s="21" t="n">
        <f aca="false">SUM(B202:L202)</f>
        <v>1708795243.33313</v>
      </c>
    </row>
    <row r="203" customFormat="false" ht="15" hidden="false" customHeight="false" outlineLevel="0" collapsed="false">
      <c r="A203" s="36" t="n">
        <v>46140</v>
      </c>
      <c r="B203" s="38" t="n">
        <v>181065.46428</v>
      </c>
      <c r="C203" s="38" t="n">
        <v>1404230.798432</v>
      </c>
      <c r="D203" s="38" t="n">
        <v>5907549.5221575</v>
      </c>
      <c r="E203" s="38" t="n">
        <v>1022663155.60305</v>
      </c>
      <c r="F203" s="38" t="n">
        <v>69818767.679177</v>
      </c>
      <c r="G203" s="38" t="n">
        <v>311700888.589911</v>
      </c>
      <c r="H203" s="38" t="n">
        <v>466071845.636213</v>
      </c>
      <c r="I203" s="38" t="n">
        <v>11084485.66679</v>
      </c>
      <c r="J203" s="38" t="n">
        <v>29331814.6246115</v>
      </c>
      <c r="K203" s="38" t="n">
        <v>613752.274425</v>
      </c>
      <c r="L203" s="38" t="n">
        <v>502302377.261258</v>
      </c>
      <c r="M203" s="21" t="n">
        <f aca="false">SUM(B203:L203)</f>
        <v>2421079933.1203</v>
      </c>
    </row>
    <row r="204" customFormat="false" ht="15" hidden="false" customHeight="false" outlineLevel="0" collapsed="false">
      <c r="A204" s="36" t="n">
        <v>46141</v>
      </c>
      <c r="B204" s="38" t="n">
        <v>1149003.731435</v>
      </c>
      <c r="C204" s="38" t="n">
        <v>363482.9049825</v>
      </c>
      <c r="D204" s="38" t="n">
        <v>8408979.35242225</v>
      </c>
      <c r="E204" s="38" t="n">
        <v>1206337315.56181</v>
      </c>
      <c r="F204" s="38" t="n">
        <v>95309110.9834687</v>
      </c>
      <c r="G204" s="38" t="n">
        <v>479454567.225404</v>
      </c>
      <c r="H204" s="38" t="n">
        <v>750007211.194713</v>
      </c>
      <c r="I204" s="38" t="n">
        <v>10752369.202355</v>
      </c>
      <c r="J204" s="38" t="n">
        <v>5381253.200954</v>
      </c>
      <c r="K204" s="38" t="n">
        <v>1360621.0678975</v>
      </c>
      <c r="L204" s="38" t="n">
        <v>374572837.302403</v>
      </c>
      <c r="M204" s="21" t="n">
        <f aca="false">SUM(B204:L204)</f>
        <v>2933096751.72784</v>
      </c>
    </row>
    <row r="205" customFormat="false" ht="15" hidden="false" customHeight="false" outlineLevel="0" collapsed="false">
      <c r="A205" s="36" t="n">
        <v>46142</v>
      </c>
      <c r="B205" s="38" t="n">
        <v>1038259.36536</v>
      </c>
      <c r="C205" s="38" t="n">
        <v>2299122.85817025</v>
      </c>
      <c r="D205" s="38" t="n">
        <v>4768091.98198625</v>
      </c>
      <c r="E205" s="38" t="n">
        <v>1194426965.13408</v>
      </c>
      <c r="F205" s="38" t="n">
        <v>72730369.060892</v>
      </c>
      <c r="G205" s="38" t="n">
        <v>508741727.630695</v>
      </c>
      <c r="H205" s="38" t="n">
        <v>739851342.562688</v>
      </c>
      <c r="I205" s="38" t="n">
        <v>31020260.7033375</v>
      </c>
      <c r="J205" s="38" t="n">
        <v>3995706.70049375</v>
      </c>
      <c r="K205" s="38" t="n">
        <v>977602.96269</v>
      </c>
      <c r="L205" s="38" t="n">
        <v>297035168.102449</v>
      </c>
      <c r="M205" s="21" t="n">
        <f aca="false">SUM(B205:L205)</f>
        <v>2856884617.06284</v>
      </c>
    </row>
    <row r="206" customFormat="false" ht="15" hidden="false" customHeight="false" outlineLevel="0" collapsed="false">
      <c r="A206" s="36" t="n">
        <v>46143</v>
      </c>
      <c r="B206" s="38" t="n">
        <v>3957804.28015</v>
      </c>
      <c r="C206" s="38" t="n">
        <v>5109676.0013925</v>
      </c>
      <c r="D206" s="38" t="n">
        <v>7766103.063449</v>
      </c>
      <c r="E206" s="38" t="n">
        <v>1130900486.27905</v>
      </c>
      <c r="F206" s="38" t="n">
        <v>82513094.5778678</v>
      </c>
      <c r="G206" s="38" t="n">
        <v>378273969.009976</v>
      </c>
      <c r="H206" s="38" t="n">
        <v>423975361.212553</v>
      </c>
      <c r="I206" s="38" t="n">
        <v>16360180.855795</v>
      </c>
      <c r="J206" s="38" t="n">
        <v>3940341.35090075</v>
      </c>
      <c r="K206" s="38" t="n">
        <v>408105.307195</v>
      </c>
      <c r="L206" s="38" t="n">
        <v>269912008.74092</v>
      </c>
      <c r="M206" s="21" t="n">
        <f aca="false">SUM(B206:L206)</f>
        <v>2323117130.67925</v>
      </c>
    </row>
    <row r="207" customFormat="false" ht="15" hidden="false" customHeight="false" outlineLevel="0" collapsed="false">
      <c r="A207" s="36" t="n">
        <v>46144</v>
      </c>
      <c r="B207" s="38" t="n">
        <v>6587.76418</v>
      </c>
      <c r="C207" s="38" t="n">
        <v>1409308.6559835</v>
      </c>
      <c r="D207" s="38" t="n">
        <v>4881234.97895825</v>
      </c>
      <c r="E207" s="38" t="n">
        <v>79977028.2372327</v>
      </c>
      <c r="F207" s="38" t="n">
        <v>8029867.24793925</v>
      </c>
      <c r="G207" s="38" t="n">
        <v>38849772.2301723</v>
      </c>
      <c r="H207" s="38" t="n">
        <v>75737535.4006758</v>
      </c>
      <c r="I207" s="38" t="n">
        <v>8683457.743</v>
      </c>
      <c r="J207" s="38" t="n">
        <v>678037.3537305</v>
      </c>
      <c r="K207" s="38" t="n">
        <v>206848.1521</v>
      </c>
      <c r="L207" s="38" t="n">
        <v>11627326.178599</v>
      </c>
      <c r="M207" s="21" t="n">
        <f aca="false">SUM(B207:L207)</f>
        <v>230087003.942571</v>
      </c>
    </row>
    <row r="208" customFormat="false" ht="15" hidden="false" customHeight="false" outlineLevel="0" collapsed="false">
      <c r="A208" s="36" t="n">
        <v>46145</v>
      </c>
      <c r="B208" s="38" t="n">
        <v>11241.2102375</v>
      </c>
      <c r="C208" s="38" t="n">
        <v>1208160.2682765</v>
      </c>
      <c r="D208" s="38" t="n">
        <v>5159536.89059</v>
      </c>
      <c r="E208" s="38" t="n">
        <v>390997388.9411</v>
      </c>
      <c r="F208" s="38" t="n">
        <v>8209939.134661</v>
      </c>
      <c r="G208" s="38" t="n">
        <v>51311286.9741733</v>
      </c>
      <c r="H208" s="38" t="n">
        <v>113097538.089037</v>
      </c>
      <c r="I208" s="38" t="n">
        <v>11097712.4954325</v>
      </c>
      <c r="J208" s="38" t="n">
        <v>2261241.330765</v>
      </c>
      <c r="K208" s="38" t="n">
        <v>101530.20035</v>
      </c>
      <c r="L208" s="38" t="n">
        <v>107248512.896637</v>
      </c>
      <c r="M208" s="21" t="n">
        <f aca="false">SUM(B208:L208)</f>
        <v>690704088.43126</v>
      </c>
    </row>
    <row r="209" customFormat="false" ht="15" hidden="false" customHeight="false" outlineLevel="0" collapsed="false">
      <c r="A209" s="36" t="n">
        <v>46146</v>
      </c>
      <c r="B209" s="38" t="n">
        <v>3631482.660845</v>
      </c>
      <c r="C209" s="38" t="n">
        <v>364719.004463</v>
      </c>
      <c r="D209" s="38" t="n">
        <v>23562031.9303985</v>
      </c>
      <c r="E209" s="38" t="n">
        <v>1656574856.83828</v>
      </c>
      <c r="F209" s="38" t="n">
        <v>104710619.817034</v>
      </c>
      <c r="G209" s="38" t="n">
        <v>405241682.852239</v>
      </c>
      <c r="H209" s="38" t="n">
        <v>713757063.542679</v>
      </c>
      <c r="I209" s="38" t="n">
        <v>26604730.4264525</v>
      </c>
      <c r="J209" s="38" t="n">
        <v>5766116.02590075</v>
      </c>
      <c r="K209" s="38" t="n">
        <v>209633.4928</v>
      </c>
      <c r="L209" s="38" t="n">
        <v>368392838.33498</v>
      </c>
      <c r="M209" s="21" t="n">
        <f aca="false">SUM(B209:L209)</f>
        <v>3308815774.92607</v>
      </c>
    </row>
    <row r="210" customFormat="false" ht="15" hidden="false" customHeight="false" outlineLevel="0" collapsed="false">
      <c r="A210" s="36" t="n">
        <v>46147</v>
      </c>
      <c r="B210" s="38" t="n">
        <v>1092755.984285</v>
      </c>
      <c r="C210" s="38" t="n">
        <v>200903.27418</v>
      </c>
      <c r="D210" s="38" t="n">
        <v>16925741.458471</v>
      </c>
      <c r="E210" s="38" t="n">
        <v>1055273217.98227</v>
      </c>
      <c r="F210" s="38" t="n">
        <v>103099996.299813</v>
      </c>
      <c r="G210" s="38" t="n">
        <v>472426642.119607</v>
      </c>
      <c r="H210" s="38" t="n">
        <v>472309970.165441</v>
      </c>
      <c r="I210" s="38" t="n">
        <v>10527819.96422</v>
      </c>
      <c r="J210" s="38" t="n">
        <v>6797183.0402595</v>
      </c>
      <c r="K210" s="38" t="n">
        <v>235206.687025</v>
      </c>
      <c r="L210" s="38" t="n">
        <v>218276792.196209</v>
      </c>
      <c r="M210" s="21" t="n">
        <f aca="false">SUM(B210:L210)</f>
        <v>2357166229.17178</v>
      </c>
    </row>
    <row r="211" customFormat="false" ht="15" hidden="false" customHeight="false" outlineLevel="0" collapsed="false">
      <c r="A211" s="36" t="n">
        <v>46148</v>
      </c>
      <c r="B211" s="38" t="n">
        <v>951862.89295</v>
      </c>
      <c r="C211" s="38" t="n">
        <v>596701.13666</v>
      </c>
      <c r="D211" s="38" t="n">
        <v>17613907.6102933</v>
      </c>
      <c r="E211" s="38" t="n">
        <v>2008747927.27402</v>
      </c>
      <c r="F211" s="38" t="n">
        <v>92703600.596303</v>
      </c>
      <c r="G211" s="38" t="n">
        <v>518196174.059184</v>
      </c>
      <c r="H211" s="38" t="n">
        <v>605787871.52666</v>
      </c>
      <c r="I211" s="38" t="n">
        <v>11889356.9831425</v>
      </c>
      <c r="J211" s="38" t="n">
        <v>9131637.50781925</v>
      </c>
      <c r="K211" s="38" t="n">
        <v>669930.37065</v>
      </c>
      <c r="L211" s="38" t="n">
        <v>322919130.141726</v>
      </c>
      <c r="M211" s="21" t="n">
        <f aca="false">SUM(B211:L211)</f>
        <v>3589208100.0994</v>
      </c>
    </row>
    <row r="212" customFormat="false" ht="15" hidden="false" customHeight="false" outlineLevel="0" collapsed="false">
      <c r="A212" s="36" t="n">
        <v>46149</v>
      </c>
      <c r="B212" s="38" t="n">
        <v>429952.598255</v>
      </c>
      <c r="C212" s="38" t="n">
        <v>81891.16905</v>
      </c>
      <c r="D212" s="38" t="n">
        <v>12999293.819921</v>
      </c>
      <c r="E212" s="38" t="n">
        <v>1923429724.80266</v>
      </c>
      <c r="F212" s="38" t="n">
        <v>119603863.141639</v>
      </c>
      <c r="G212" s="38" t="n">
        <v>519731764.813382</v>
      </c>
      <c r="H212" s="38" t="n">
        <v>680099588.03282</v>
      </c>
      <c r="I212" s="38" t="n">
        <v>5966685.92351</v>
      </c>
      <c r="J212" s="38" t="n">
        <v>10669706.6680845</v>
      </c>
      <c r="K212" s="38" t="n">
        <v>2606002.2313</v>
      </c>
      <c r="L212" s="38" t="n">
        <v>388611655.407994</v>
      </c>
      <c r="M212" s="21" t="n">
        <f aca="false">SUM(B212:L212)</f>
        <v>3664230128.60861</v>
      </c>
    </row>
    <row r="213" customFormat="false" ht="15" hidden="false" customHeight="false" outlineLevel="0" collapsed="false">
      <c r="A213" s="36" t="n">
        <v>46150</v>
      </c>
      <c r="B213" s="38" t="n">
        <v>686120.2692</v>
      </c>
      <c r="C213" s="38" t="n">
        <v>161323.678537</v>
      </c>
      <c r="D213" s="38" t="n">
        <v>11344961.948848</v>
      </c>
      <c r="E213" s="38" t="n">
        <v>913902769.53496</v>
      </c>
      <c r="F213" s="38" t="n">
        <v>80278153.052398</v>
      </c>
      <c r="G213" s="38" t="n">
        <v>549401950.211348</v>
      </c>
      <c r="H213" s="38" t="n">
        <v>541996174.889465</v>
      </c>
      <c r="I213" s="38" t="n">
        <v>6208482.9737225</v>
      </c>
      <c r="J213" s="38" t="n">
        <v>12473443.4932888</v>
      </c>
      <c r="K213" s="38" t="n">
        <v>791925.7706</v>
      </c>
      <c r="L213" s="38" t="n">
        <v>289216151.167568</v>
      </c>
      <c r="M213" s="21" t="n">
        <f aca="false">SUM(B213:L213)</f>
        <v>2406461456.98994</v>
      </c>
    </row>
    <row r="214" customFormat="false" ht="15" hidden="false" customHeight="false" outlineLevel="0" collapsed="false">
      <c r="A214" s="36" t="n">
        <v>46151</v>
      </c>
      <c r="B214" s="38" t="n">
        <v>27741.766</v>
      </c>
      <c r="C214" s="38" t="n">
        <v>1815.18012075</v>
      </c>
      <c r="D214" s="38" t="n">
        <v>7343750.842135</v>
      </c>
      <c r="E214" s="38" t="n">
        <v>116051849.972122</v>
      </c>
      <c r="F214" s="38" t="n">
        <v>8596641.7438465</v>
      </c>
      <c r="G214" s="38" t="n">
        <v>65323321.7336325</v>
      </c>
      <c r="H214" s="38" t="n">
        <v>78603899.54364</v>
      </c>
      <c r="I214" s="38" t="n">
        <v>488285.0896525</v>
      </c>
      <c r="J214" s="38" t="n">
        <v>2825199.9025745</v>
      </c>
      <c r="K214" s="38" t="n">
        <v>7887899.07334</v>
      </c>
      <c r="L214" s="38" t="n">
        <v>24816646.0091143</v>
      </c>
      <c r="M214" s="21" t="n">
        <f aca="false">SUM(B214:L214)</f>
        <v>311967050.856178</v>
      </c>
    </row>
    <row r="215" customFormat="false" ht="15" hidden="false" customHeight="false" outlineLevel="0" collapsed="false">
      <c r="A215" s="36" t="n">
        <v>46152</v>
      </c>
      <c r="B215" s="38" t="n">
        <v>14642.259445</v>
      </c>
      <c r="C215" s="38" t="n">
        <v>15839.172739</v>
      </c>
      <c r="D215" s="38" t="n">
        <v>10995509.363115</v>
      </c>
      <c r="E215" s="38" t="n">
        <v>344155297.194436</v>
      </c>
      <c r="F215" s="38" t="n">
        <v>22276701.515757</v>
      </c>
      <c r="G215" s="38" t="n">
        <v>111304743.151268</v>
      </c>
      <c r="H215" s="38" t="n">
        <v>212681787.550196</v>
      </c>
      <c r="I215" s="38" t="n">
        <v>4101289.98118</v>
      </c>
      <c r="J215" s="38" t="n">
        <v>13353124.7906303</v>
      </c>
      <c r="K215" s="38" t="n">
        <v>3846529.75905</v>
      </c>
      <c r="L215" s="38" t="n">
        <v>112351414.567762</v>
      </c>
      <c r="M215" s="21" t="n">
        <f aca="false">SUM(B215:L215)</f>
        <v>835096879.305578</v>
      </c>
    </row>
    <row r="216" customFormat="false" ht="15" hidden="false" customHeight="false" outlineLevel="0" collapsed="false">
      <c r="A216" s="36" t="n">
        <v>46153</v>
      </c>
      <c r="B216" s="38" t="n">
        <v>249487.07127</v>
      </c>
      <c r="C216" s="38" t="n">
        <v>89526.1735425</v>
      </c>
      <c r="D216" s="38" t="n">
        <v>18023356.3558203</v>
      </c>
      <c r="E216" s="38" t="n">
        <v>812114491.47426</v>
      </c>
      <c r="F216" s="38" t="n">
        <v>173431196.534956</v>
      </c>
      <c r="G216" s="38" t="n">
        <v>704359157.765371</v>
      </c>
      <c r="H216" s="38" t="n">
        <v>424504062.84865</v>
      </c>
      <c r="I216" s="38" t="n">
        <v>4661094.8879325</v>
      </c>
      <c r="J216" s="38" t="n">
        <v>13831713.1727485</v>
      </c>
      <c r="K216" s="38" t="n">
        <v>1245998.09655</v>
      </c>
      <c r="L216" s="38" t="n">
        <v>395669936.019986</v>
      </c>
      <c r="M216" s="21" t="n">
        <f aca="false">SUM(B216:L216)</f>
        <v>2548180020.40109</v>
      </c>
    </row>
    <row r="217" customFormat="false" ht="15" hidden="false" customHeight="false" outlineLevel="0" collapsed="false">
      <c r="A217" s="36" t="n">
        <v>46154</v>
      </c>
      <c r="B217" s="38" t="n">
        <v>1754732.4723</v>
      </c>
      <c r="C217" s="38" t="n">
        <v>18279.68331575</v>
      </c>
      <c r="D217" s="38" t="n">
        <v>18069297.0804098</v>
      </c>
      <c r="E217" s="38" t="n">
        <v>578295185.200007</v>
      </c>
      <c r="F217" s="38" t="n">
        <v>119230776.10603</v>
      </c>
      <c r="G217" s="38" t="n">
        <v>706341700.380161</v>
      </c>
      <c r="H217" s="38" t="n">
        <v>593327780.037226</v>
      </c>
      <c r="I217" s="38" t="n">
        <v>4082506.6775375</v>
      </c>
      <c r="J217" s="38" t="n">
        <v>34448860.445113</v>
      </c>
      <c r="K217" s="38" t="n">
        <v>1071785.196425</v>
      </c>
      <c r="L217" s="38" t="n">
        <v>426411620.070749</v>
      </c>
      <c r="M217" s="21" t="n">
        <f aca="false">SUM(B217:L217)</f>
        <v>2483052523.34927</v>
      </c>
    </row>
    <row r="218" customFormat="false" ht="15" hidden="false" customHeight="false" outlineLevel="0" collapsed="false">
      <c r="A218" s="36" t="n">
        <v>46155</v>
      </c>
      <c r="B218" s="38" t="n">
        <v>732064.2852</v>
      </c>
      <c r="C218" s="38" t="n">
        <v>815604.1971185</v>
      </c>
      <c r="D218" s="38" t="n">
        <v>13032321.594317</v>
      </c>
      <c r="E218" s="38" t="n">
        <v>615530621.33425</v>
      </c>
      <c r="F218" s="38" t="n">
        <v>90318783.2877483</v>
      </c>
      <c r="G218" s="38" t="n">
        <v>639046179.28395</v>
      </c>
      <c r="H218" s="38" t="n">
        <v>599842086.457335</v>
      </c>
      <c r="I218" s="38" t="n">
        <v>11760260.952425</v>
      </c>
      <c r="J218" s="38" t="n">
        <v>39435451.3069245</v>
      </c>
      <c r="K218" s="38" t="n">
        <v>527753.504625</v>
      </c>
      <c r="L218" s="38" t="n">
        <v>360626300.747643</v>
      </c>
      <c r="M218" s="21" t="n">
        <f aca="false">SUM(B218:L218)</f>
        <v>2371667426.95154</v>
      </c>
    </row>
    <row r="219" customFormat="false" ht="15" hidden="false" customHeight="false" outlineLevel="0" collapsed="false">
      <c r="A219" s="36" t="n">
        <v>46156</v>
      </c>
      <c r="B219" s="38" t="n">
        <v>445149.6647475</v>
      </c>
      <c r="C219" s="38" t="n">
        <v>600877.0463225</v>
      </c>
      <c r="D219" s="38" t="n">
        <v>12674035.7871463</v>
      </c>
      <c r="E219" s="38" t="n">
        <v>589877761.395768</v>
      </c>
      <c r="F219" s="38" t="n">
        <v>146978056.662493</v>
      </c>
      <c r="G219" s="38" t="n">
        <v>924105421.155997</v>
      </c>
      <c r="H219" s="38" t="n">
        <v>722798428.199549</v>
      </c>
      <c r="I219" s="38" t="n">
        <v>10550451.51272</v>
      </c>
      <c r="J219" s="38" t="n">
        <v>22352722.3309268</v>
      </c>
      <c r="K219" s="38" t="n">
        <v>371179.811675</v>
      </c>
      <c r="L219" s="38" t="n">
        <v>338232515.910236</v>
      </c>
      <c r="M219" s="21" t="n">
        <f aca="false">SUM(B219:L219)</f>
        <v>2768986599.47758</v>
      </c>
    </row>
    <row r="220" customFormat="false" ht="15" hidden="false" customHeight="false" outlineLevel="0" collapsed="false">
      <c r="A220" s="36" t="n">
        <v>46157</v>
      </c>
      <c r="B220" s="38" t="n">
        <v>2043754.169325</v>
      </c>
      <c r="C220" s="38" t="n">
        <v>875550.08571875</v>
      </c>
      <c r="D220" s="38" t="n">
        <v>22705012.6234433</v>
      </c>
      <c r="E220" s="38" t="n">
        <v>449400363.31296</v>
      </c>
      <c r="F220" s="38" t="n">
        <v>81243363.497242</v>
      </c>
      <c r="G220" s="38" t="n">
        <v>888209304.398766</v>
      </c>
      <c r="H220" s="38" t="n">
        <v>1015694715.14612</v>
      </c>
      <c r="I220" s="38" t="n">
        <v>10423453.55675</v>
      </c>
      <c r="J220" s="38" t="n">
        <v>21360224.4426455</v>
      </c>
      <c r="K220" s="38" t="n">
        <v>538795.71125</v>
      </c>
      <c r="L220" s="38" t="n">
        <v>464104393.741563</v>
      </c>
      <c r="M220" s="21" t="n">
        <f aca="false">SUM(B220:L220)</f>
        <v>2956598930.68578</v>
      </c>
    </row>
    <row r="221" customFormat="false" ht="15" hidden="false" customHeight="false" outlineLevel="0" collapsed="false">
      <c r="A221" s="36" t="n">
        <v>46158</v>
      </c>
      <c r="B221" s="38" t="n">
        <v>47378.7121125</v>
      </c>
      <c r="C221" s="38" t="n">
        <v>352101.781806</v>
      </c>
      <c r="D221" s="38" t="n">
        <v>8292563.8378905</v>
      </c>
      <c r="E221" s="38" t="n">
        <v>82184768.078533</v>
      </c>
      <c r="F221" s="38" t="n">
        <v>9122372.689643</v>
      </c>
      <c r="G221" s="38" t="n">
        <v>65355029.524484</v>
      </c>
      <c r="H221" s="38" t="n">
        <v>71174977.0465493</v>
      </c>
      <c r="I221" s="38" t="n">
        <v>863493.11811</v>
      </c>
      <c r="J221" s="38" t="n">
        <v>1257539.712864</v>
      </c>
      <c r="K221" s="38" t="n">
        <v>519127.1859</v>
      </c>
      <c r="L221" s="38" t="n">
        <v>64034351.6271015</v>
      </c>
      <c r="M221" s="21" t="n">
        <f aca="false">SUM(B221:L221)</f>
        <v>303203703.314994</v>
      </c>
    </row>
    <row r="222" customFormat="false" ht="15" hidden="false" customHeight="false" outlineLevel="0" collapsed="false">
      <c r="A222" s="36" t="n">
        <v>46159</v>
      </c>
      <c r="B222" s="38" t="n">
        <v>39375.0946875</v>
      </c>
      <c r="C222" s="38" t="n">
        <v>3931.186175</v>
      </c>
      <c r="D222" s="38" t="n">
        <v>14010370.374021</v>
      </c>
      <c r="E222" s="38" t="n">
        <v>142800044.361631</v>
      </c>
      <c r="F222" s="38" t="n">
        <v>12897629.4956958</v>
      </c>
      <c r="G222" s="38" t="n">
        <v>79563276.2051673</v>
      </c>
      <c r="H222" s="38" t="n">
        <v>155555664.852805</v>
      </c>
      <c r="I222" s="38" t="n">
        <v>1107271.6496025</v>
      </c>
      <c r="J222" s="38" t="n">
        <v>3110974.53108525</v>
      </c>
      <c r="K222" s="38" t="n">
        <v>5702135.260575</v>
      </c>
      <c r="L222" s="38" t="n">
        <v>66000357.279303</v>
      </c>
      <c r="M222" s="21" t="n">
        <f aca="false">SUM(B222:L222)</f>
        <v>480791030.290748</v>
      </c>
    </row>
    <row r="223" customFormat="false" ht="15" hidden="false" customHeight="false" outlineLevel="0" collapsed="false">
      <c r="A223" s="36" t="n">
        <v>46160</v>
      </c>
      <c r="B223" s="38" t="n">
        <v>1055248.02621</v>
      </c>
      <c r="C223" s="38" t="n">
        <v>1513404.8658</v>
      </c>
      <c r="D223" s="38" t="n">
        <v>31619426.8128485</v>
      </c>
      <c r="E223" s="38" t="n">
        <v>990738969.963278</v>
      </c>
      <c r="F223" s="38" t="n">
        <v>86011639.463426</v>
      </c>
      <c r="G223" s="38" t="n">
        <v>825559741.996429</v>
      </c>
      <c r="H223" s="38" t="n">
        <v>1149892986.74964</v>
      </c>
      <c r="I223" s="38" t="n">
        <v>3721493.672355</v>
      </c>
      <c r="J223" s="38" t="n">
        <v>10321763.9566178</v>
      </c>
      <c r="K223" s="38" t="n">
        <v>57701948.055825</v>
      </c>
      <c r="L223" s="38" t="n">
        <v>326197896.110104</v>
      </c>
      <c r="M223" s="21" t="n">
        <f aca="false">SUM(B223:L223)</f>
        <v>3484334519.67254</v>
      </c>
    </row>
    <row r="224" customFormat="false" ht="15" hidden="false" customHeight="false" outlineLevel="0" collapsed="false">
      <c r="A224" s="36" t="n">
        <v>46161</v>
      </c>
      <c r="B224" s="38" t="n">
        <v>478565.44571</v>
      </c>
      <c r="C224" s="38" t="n">
        <v>169140.08111</v>
      </c>
      <c r="D224" s="38" t="n">
        <v>24577237.7097358</v>
      </c>
      <c r="E224" s="38" t="n">
        <v>472982943.945414</v>
      </c>
      <c r="F224" s="38" t="n">
        <v>82558842.797043</v>
      </c>
      <c r="G224" s="38" t="n">
        <v>859066506.450268</v>
      </c>
      <c r="H224" s="38" t="n">
        <v>822912035.951288</v>
      </c>
      <c r="I224" s="38" t="n">
        <v>5579310.765925</v>
      </c>
      <c r="J224" s="38" t="n">
        <v>5436089.819176</v>
      </c>
      <c r="K224" s="38" t="n">
        <v>7598565.702925</v>
      </c>
      <c r="L224" s="38" t="n">
        <v>534330795.773583</v>
      </c>
      <c r="M224" s="21" t="n">
        <f aca="false">SUM(B224:L224)</f>
        <v>2815690034.44218</v>
      </c>
    </row>
    <row r="225" customFormat="false" ht="15" hidden="false" customHeight="false" outlineLevel="0" collapsed="false">
      <c r="A225" s="36" t="n">
        <v>46162</v>
      </c>
      <c r="B225" s="38" t="n">
        <v>87327.9114</v>
      </c>
      <c r="C225" s="38" t="n">
        <v>9993.442679</v>
      </c>
      <c r="D225" s="38" t="n">
        <v>2115097.8228765</v>
      </c>
      <c r="E225" s="38" t="n">
        <v>39845360.3116185</v>
      </c>
      <c r="F225" s="38" t="n">
        <v>2922661.331398</v>
      </c>
      <c r="G225" s="38" t="n">
        <v>46698955.2756778</v>
      </c>
      <c r="H225" s="38" t="n">
        <v>99407570.6616158</v>
      </c>
      <c r="I225" s="38" t="n">
        <v>414539.840455</v>
      </c>
      <c r="J225" s="38" t="n">
        <v>608633.09989125</v>
      </c>
      <c r="K225" s="38" t="n">
        <v>896499.643325</v>
      </c>
      <c r="L225" s="38" t="n">
        <v>52653088.6384965</v>
      </c>
      <c r="M225" s="21" t="n">
        <f aca="false">SUM(B225:L225)</f>
        <v>245659727.979433</v>
      </c>
    </row>
    <row r="228" customFormat="false" ht="15" hidden="false" customHeight="false" outlineLevel="0" collapsed="false">
      <c r="A228" s="4" t="s">
        <v>334</v>
      </c>
    </row>
    <row r="229" customFormat="false" ht="15" hidden="false" customHeight="false" outlineLevel="0" collapsed="false">
      <c r="A229" s="37" t="s">
        <v>72</v>
      </c>
      <c r="B229" s="37" t="s">
        <v>322</v>
      </c>
      <c r="C229" s="37" t="s">
        <v>323</v>
      </c>
      <c r="D229" s="37" t="s">
        <v>324</v>
      </c>
      <c r="E229" s="37" t="s">
        <v>325</v>
      </c>
      <c r="F229" s="37" t="s">
        <v>326</v>
      </c>
      <c r="G229" s="37" t="s">
        <v>327</v>
      </c>
      <c r="H229" s="37" t="s">
        <v>328</v>
      </c>
      <c r="I229" s="37" t="s">
        <v>329</v>
      </c>
      <c r="J229" s="37" t="s">
        <v>330</v>
      </c>
      <c r="K229" s="37" t="s">
        <v>331</v>
      </c>
      <c r="L229" s="37" t="s">
        <v>332</v>
      </c>
      <c r="M229" s="37" t="s">
        <v>335</v>
      </c>
    </row>
    <row r="230" customFormat="false" ht="15" hidden="false" customHeight="false" outlineLevel="0" collapsed="false">
      <c r="A230" s="36" t="n">
        <v>45943</v>
      </c>
      <c r="B230" s="38" t="n">
        <v>0</v>
      </c>
      <c r="C230" s="38" t="n">
        <v>0</v>
      </c>
      <c r="D230" s="38" t="n">
        <v>0</v>
      </c>
      <c r="E230" s="38" t="n">
        <v>0</v>
      </c>
      <c r="F230" s="38" t="n">
        <v>0</v>
      </c>
      <c r="G230" s="38" t="n">
        <v>0</v>
      </c>
      <c r="H230" s="38" t="n">
        <v>6992.57946578948</v>
      </c>
      <c r="I230" s="38" t="n">
        <v>0</v>
      </c>
      <c r="J230" s="38" t="n">
        <v>0</v>
      </c>
      <c r="K230" s="38" t="n">
        <v>0</v>
      </c>
      <c r="L230" s="38" t="n">
        <v>0</v>
      </c>
      <c r="M230" s="21" t="n">
        <f aca="false">SUM(B230:L230)</f>
        <v>6992.57946578948</v>
      </c>
    </row>
    <row r="231" customFormat="false" ht="15" hidden="false" customHeight="false" outlineLevel="0" collapsed="false">
      <c r="A231" s="36" t="n">
        <v>45944</v>
      </c>
      <c r="B231" s="38" t="n">
        <v>0</v>
      </c>
      <c r="C231" s="38" t="n">
        <v>0</v>
      </c>
      <c r="D231" s="38" t="n">
        <v>0</v>
      </c>
      <c r="E231" s="38" t="n">
        <v>0</v>
      </c>
      <c r="F231" s="38" t="n">
        <v>0</v>
      </c>
      <c r="G231" s="38" t="n">
        <v>0</v>
      </c>
      <c r="H231" s="38" t="n">
        <v>6342.58402254688</v>
      </c>
      <c r="I231" s="38" t="n">
        <v>0</v>
      </c>
      <c r="J231" s="38" t="n">
        <v>0</v>
      </c>
      <c r="K231" s="38" t="n">
        <v>0</v>
      </c>
      <c r="L231" s="38" t="n">
        <v>0</v>
      </c>
      <c r="M231" s="21" t="n">
        <f aca="false">SUM(B231:L231)</f>
        <v>6342.58402254688</v>
      </c>
    </row>
    <row r="232" customFormat="false" ht="15" hidden="false" customHeight="false" outlineLevel="0" collapsed="false">
      <c r="A232" s="36" t="n">
        <v>45945</v>
      </c>
      <c r="B232" s="38" t="n">
        <v>0</v>
      </c>
      <c r="C232" s="38" t="n">
        <v>0</v>
      </c>
      <c r="D232" s="38" t="n">
        <v>0</v>
      </c>
      <c r="E232" s="38" t="n">
        <v>0</v>
      </c>
      <c r="F232" s="38" t="n">
        <v>0</v>
      </c>
      <c r="G232" s="38" t="n">
        <v>0</v>
      </c>
      <c r="H232" s="38" t="n">
        <v>5968.58427487958</v>
      </c>
      <c r="I232" s="38" t="n">
        <v>0</v>
      </c>
      <c r="J232" s="38" t="n">
        <v>0</v>
      </c>
      <c r="K232" s="38" t="n">
        <v>0</v>
      </c>
      <c r="L232" s="38" t="n">
        <v>0</v>
      </c>
      <c r="M232" s="21" t="n">
        <f aca="false">SUM(B232:L232)</f>
        <v>5968.58427487958</v>
      </c>
    </row>
    <row r="233" customFormat="false" ht="15" hidden="false" customHeight="false" outlineLevel="0" collapsed="false">
      <c r="A233" s="36" t="n">
        <v>45946</v>
      </c>
      <c r="B233" s="38" t="n">
        <v>0</v>
      </c>
      <c r="C233" s="38" t="n">
        <v>0</v>
      </c>
      <c r="D233" s="38" t="n">
        <v>0</v>
      </c>
      <c r="E233" s="38" t="n">
        <v>0</v>
      </c>
      <c r="F233" s="38" t="n">
        <v>0</v>
      </c>
      <c r="G233" s="38" t="n">
        <v>0</v>
      </c>
      <c r="H233" s="38" t="n">
        <v>5544.78373381889</v>
      </c>
      <c r="I233" s="38" t="n">
        <v>0</v>
      </c>
      <c r="J233" s="38" t="n">
        <v>0</v>
      </c>
      <c r="K233" s="38" t="n">
        <v>0</v>
      </c>
      <c r="L233" s="38" t="n">
        <v>0</v>
      </c>
      <c r="M233" s="21" t="n">
        <f aca="false">SUM(B233:L233)</f>
        <v>5544.78373381889</v>
      </c>
    </row>
    <row r="234" customFormat="false" ht="15" hidden="false" customHeight="false" outlineLevel="0" collapsed="false">
      <c r="A234" s="36" t="n">
        <v>45947</v>
      </c>
      <c r="B234" s="38" t="n">
        <v>0</v>
      </c>
      <c r="C234" s="38" t="n">
        <v>0</v>
      </c>
      <c r="D234" s="38" t="n">
        <v>0</v>
      </c>
      <c r="E234" s="38" t="n">
        <v>0</v>
      </c>
      <c r="F234" s="38" t="n">
        <v>0</v>
      </c>
      <c r="G234" s="38" t="n">
        <v>0</v>
      </c>
      <c r="H234" s="38" t="n">
        <v>4374.7004520045</v>
      </c>
      <c r="I234" s="38" t="n">
        <v>0</v>
      </c>
      <c r="J234" s="38" t="n">
        <v>0</v>
      </c>
      <c r="K234" s="38" t="n">
        <v>0</v>
      </c>
      <c r="L234" s="38" t="n">
        <v>0</v>
      </c>
      <c r="M234" s="21" t="n">
        <f aca="false">SUM(B234:L234)</f>
        <v>4374.7004520045</v>
      </c>
    </row>
    <row r="235" customFormat="false" ht="15" hidden="false" customHeight="false" outlineLevel="0" collapsed="false">
      <c r="A235" s="36" t="n">
        <v>45948</v>
      </c>
      <c r="B235" s="38" t="n">
        <v>0</v>
      </c>
      <c r="C235" s="38" t="n">
        <v>0</v>
      </c>
      <c r="D235" s="38" t="n">
        <v>0</v>
      </c>
      <c r="E235" s="38" t="n">
        <v>0</v>
      </c>
      <c r="F235" s="38" t="n">
        <v>0</v>
      </c>
      <c r="G235" s="38" t="n">
        <v>0</v>
      </c>
      <c r="H235" s="38" t="n">
        <v>1808.78216821087</v>
      </c>
      <c r="I235" s="38" t="n">
        <v>0</v>
      </c>
      <c r="J235" s="38" t="n">
        <v>0</v>
      </c>
      <c r="K235" s="38" t="n">
        <v>0</v>
      </c>
      <c r="L235" s="38" t="n">
        <v>0</v>
      </c>
      <c r="M235" s="21" t="n">
        <f aca="false">SUM(B235:L235)</f>
        <v>1808.78216821087</v>
      </c>
    </row>
    <row r="236" customFormat="false" ht="15" hidden="false" customHeight="false" outlineLevel="0" collapsed="false">
      <c r="A236" s="36" t="n">
        <v>45949</v>
      </c>
      <c r="B236" s="38" t="n">
        <v>0</v>
      </c>
      <c r="C236" s="38" t="n">
        <v>0</v>
      </c>
      <c r="D236" s="38" t="n">
        <v>0</v>
      </c>
      <c r="E236" s="38" t="n">
        <v>0</v>
      </c>
      <c r="F236" s="38" t="n">
        <v>0</v>
      </c>
      <c r="G236" s="38" t="n">
        <v>0</v>
      </c>
      <c r="H236" s="38" t="n">
        <v>2270.86453931925</v>
      </c>
      <c r="I236" s="38" t="n">
        <v>0</v>
      </c>
      <c r="J236" s="38" t="n">
        <v>0</v>
      </c>
      <c r="K236" s="38" t="n">
        <v>0</v>
      </c>
      <c r="L236" s="38" t="n">
        <v>0</v>
      </c>
      <c r="M236" s="21" t="n">
        <f aca="false">SUM(B236:L236)</f>
        <v>2270.86453931925</v>
      </c>
    </row>
    <row r="237" customFormat="false" ht="15" hidden="false" customHeight="false" outlineLevel="0" collapsed="false">
      <c r="A237" s="36" t="n">
        <v>45950</v>
      </c>
      <c r="B237" s="38" t="n">
        <v>0</v>
      </c>
      <c r="C237" s="38" t="n">
        <v>0</v>
      </c>
      <c r="D237" s="38" t="n">
        <v>0</v>
      </c>
      <c r="E237" s="38" t="n">
        <v>0</v>
      </c>
      <c r="F237" s="38" t="n">
        <v>0</v>
      </c>
      <c r="G237" s="38" t="n">
        <v>0</v>
      </c>
      <c r="H237" s="38" t="n">
        <v>3070.09952341493</v>
      </c>
      <c r="I237" s="38" t="n">
        <v>0</v>
      </c>
      <c r="J237" s="38" t="n">
        <v>0</v>
      </c>
      <c r="K237" s="38" t="n">
        <v>0</v>
      </c>
      <c r="L237" s="38" t="n">
        <v>0</v>
      </c>
      <c r="M237" s="21" t="n">
        <f aca="false">SUM(B237:L237)</f>
        <v>3070.09952341493</v>
      </c>
    </row>
    <row r="238" customFormat="false" ht="15" hidden="false" customHeight="false" outlineLevel="0" collapsed="false">
      <c r="A238" s="36" t="n">
        <v>45951</v>
      </c>
      <c r="B238" s="38" t="n">
        <v>0</v>
      </c>
      <c r="C238" s="38" t="n">
        <v>0</v>
      </c>
      <c r="D238" s="38" t="n">
        <v>0</v>
      </c>
      <c r="E238" s="38" t="n">
        <v>0</v>
      </c>
      <c r="F238" s="38" t="n">
        <v>0</v>
      </c>
      <c r="G238" s="38" t="n">
        <v>0</v>
      </c>
      <c r="H238" s="38" t="n">
        <v>6751.27691246221</v>
      </c>
      <c r="I238" s="38" t="n">
        <v>0</v>
      </c>
      <c r="J238" s="38" t="n">
        <v>0</v>
      </c>
      <c r="K238" s="38" t="n">
        <v>0</v>
      </c>
      <c r="L238" s="38" t="n">
        <v>0</v>
      </c>
      <c r="M238" s="21" t="n">
        <f aca="false">SUM(B238:L238)</f>
        <v>6751.27691246221</v>
      </c>
    </row>
    <row r="239" customFormat="false" ht="15" hidden="false" customHeight="false" outlineLevel="0" collapsed="false">
      <c r="A239" s="36" t="n">
        <v>45952</v>
      </c>
      <c r="B239" s="38" t="n">
        <v>0</v>
      </c>
      <c r="C239" s="38" t="n">
        <v>0</v>
      </c>
      <c r="D239" s="38" t="n">
        <v>0</v>
      </c>
      <c r="E239" s="38" t="n">
        <v>0</v>
      </c>
      <c r="F239" s="38" t="n">
        <v>0</v>
      </c>
      <c r="G239" s="38" t="n">
        <v>0</v>
      </c>
      <c r="H239" s="38" t="n">
        <v>10632.8001595211</v>
      </c>
      <c r="I239" s="38" t="n">
        <v>0</v>
      </c>
      <c r="J239" s="38" t="n">
        <v>0</v>
      </c>
      <c r="K239" s="38" t="n">
        <v>0</v>
      </c>
      <c r="L239" s="38" t="n">
        <v>0</v>
      </c>
      <c r="M239" s="21" t="n">
        <f aca="false">SUM(B239:L239)</f>
        <v>10632.8001595211</v>
      </c>
    </row>
    <row r="240" customFormat="false" ht="15" hidden="false" customHeight="false" outlineLevel="0" collapsed="false">
      <c r="A240" s="36" t="n">
        <v>45953</v>
      </c>
      <c r="B240" s="38" t="n">
        <v>0</v>
      </c>
      <c r="C240" s="38" t="n">
        <v>0</v>
      </c>
      <c r="D240" s="38" t="n">
        <v>0</v>
      </c>
      <c r="E240" s="38" t="n">
        <v>0</v>
      </c>
      <c r="F240" s="38" t="n">
        <v>0</v>
      </c>
      <c r="G240" s="38" t="n">
        <v>0</v>
      </c>
      <c r="H240" s="38" t="n">
        <v>8743.7071129772</v>
      </c>
      <c r="I240" s="38" t="n">
        <v>0</v>
      </c>
      <c r="J240" s="38" t="n">
        <v>0</v>
      </c>
      <c r="K240" s="38" t="n">
        <v>0</v>
      </c>
      <c r="L240" s="38" t="n">
        <v>0</v>
      </c>
      <c r="M240" s="21" t="n">
        <f aca="false">SUM(B240:L240)</f>
        <v>8743.7071129772</v>
      </c>
    </row>
    <row r="241" customFormat="false" ht="15" hidden="false" customHeight="false" outlineLevel="0" collapsed="false">
      <c r="A241" s="36" t="n">
        <v>45954</v>
      </c>
      <c r="B241" s="38" t="n">
        <v>0</v>
      </c>
      <c r="C241" s="38" t="n">
        <v>0</v>
      </c>
      <c r="D241" s="38" t="n">
        <v>0</v>
      </c>
      <c r="E241" s="38" t="n">
        <v>0</v>
      </c>
      <c r="F241" s="38" t="n">
        <v>0</v>
      </c>
      <c r="G241" s="38" t="n">
        <v>0</v>
      </c>
      <c r="H241" s="38" t="n">
        <v>7906.41115511247</v>
      </c>
      <c r="I241" s="38" t="n">
        <v>0</v>
      </c>
      <c r="J241" s="38" t="n">
        <v>0</v>
      </c>
      <c r="K241" s="38" t="n">
        <v>0</v>
      </c>
      <c r="L241" s="38" t="n">
        <v>0</v>
      </c>
      <c r="M241" s="21" t="n">
        <f aca="false">SUM(B241:L241)</f>
        <v>7906.41115511247</v>
      </c>
    </row>
    <row r="242" customFormat="false" ht="15" hidden="false" customHeight="false" outlineLevel="0" collapsed="false">
      <c r="A242" s="36" t="n">
        <v>45955</v>
      </c>
      <c r="B242" s="38" t="n">
        <v>0</v>
      </c>
      <c r="C242" s="38" t="n">
        <v>0</v>
      </c>
      <c r="D242" s="38" t="n">
        <v>0</v>
      </c>
      <c r="E242" s="38" t="n">
        <v>0</v>
      </c>
      <c r="F242" s="38" t="n">
        <v>0</v>
      </c>
      <c r="G242" s="38" t="n">
        <v>0</v>
      </c>
      <c r="H242" s="38" t="n">
        <v>14214.1701959832</v>
      </c>
      <c r="I242" s="38" t="n">
        <v>0</v>
      </c>
      <c r="J242" s="38" t="n">
        <v>0</v>
      </c>
      <c r="K242" s="38" t="n">
        <v>0</v>
      </c>
      <c r="L242" s="38" t="n">
        <v>0</v>
      </c>
      <c r="M242" s="21" t="n">
        <f aca="false">SUM(B242:L242)</f>
        <v>14214.1701959832</v>
      </c>
    </row>
    <row r="243" customFormat="false" ht="15" hidden="false" customHeight="false" outlineLevel="0" collapsed="false">
      <c r="A243" s="36" t="n">
        <v>45956</v>
      </c>
      <c r="B243" s="38" t="n">
        <v>0</v>
      </c>
      <c r="C243" s="38" t="n">
        <v>0</v>
      </c>
      <c r="D243" s="38" t="n">
        <v>0</v>
      </c>
      <c r="E243" s="38" t="n">
        <v>0</v>
      </c>
      <c r="F243" s="38" t="n">
        <v>0</v>
      </c>
      <c r="G243" s="38" t="n">
        <v>0</v>
      </c>
      <c r="H243" s="38" t="n">
        <v>13643.5547208409</v>
      </c>
      <c r="I243" s="38" t="n">
        <v>0</v>
      </c>
      <c r="J243" s="38" t="n">
        <v>0</v>
      </c>
      <c r="K243" s="38" t="n">
        <v>0</v>
      </c>
      <c r="L243" s="38" t="n">
        <v>0</v>
      </c>
      <c r="M243" s="21" t="n">
        <f aca="false">SUM(B243:L243)</f>
        <v>13643.5547208409</v>
      </c>
    </row>
    <row r="244" customFormat="false" ht="15" hidden="false" customHeight="false" outlineLevel="0" collapsed="false">
      <c r="A244" s="36" t="n">
        <v>45957</v>
      </c>
      <c r="B244" s="38" t="n">
        <v>0</v>
      </c>
      <c r="C244" s="38" t="n">
        <v>0</v>
      </c>
      <c r="D244" s="38" t="n">
        <v>0</v>
      </c>
      <c r="E244" s="38" t="n">
        <v>0</v>
      </c>
      <c r="F244" s="38" t="n">
        <v>0</v>
      </c>
      <c r="G244" s="38" t="n">
        <v>0</v>
      </c>
      <c r="H244" s="38" t="n">
        <v>18955.8753266723</v>
      </c>
      <c r="I244" s="38" t="n">
        <v>0</v>
      </c>
      <c r="J244" s="38" t="n">
        <v>0</v>
      </c>
      <c r="K244" s="38" t="n">
        <v>0</v>
      </c>
      <c r="L244" s="38" t="n">
        <v>0</v>
      </c>
      <c r="M244" s="21" t="n">
        <f aca="false">SUM(B244:L244)</f>
        <v>18955.8753266723</v>
      </c>
    </row>
    <row r="245" customFormat="false" ht="15" hidden="false" customHeight="false" outlineLevel="0" collapsed="false">
      <c r="A245" s="36" t="n">
        <v>45958</v>
      </c>
      <c r="B245" s="38" t="n">
        <v>0</v>
      </c>
      <c r="C245" s="38" t="n">
        <v>0</v>
      </c>
      <c r="D245" s="38" t="n">
        <v>0</v>
      </c>
      <c r="E245" s="38" t="n">
        <v>0</v>
      </c>
      <c r="F245" s="38" t="n">
        <v>0</v>
      </c>
      <c r="G245" s="38" t="n">
        <v>0</v>
      </c>
      <c r="H245" s="38" t="n">
        <v>23323.5657299806</v>
      </c>
      <c r="I245" s="38" t="n">
        <v>0</v>
      </c>
      <c r="J245" s="38" t="n">
        <v>0</v>
      </c>
      <c r="K245" s="38" t="n">
        <v>0</v>
      </c>
      <c r="L245" s="38" t="n">
        <v>0</v>
      </c>
      <c r="M245" s="21" t="n">
        <f aca="false">SUM(B245:L245)</f>
        <v>23323.5657299806</v>
      </c>
    </row>
    <row r="246" customFormat="false" ht="15" hidden="false" customHeight="false" outlineLevel="0" collapsed="false">
      <c r="A246" s="36" t="n">
        <v>45959</v>
      </c>
      <c r="B246" s="38" t="n">
        <v>0</v>
      </c>
      <c r="C246" s="38" t="n">
        <v>0</v>
      </c>
      <c r="D246" s="38" t="n">
        <v>0</v>
      </c>
      <c r="E246" s="38" t="n">
        <v>0</v>
      </c>
      <c r="F246" s="38" t="n">
        <v>0</v>
      </c>
      <c r="G246" s="38" t="n">
        <v>0</v>
      </c>
      <c r="H246" s="38" t="n">
        <v>27279.3303526062</v>
      </c>
      <c r="I246" s="38" t="n">
        <v>0</v>
      </c>
      <c r="J246" s="38" t="n">
        <v>0</v>
      </c>
      <c r="K246" s="38" t="n">
        <v>0</v>
      </c>
      <c r="L246" s="38" t="n">
        <v>0</v>
      </c>
      <c r="M246" s="21" t="n">
        <f aca="false">SUM(B246:L246)</f>
        <v>27279.3303526062</v>
      </c>
    </row>
    <row r="247" customFormat="false" ht="15" hidden="false" customHeight="false" outlineLevel="0" collapsed="false">
      <c r="A247" s="36" t="n">
        <v>45960</v>
      </c>
      <c r="B247" s="38" t="n">
        <v>0</v>
      </c>
      <c r="C247" s="38" t="n">
        <v>0</v>
      </c>
      <c r="D247" s="38" t="n">
        <v>0</v>
      </c>
      <c r="E247" s="38" t="n">
        <v>0</v>
      </c>
      <c r="F247" s="38" t="n">
        <v>0</v>
      </c>
      <c r="G247" s="38" t="n">
        <v>0</v>
      </c>
      <c r="H247" s="38" t="n">
        <v>33659.113592187</v>
      </c>
      <c r="I247" s="38" t="n">
        <v>0</v>
      </c>
      <c r="J247" s="38" t="n">
        <v>0</v>
      </c>
      <c r="K247" s="38" t="n">
        <v>0</v>
      </c>
      <c r="L247" s="38" t="n">
        <v>0</v>
      </c>
      <c r="M247" s="21" t="n">
        <f aca="false">SUM(B247:L247)</f>
        <v>33659.113592187</v>
      </c>
    </row>
    <row r="248" customFormat="false" ht="15" hidden="false" customHeight="false" outlineLevel="0" collapsed="false">
      <c r="A248" s="36" t="n">
        <v>45961</v>
      </c>
      <c r="B248" s="38" t="n">
        <v>0</v>
      </c>
      <c r="C248" s="38" t="n">
        <v>0</v>
      </c>
      <c r="D248" s="38" t="n">
        <v>0</v>
      </c>
      <c r="E248" s="38" t="n">
        <v>0</v>
      </c>
      <c r="F248" s="38" t="n">
        <v>0</v>
      </c>
      <c r="G248" s="38" t="n">
        <v>0</v>
      </c>
      <c r="H248" s="38" t="n">
        <v>17426.3743335165</v>
      </c>
      <c r="I248" s="38" t="n">
        <v>0</v>
      </c>
      <c r="J248" s="38" t="n">
        <v>0</v>
      </c>
      <c r="K248" s="38" t="n">
        <v>0</v>
      </c>
      <c r="L248" s="38" t="n">
        <v>0</v>
      </c>
      <c r="M248" s="21" t="n">
        <f aca="false">SUM(B248:L248)</f>
        <v>17426.3743335165</v>
      </c>
    </row>
    <row r="249" customFormat="false" ht="15" hidden="false" customHeight="false" outlineLevel="0" collapsed="false">
      <c r="A249" s="36" t="n">
        <v>45962</v>
      </c>
      <c r="B249" s="38" t="n">
        <v>0</v>
      </c>
      <c r="C249" s="38" t="n">
        <v>0</v>
      </c>
      <c r="D249" s="38" t="n">
        <v>0</v>
      </c>
      <c r="E249" s="38" t="n">
        <v>0</v>
      </c>
      <c r="F249" s="38" t="n">
        <v>0</v>
      </c>
      <c r="G249" s="38" t="n">
        <v>0</v>
      </c>
      <c r="H249" s="38" t="n">
        <v>13018.7694273688</v>
      </c>
      <c r="I249" s="38" t="n">
        <v>0</v>
      </c>
      <c r="J249" s="38" t="n">
        <v>0</v>
      </c>
      <c r="K249" s="38" t="n">
        <v>0</v>
      </c>
      <c r="L249" s="38" t="n">
        <v>0</v>
      </c>
      <c r="M249" s="21" t="n">
        <f aca="false">SUM(B249:L249)</f>
        <v>13018.7694273688</v>
      </c>
    </row>
    <row r="250" customFormat="false" ht="15" hidden="false" customHeight="false" outlineLevel="0" collapsed="false">
      <c r="A250" s="36" t="n">
        <v>45963</v>
      </c>
      <c r="B250" s="38" t="n">
        <v>0</v>
      </c>
      <c r="C250" s="38" t="n">
        <v>0</v>
      </c>
      <c r="D250" s="38" t="n">
        <v>0</v>
      </c>
      <c r="E250" s="38" t="n">
        <v>0</v>
      </c>
      <c r="F250" s="38" t="n">
        <v>0</v>
      </c>
      <c r="G250" s="38" t="n">
        <v>0</v>
      </c>
      <c r="H250" s="38" t="n">
        <v>9539.06562500861</v>
      </c>
      <c r="I250" s="38" t="n">
        <v>0</v>
      </c>
      <c r="J250" s="38" t="n">
        <v>0</v>
      </c>
      <c r="K250" s="38" t="n">
        <v>0</v>
      </c>
      <c r="L250" s="38" t="n">
        <v>0</v>
      </c>
      <c r="M250" s="21" t="n">
        <f aca="false">SUM(B250:L250)</f>
        <v>9539.06562500861</v>
      </c>
    </row>
    <row r="251" customFormat="false" ht="15" hidden="false" customHeight="false" outlineLevel="0" collapsed="false">
      <c r="A251" s="36" t="n">
        <v>45964</v>
      </c>
      <c r="B251" s="38" t="n">
        <v>0</v>
      </c>
      <c r="C251" s="38" t="n">
        <v>0</v>
      </c>
      <c r="D251" s="38" t="n">
        <v>0</v>
      </c>
      <c r="E251" s="38" t="n">
        <v>0</v>
      </c>
      <c r="F251" s="38" t="n">
        <v>0</v>
      </c>
      <c r="G251" s="38" t="n">
        <v>0</v>
      </c>
      <c r="H251" s="38" t="n">
        <v>22236.3112952591</v>
      </c>
      <c r="I251" s="38" t="n">
        <v>0</v>
      </c>
      <c r="J251" s="38" t="n">
        <v>0</v>
      </c>
      <c r="K251" s="38" t="n">
        <v>0</v>
      </c>
      <c r="L251" s="38" t="n">
        <v>0</v>
      </c>
      <c r="M251" s="21" t="n">
        <f aca="false">SUM(B251:L251)</f>
        <v>22236.3112952591</v>
      </c>
    </row>
    <row r="252" customFormat="false" ht="15" hidden="false" customHeight="false" outlineLevel="0" collapsed="false">
      <c r="A252" s="36" t="n">
        <v>45965</v>
      </c>
      <c r="B252" s="38" t="n">
        <v>0</v>
      </c>
      <c r="C252" s="38" t="n">
        <v>0</v>
      </c>
      <c r="D252" s="38" t="n">
        <v>0</v>
      </c>
      <c r="E252" s="38" t="n">
        <v>0</v>
      </c>
      <c r="F252" s="38" t="n">
        <v>0</v>
      </c>
      <c r="G252" s="38" t="n">
        <v>0</v>
      </c>
      <c r="H252" s="38" t="n">
        <v>22338.5482902318</v>
      </c>
      <c r="I252" s="38" t="n">
        <v>0</v>
      </c>
      <c r="J252" s="38" t="n">
        <v>0</v>
      </c>
      <c r="K252" s="38" t="n">
        <v>0</v>
      </c>
      <c r="L252" s="38" t="n">
        <v>0</v>
      </c>
      <c r="M252" s="21" t="n">
        <f aca="false">SUM(B252:L252)</f>
        <v>22338.5482902318</v>
      </c>
    </row>
    <row r="253" customFormat="false" ht="15" hidden="false" customHeight="false" outlineLevel="0" collapsed="false">
      <c r="A253" s="36" t="n">
        <v>45966</v>
      </c>
      <c r="B253" s="38" t="n">
        <v>0</v>
      </c>
      <c r="C253" s="38" t="n">
        <v>0</v>
      </c>
      <c r="D253" s="38" t="n">
        <v>0</v>
      </c>
      <c r="E253" s="38" t="n">
        <v>0</v>
      </c>
      <c r="F253" s="38" t="n">
        <v>0</v>
      </c>
      <c r="G253" s="38" t="n">
        <v>0</v>
      </c>
      <c r="H253" s="38" t="n">
        <v>21500.7830760753</v>
      </c>
      <c r="I253" s="38" t="n">
        <v>0</v>
      </c>
      <c r="J253" s="38" t="n">
        <v>0</v>
      </c>
      <c r="K253" s="38" t="n">
        <v>0</v>
      </c>
      <c r="L253" s="38" t="n">
        <v>0</v>
      </c>
      <c r="M253" s="21" t="n">
        <f aca="false">SUM(B253:L253)</f>
        <v>21500.7830760753</v>
      </c>
    </row>
    <row r="254" customFormat="false" ht="15" hidden="false" customHeight="false" outlineLevel="0" collapsed="false">
      <c r="A254" s="36" t="n">
        <v>45967</v>
      </c>
      <c r="B254" s="38" t="n">
        <v>0</v>
      </c>
      <c r="C254" s="38" t="n">
        <v>0</v>
      </c>
      <c r="D254" s="38" t="n">
        <v>0</v>
      </c>
      <c r="E254" s="38" t="n">
        <v>0</v>
      </c>
      <c r="F254" s="38" t="n">
        <v>0</v>
      </c>
      <c r="G254" s="38" t="n">
        <v>0</v>
      </c>
      <c r="H254" s="38" t="n">
        <v>21006.4618235445</v>
      </c>
      <c r="I254" s="38" t="n">
        <v>0</v>
      </c>
      <c r="J254" s="38" t="n">
        <v>0</v>
      </c>
      <c r="K254" s="38" t="n">
        <v>0</v>
      </c>
      <c r="L254" s="38" t="n">
        <v>0</v>
      </c>
      <c r="M254" s="21" t="n">
        <f aca="false">SUM(B254:L254)</f>
        <v>21006.4618235445</v>
      </c>
    </row>
    <row r="255" customFormat="false" ht="15" hidden="false" customHeight="false" outlineLevel="0" collapsed="false">
      <c r="A255" s="36" t="n">
        <v>45968</v>
      </c>
      <c r="B255" s="38" t="n">
        <v>0</v>
      </c>
      <c r="C255" s="38" t="n">
        <v>0</v>
      </c>
      <c r="D255" s="38" t="n">
        <v>0</v>
      </c>
      <c r="E255" s="38" t="n">
        <v>0</v>
      </c>
      <c r="F255" s="38" t="n">
        <v>0</v>
      </c>
      <c r="G255" s="38" t="n">
        <v>0</v>
      </c>
      <c r="H255" s="38" t="n">
        <v>25098.0546370665</v>
      </c>
      <c r="I255" s="38" t="n">
        <v>0</v>
      </c>
      <c r="J255" s="38" t="n">
        <v>0</v>
      </c>
      <c r="K255" s="38" t="n">
        <v>0</v>
      </c>
      <c r="L255" s="38" t="n">
        <v>0</v>
      </c>
      <c r="M255" s="21" t="n">
        <f aca="false">SUM(B255:L255)</f>
        <v>25098.0546370665</v>
      </c>
    </row>
    <row r="256" customFormat="false" ht="15" hidden="false" customHeight="false" outlineLevel="0" collapsed="false">
      <c r="A256" s="36" t="n">
        <v>45969</v>
      </c>
      <c r="B256" s="38" t="n">
        <v>0</v>
      </c>
      <c r="C256" s="38" t="n">
        <v>0</v>
      </c>
      <c r="D256" s="38" t="n">
        <v>0</v>
      </c>
      <c r="E256" s="38" t="n">
        <v>0</v>
      </c>
      <c r="F256" s="38" t="n">
        <v>0</v>
      </c>
      <c r="G256" s="38" t="n">
        <v>0</v>
      </c>
      <c r="H256" s="38" t="n">
        <v>5028.28579112475</v>
      </c>
      <c r="I256" s="38" t="n">
        <v>0</v>
      </c>
      <c r="J256" s="38" t="n">
        <v>0</v>
      </c>
      <c r="K256" s="38" t="n">
        <v>0</v>
      </c>
      <c r="L256" s="38" t="n">
        <v>0</v>
      </c>
      <c r="M256" s="21" t="n">
        <f aca="false">SUM(B256:L256)</f>
        <v>5028.28579112475</v>
      </c>
    </row>
    <row r="257" customFormat="false" ht="15" hidden="false" customHeight="false" outlineLevel="0" collapsed="false">
      <c r="A257" s="36" t="n">
        <v>45970</v>
      </c>
      <c r="B257" s="38" t="n">
        <v>0</v>
      </c>
      <c r="C257" s="38" t="n">
        <v>0</v>
      </c>
      <c r="D257" s="38" t="n">
        <v>0</v>
      </c>
      <c r="E257" s="38" t="n">
        <v>0</v>
      </c>
      <c r="F257" s="38" t="n">
        <v>0</v>
      </c>
      <c r="G257" s="38" t="n">
        <v>0</v>
      </c>
      <c r="H257" s="38" t="n">
        <v>10416.20228626</v>
      </c>
      <c r="I257" s="38" t="n">
        <v>0</v>
      </c>
      <c r="J257" s="38" t="n">
        <v>0</v>
      </c>
      <c r="K257" s="38" t="n">
        <v>0</v>
      </c>
      <c r="L257" s="38" t="n">
        <v>0</v>
      </c>
      <c r="M257" s="21" t="n">
        <f aca="false">SUM(B257:L257)</f>
        <v>10416.20228626</v>
      </c>
    </row>
    <row r="258" customFormat="false" ht="15" hidden="false" customHeight="false" outlineLevel="0" collapsed="false">
      <c r="A258" s="36" t="n">
        <v>45971</v>
      </c>
      <c r="B258" s="38" t="n">
        <v>0</v>
      </c>
      <c r="C258" s="38" t="n">
        <v>0</v>
      </c>
      <c r="D258" s="38" t="n">
        <v>0</v>
      </c>
      <c r="E258" s="38" t="n">
        <v>0</v>
      </c>
      <c r="F258" s="38" t="n">
        <v>0</v>
      </c>
      <c r="G258" s="38" t="n">
        <v>0</v>
      </c>
      <c r="H258" s="38" t="n">
        <v>13981.3059527797</v>
      </c>
      <c r="I258" s="38" t="n">
        <v>0</v>
      </c>
      <c r="J258" s="38" t="n">
        <v>0</v>
      </c>
      <c r="K258" s="38" t="n">
        <v>0</v>
      </c>
      <c r="L258" s="38" t="n">
        <v>0</v>
      </c>
      <c r="M258" s="21" t="n">
        <f aca="false">SUM(B258:L258)</f>
        <v>13981.3059527797</v>
      </c>
    </row>
    <row r="259" customFormat="false" ht="15" hidden="false" customHeight="false" outlineLevel="0" collapsed="false">
      <c r="A259" s="36" t="n">
        <v>45972</v>
      </c>
      <c r="B259" s="38" t="n">
        <v>0</v>
      </c>
      <c r="C259" s="38" t="n">
        <v>0</v>
      </c>
      <c r="D259" s="38" t="n">
        <v>0</v>
      </c>
      <c r="E259" s="38" t="n">
        <v>0</v>
      </c>
      <c r="F259" s="38" t="n">
        <v>0</v>
      </c>
      <c r="G259" s="38" t="n">
        <v>0</v>
      </c>
      <c r="H259" s="38" t="n">
        <v>15050.8395685621</v>
      </c>
      <c r="I259" s="38" t="n">
        <v>0</v>
      </c>
      <c r="J259" s="38" t="n">
        <v>0</v>
      </c>
      <c r="K259" s="38" t="n">
        <v>0</v>
      </c>
      <c r="L259" s="38" t="n">
        <v>0</v>
      </c>
      <c r="M259" s="21" t="n">
        <f aca="false">SUM(B259:L259)</f>
        <v>15050.8395685621</v>
      </c>
    </row>
    <row r="260" customFormat="false" ht="15" hidden="false" customHeight="false" outlineLevel="0" collapsed="false">
      <c r="A260" s="36" t="n">
        <v>45973</v>
      </c>
      <c r="B260" s="38" t="n">
        <v>0</v>
      </c>
      <c r="C260" s="38" t="n">
        <v>0</v>
      </c>
      <c r="D260" s="38" t="n">
        <v>0</v>
      </c>
      <c r="E260" s="38" t="n">
        <v>0</v>
      </c>
      <c r="F260" s="38" t="n">
        <v>0</v>
      </c>
      <c r="G260" s="38" t="n">
        <v>2018.53836952284</v>
      </c>
      <c r="H260" s="38" t="n">
        <v>14020.3512198873</v>
      </c>
      <c r="I260" s="38" t="n">
        <v>0</v>
      </c>
      <c r="J260" s="38" t="n">
        <v>0</v>
      </c>
      <c r="K260" s="38" t="n">
        <v>0</v>
      </c>
      <c r="L260" s="38" t="n">
        <v>0</v>
      </c>
      <c r="M260" s="21" t="n">
        <f aca="false">SUM(B260:L260)</f>
        <v>16038.8895894101</v>
      </c>
    </row>
    <row r="261" customFormat="false" ht="15" hidden="false" customHeight="false" outlineLevel="0" collapsed="false">
      <c r="A261" s="36" t="n">
        <v>45974</v>
      </c>
      <c r="B261" s="38" t="n">
        <v>0</v>
      </c>
      <c r="C261" s="38" t="n">
        <v>0</v>
      </c>
      <c r="D261" s="38" t="n">
        <v>0</v>
      </c>
      <c r="E261" s="38" t="n">
        <v>0</v>
      </c>
      <c r="F261" s="38" t="n">
        <v>0</v>
      </c>
      <c r="G261" s="38" t="n">
        <v>8595.43970032671</v>
      </c>
      <c r="H261" s="38" t="n">
        <v>13902.7059232903</v>
      </c>
      <c r="I261" s="38" t="n">
        <v>0</v>
      </c>
      <c r="J261" s="38" t="n">
        <v>0</v>
      </c>
      <c r="K261" s="38" t="n">
        <v>70.0868909745787</v>
      </c>
      <c r="L261" s="38" t="n">
        <v>0</v>
      </c>
      <c r="M261" s="21" t="n">
        <f aca="false">SUM(B261:L261)</f>
        <v>22568.2325145916</v>
      </c>
    </row>
    <row r="262" customFormat="false" ht="15" hidden="false" customHeight="false" outlineLevel="0" collapsed="false">
      <c r="A262" s="36" t="n">
        <v>45975</v>
      </c>
      <c r="B262" s="38" t="n">
        <v>0</v>
      </c>
      <c r="C262" s="38" t="n">
        <v>0</v>
      </c>
      <c r="D262" s="38" t="n">
        <v>0</v>
      </c>
      <c r="E262" s="38" t="n">
        <v>0</v>
      </c>
      <c r="F262" s="38" t="n">
        <v>0</v>
      </c>
      <c r="G262" s="38" t="n">
        <v>10465.1953527027</v>
      </c>
      <c r="H262" s="38" t="n">
        <v>13491.5763130225</v>
      </c>
      <c r="I262" s="38" t="n">
        <v>0</v>
      </c>
      <c r="J262" s="38" t="n">
        <v>0</v>
      </c>
      <c r="K262" s="38" t="n">
        <v>76.7893464755065</v>
      </c>
      <c r="L262" s="38" t="n">
        <v>0</v>
      </c>
      <c r="M262" s="21" t="n">
        <f aca="false">SUM(B262:L262)</f>
        <v>24033.5610122007</v>
      </c>
    </row>
    <row r="263" customFormat="false" ht="15" hidden="false" customHeight="false" outlineLevel="0" collapsed="false">
      <c r="A263" s="36" t="n">
        <v>45976</v>
      </c>
      <c r="B263" s="38" t="n">
        <v>0</v>
      </c>
      <c r="C263" s="38" t="n">
        <v>0</v>
      </c>
      <c r="D263" s="38" t="n">
        <v>0</v>
      </c>
      <c r="E263" s="38" t="n">
        <v>0</v>
      </c>
      <c r="F263" s="38" t="n">
        <v>0</v>
      </c>
      <c r="G263" s="38" t="n">
        <v>3149.1912849622</v>
      </c>
      <c r="H263" s="38" t="n">
        <v>5153.1608000306</v>
      </c>
      <c r="I263" s="38" t="n">
        <v>0</v>
      </c>
      <c r="J263" s="38" t="n">
        <v>0</v>
      </c>
      <c r="K263" s="38" t="n">
        <v>77.121268505064</v>
      </c>
      <c r="L263" s="38" t="n">
        <v>0</v>
      </c>
      <c r="M263" s="21" t="n">
        <f aca="false">SUM(B263:L263)</f>
        <v>8379.47335349786</v>
      </c>
    </row>
    <row r="264" customFormat="false" ht="15" hidden="false" customHeight="false" outlineLevel="0" collapsed="false">
      <c r="A264" s="36" t="n">
        <v>45977</v>
      </c>
      <c r="B264" s="38" t="n">
        <v>0</v>
      </c>
      <c r="C264" s="38" t="n">
        <v>0</v>
      </c>
      <c r="D264" s="38" t="n">
        <v>0</v>
      </c>
      <c r="E264" s="38" t="n">
        <v>0</v>
      </c>
      <c r="F264" s="38" t="n">
        <v>0</v>
      </c>
      <c r="G264" s="38" t="n">
        <v>3080.32627344378</v>
      </c>
      <c r="H264" s="38" t="n">
        <v>8071.69632851497</v>
      </c>
      <c r="I264" s="38" t="n">
        <v>0</v>
      </c>
      <c r="J264" s="38" t="n">
        <v>0</v>
      </c>
      <c r="K264" s="38" t="n">
        <v>157.758112569695</v>
      </c>
      <c r="L264" s="38" t="n">
        <v>0</v>
      </c>
      <c r="M264" s="21" t="n">
        <f aca="false">SUM(B264:L264)</f>
        <v>11309.7807145285</v>
      </c>
    </row>
    <row r="265" customFormat="false" ht="15" hidden="false" customHeight="false" outlineLevel="0" collapsed="false">
      <c r="A265" s="36" t="n">
        <v>45978</v>
      </c>
      <c r="B265" s="38" t="n">
        <v>0</v>
      </c>
      <c r="C265" s="38" t="n">
        <v>0</v>
      </c>
      <c r="D265" s="38" t="n">
        <v>0</v>
      </c>
      <c r="E265" s="38" t="n">
        <v>0</v>
      </c>
      <c r="F265" s="38" t="n">
        <v>0</v>
      </c>
      <c r="G265" s="38" t="n">
        <v>16369.7539103852</v>
      </c>
      <c r="H265" s="38" t="n">
        <v>19799.6101473797</v>
      </c>
      <c r="I265" s="38" t="n">
        <v>0</v>
      </c>
      <c r="J265" s="38" t="n">
        <v>0</v>
      </c>
      <c r="K265" s="38" t="n">
        <v>45.2853915279425</v>
      </c>
      <c r="L265" s="38" t="n">
        <v>0</v>
      </c>
      <c r="M265" s="21" t="n">
        <f aca="false">SUM(B265:L265)</f>
        <v>36214.6494492928</v>
      </c>
    </row>
    <row r="266" customFormat="false" ht="15" hidden="false" customHeight="false" outlineLevel="0" collapsed="false">
      <c r="A266" s="36" t="n">
        <v>45979</v>
      </c>
      <c r="B266" s="38" t="n">
        <v>0</v>
      </c>
      <c r="C266" s="38" t="n">
        <v>0</v>
      </c>
      <c r="D266" s="38" t="n">
        <v>0</v>
      </c>
      <c r="E266" s="38" t="n">
        <v>0</v>
      </c>
      <c r="F266" s="38" t="n">
        <v>0</v>
      </c>
      <c r="G266" s="38" t="n">
        <v>18263.1950186998</v>
      </c>
      <c r="H266" s="38" t="n">
        <v>23196.7396072983</v>
      </c>
      <c r="I266" s="38" t="n">
        <v>0</v>
      </c>
      <c r="J266" s="38" t="n">
        <v>0</v>
      </c>
      <c r="K266" s="38" t="n">
        <v>121.863857623974</v>
      </c>
      <c r="L266" s="38" t="n">
        <v>0</v>
      </c>
      <c r="M266" s="21" t="n">
        <f aca="false">SUM(B266:L266)</f>
        <v>41581.798483622</v>
      </c>
    </row>
    <row r="267" customFormat="false" ht="15" hidden="false" customHeight="false" outlineLevel="0" collapsed="false">
      <c r="A267" s="36" t="n">
        <v>45980</v>
      </c>
      <c r="B267" s="38" t="n">
        <v>0</v>
      </c>
      <c r="C267" s="38" t="n">
        <v>0</v>
      </c>
      <c r="D267" s="38" t="n">
        <v>0</v>
      </c>
      <c r="E267" s="38" t="n">
        <v>0</v>
      </c>
      <c r="F267" s="38" t="n">
        <v>0</v>
      </c>
      <c r="G267" s="38" t="n">
        <v>42831.2958783327</v>
      </c>
      <c r="H267" s="38" t="n">
        <v>24059.3495265385</v>
      </c>
      <c r="I267" s="38" t="n">
        <v>0</v>
      </c>
      <c r="J267" s="38" t="n">
        <v>0</v>
      </c>
      <c r="K267" s="38" t="n">
        <v>216.924924859295</v>
      </c>
      <c r="L267" s="38" t="n">
        <v>0</v>
      </c>
      <c r="M267" s="21" t="n">
        <f aca="false">SUM(B267:L267)</f>
        <v>67107.5703297305</v>
      </c>
    </row>
    <row r="268" customFormat="false" ht="15" hidden="false" customHeight="false" outlineLevel="0" collapsed="false">
      <c r="A268" s="36" t="n">
        <v>45981</v>
      </c>
      <c r="B268" s="38" t="n">
        <v>0</v>
      </c>
      <c r="C268" s="38" t="n">
        <v>0</v>
      </c>
      <c r="D268" s="38" t="n">
        <v>0</v>
      </c>
      <c r="E268" s="38" t="n">
        <v>0</v>
      </c>
      <c r="F268" s="38" t="n">
        <v>0</v>
      </c>
      <c r="G268" s="38" t="n">
        <v>47330.5822029695</v>
      </c>
      <c r="H268" s="38" t="n">
        <v>43151.2927268445</v>
      </c>
      <c r="I268" s="38" t="n">
        <v>0</v>
      </c>
      <c r="J268" s="38" t="n">
        <v>0</v>
      </c>
      <c r="K268" s="38" t="n">
        <v>485.319404568435</v>
      </c>
      <c r="L268" s="38" t="n">
        <v>0</v>
      </c>
      <c r="M268" s="21" t="n">
        <f aca="false">SUM(B268:L268)</f>
        <v>90967.1943343825</v>
      </c>
    </row>
    <row r="269" customFormat="false" ht="15" hidden="false" customHeight="false" outlineLevel="0" collapsed="false">
      <c r="A269" s="36" t="n">
        <v>45982</v>
      </c>
      <c r="B269" s="38" t="n">
        <v>0</v>
      </c>
      <c r="C269" s="38" t="n">
        <v>0</v>
      </c>
      <c r="D269" s="38" t="n">
        <v>0</v>
      </c>
      <c r="E269" s="38" t="n">
        <v>0</v>
      </c>
      <c r="F269" s="38" t="n">
        <v>0</v>
      </c>
      <c r="G269" s="38" t="n">
        <v>55246.9986890777</v>
      </c>
      <c r="H269" s="38" t="n">
        <v>37262.6149566377</v>
      </c>
      <c r="I269" s="38" t="n">
        <v>0</v>
      </c>
      <c r="J269" s="38" t="n">
        <v>0</v>
      </c>
      <c r="K269" s="38" t="n">
        <v>486.829140869912</v>
      </c>
      <c r="L269" s="38" t="n">
        <v>0</v>
      </c>
      <c r="M269" s="21" t="n">
        <f aca="false">SUM(B269:L269)</f>
        <v>92996.4427865853</v>
      </c>
    </row>
    <row r="270" customFormat="false" ht="15" hidden="false" customHeight="false" outlineLevel="0" collapsed="false">
      <c r="A270" s="36" t="n">
        <v>45983</v>
      </c>
      <c r="B270" s="38" t="n">
        <v>0</v>
      </c>
      <c r="C270" s="38" t="n">
        <v>0</v>
      </c>
      <c r="D270" s="38" t="n">
        <v>0</v>
      </c>
      <c r="E270" s="38" t="n">
        <v>0</v>
      </c>
      <c r="F270" s="38" t="n">
        <v>0</v>
      </c>
      <c r="G270" s="38" t="n">
        <v>5673.12259012587</v>
      </c>
      <c r="H270" s="38" t="n">
        <v>10010.8031642138</v>
      </c>
      <c r="I270" s="38" t="n">
        <v>0</v>
      </c>
      <c r="J270" s="38" t="n">
        <v>0</v>
      </c>
      <c r="K270" s="38" t="n">
        <v>678.323823689915</v>
      </c>
      <c r="L270" s="38" t="n">
        <v>0</v>
      </c>
      <c r="M270" s="21" t="n">
        <f aca="false">SUM(B270:L270)</f>
        <v>16362.2495780296</v>
      </c>
    </row>
    <row r="271" customFormat="false" ht="15" hidden="false" customHeight="false" outlineLevel="0" collapsed="false">
      <c r="A271" s="36" t="n">
        <v>45984</v>
      </c>
      <c r="B271" s="38" t="n">
        <v>0</v>
      </c>
      <c r="C271" s="38" t="n">
        <v>0</v>
      </c>
      <c r="D271" s="38" t="n">
        <v>0</v>
      </c>
      <c r="E271" s="38" t="n">
        <v>0</v>
      </c>
      <c r="F271" s="38" t="n">
        <v>0</v>
      </c>
      <c r="G271" s="38" t="n">
        <v>604.964043862867</v>
      </c>
      <c r="H271" s="38" t="n">
        <v>938.694073152232</v>
      </c>
      <c r="I271" s="38" t="n">
        <v>0</v>
      </c>
      <c r="J271" s="38" t="n">
        <v>0</v>
      </c>
      <c r="K271" s="38" t="n">
        <v>548.489678190153</v>
      </c>
      <c r="L271" s="38" t="n">
        <v>0</v>
      </c>
      <c r="M271" s="21" t="n">
        <f aca="false">SUM(B271:L271)</f>
        <v>2092.14779520525</v>
      </c>
    </row>
    <row r="272" customFormat="false" ht="15" hidden="false" customHeight="false" outlineLevel="0" collapsed="false">
      <c r="A272" s="36" t="n">
        <v>45985</v>
      </c>
      <c r="B272" s="38" t="n">
        <v>0</v>
      </c>
      <c r="C272" s="38" t="n">
        <v>0</v>
      </c>
      <c r="D272" s="38" t="n">
        <v>0</v>
      </c>
      <c r="E272" s="38" t="n">
        <v>0</v>
      </c>
      <c r="F272" s="38" t="n">
        <v>37.0654602179562</v>
      </c>
      <c r="G272" s="38" t="n">
        <v>4526.24341609583</v>
      </c>
      <c r="H272" s="38" t="n">
        <v>8295.1960469167</v>
      </c>
      <c r="I272" s="38" t="n">
        <v>0</v>
      </c>
      <c r="J272" s="38" t="n">
        <v>0</v>
      </c>
      <c r="K272" s="38" t="n">
        <v>966.322333916967</v>
      </c>
      <c r="L272" s="38" t="n">
        <v>0</v>
      </c>
      <c r="M272" s="21" t="n">
        <f aca="false">SUM(B272:L272)</f>
        <v>13824.8272571475</v>
      </c>
    </row>
    <row r="273" customFormat="false" ht="15" hidden="false" customHeight="false" outlineLevel="0" collapsed="false">
      <c r="A273" s="36" t="n">
        <v>45986</v>
      </c>
      <c r="B273" s="38" t="n">
        <v>0</v>
      </c>
      <c r="C273" s="38" t="n">
        <v>0</v>
      </c>
      <c r="D273" s="38" t="n">
        <v>0</v>
      </c>
      <c r="E273" s="38" t="n">
        <v>0</v>
      </c>
      <c r="F273" s="38" t="n">
        <v>231.498540744129</v>
      </c>
      <c r="G273" s="38" t="n">
        <v>5873.68697528891</v>
      </c>
      <c r="H273" s="38" t="n">
        <v>9104.09846258534</v>
      </c>
      <c r="I273" s="38" t="n">
        <v>0</v>
      </c>
      <c r="J273" s="38" t="n">
        <v>0</v>
      </c>
      <c r="K273" s="38" t="n">
        <v>698.328446686999</v>
      </c>
      <c r="L273" s="38" t="n">
        <v>0</v>
      </c>
      <c r="M273" s="21" t="n">
        <f aca="false">SUM(B273:L273)</f>
        <v>15907.6124253054</v>
      </c>
    </row>
    <row r="274" customFormat="false" ht="15" hidden="false" customHeight="false" outlineLevel="0" collapsed="false">
      <c r="A274" s="36" t="n">
        <v>45987</v>
      </c>
      <c r="B274" s="38" t="n">
        <v>0</v>
      </c>
      <c r="C274" s="38" t="n">
        <v>0</v>
      </c>
      <c r="D274" s="38" t="n">
        <v>0</v>
      </c>
      <c r="E274" s="38" t="n">
        <v>0</v>
      </c>
      <c r="F274" s="38" t="n">
        <v>607.688835917999</v>
      </c>
      <c r="G274" s="38" t="n">
        <v>4203.41919225563</v>
      </c>
      <c r="H274" s="38" t="n">
        <v>6635.87467763841</v>
      </c>
      <c r="I274" s="38" t="n">
        <v>0</v>
      </c>
      <c r="J274" s="38" t="n">
        <v>0</v>
      </c>
      <c r="K274" s="38" t="n">
        <v>945.499161211001</v>
      </c>
      <c r="L274" s="38" t="n">
        <v>0</v>
      </c>
      <c r="M274" s="21" t="n">
        <f aca="false">SUM(B274:L274)</f>
        <v>12392.481867023</v>
      </c>
    </row>
    <row r="275" customFormat="false" ht="15" hidden="false" customHeight="false" outlineLevel="0" collapsed="false">
      <c r="A275" s="36" t="n">
        <v>45988</v>
      </c>
      <c r="B275" s="38" t="n">
        <v>0</v>
      </c>
      <c r="C275" s="38" t="n">
        <v>0</v>
      </c>
      <c r="D275" s="38" t="n">
        <v>0</v>
      </c>
      <c r="E275" s="38" t="n">
        <v>0</v>
      </c>
      <c r="F275" s="38" t="n">
        <v>99.5536708653601</v>
      </c>
      <c r="G275" s="38" t="n">
        <v>1205.51155594496</v>
      </c>
      <c r="H275" s="38" t="n">
        <v>4090.73874500848</v>
      </c>
      <c r="I275" s="38" t="n">
        <v>0</v>
      </c>
      <c r="J275" s="38" t="n">
        <v>0</v>
      </c>
      <c r="K275" s="38" t="n">
        <v>790.639470423</v>
      </c>
      <c r="L275" s="38" t="n">
        <v>0</v>
      </c>
      <c r="M275" s="21" t="n">
        <f aca="false">SUM(B275:L275)</f>
        <v>6186.4434422418</v>
      </c>
    </row>
    <row r="276" customFormat="false" ht="15" hidden="false" customHeight="false" outlineLevel="0" collapsed="false">
      <c r="A276" s="36" t="n">
        <v>45989</v>
      </c>
      <c r="B276" s="38" t="n">
        <v>0</v>
      </c>
      <c r="C276" s="38" t="n">
        <v>0</v>
      </c>
      <c r="D276" s="38" t="n">
        <v>0</v>
      </c>
      <c r="E276" s="38" t="n">
        <v>0</v>
      </c>
      <c r="F276" s="38" t="n">
        <v>401.281590019658</v>
      </c>
      <c r="G276" s="38" t="n">
        <v>2493.21723054306</v>
      </c>
      <c r="H276" s="38" t="n">
        <v>4561.3697107829</v>
      </c>
      <c r="I276" s="38" t="n">
        <v>0</v>
      </c>
      <c r="J276" s="38" t="n">
        <v>0</v>
      </c>
      <c r="K276" s="38" t="n">
        <v>388.93385202148</v>
      </c>
      <c r="L276" s="38" t="n">
        <v>0</v>
      </c>
      <c r="M276" s="21" t="n">
        <f aca="false">SUM(B276:L276)</f>
        <v>7844.8023833671</v>
      </c>
    </row>
    <row r="277" customFormat="false" ht="15" hidden="false" customHeight="false" outlineLevel="0" collapsed="false">
      <c r="A277" s="36" t="n">
        <v>45990</v>
      </c>
      <c r="B277" s="38" t="n">
        <v>0</v>
      </c>
      <c r="C277" s="38" t="n">
        <v>0</v>
      </c>
      <c r="D277" s="38" t="n">
        <v>0</v>
      </c>
      <c r="E277" s="38" t="n">
        <v>0</v>
      </c>
      <c r="F277" s="38" t="n">
        <v>40.1985993548784</v>
      </c>
      <c r="G277" s="38" t="n">
        <v>546.45882724345</v>
      </c>
      <c r="H277" s="38" t="n">
        <v>3359.15917984444</v>
      </c>
      <c r="I277" s="38" t="n">
        <v>0</v>
      </c>
      <c r="J277" s="38" t="n">
        <v>0</v>
      </c>
      <c r="K277" s="38" t="n">
        <v>537.419482565075</v>
      </c>
      <c r="L277" s="38" t="n">
        <v>0</v>
      </c>
      <c r="M277" s="21" t="n">
        <f aca="false">SUM(B277:L277)</f>
        <v>4483.23608900784</v>
      </c>
    </row>
    <row r="278" customFormat="false" ht="15" hidden="false" customHeight="false" outlineLevel="0" collapsed="false">
      <c r="A278" s="36" t="n">
        <v>45991</v>
      </c>
      <c r="B278" s="38" t="n">
        <v>0</v>
      </c>
      <c r="C278" s="38" t="n">
        <v>0</v>
      </c>
      <c r="D278" s="38" t="n">
        <v>0</v>
      </c>
      <c r="E278" s="38" t="n">
        <v>0</v>
      </c>
      <c r="F278" s="38" t="n">
        <v>54.4166762010762</v>
      </c>
      <c r="G278" s="38" t="n">
        <v>566.935757428539</v>
      </c>
      <c r="H278" s="38" t="n">
        <v>2324.79194182832</v>
      </c>
      <c r="I278" s="38" t="n">
        <v>0</v>
      </c>
      <c r="J278" s="38" t="n">
        <v>0</v>
      </c>
      <c r="K278" s="38" t="n">
        <v>576.371359494355</v>
      </c>
      <c r="L278" s="38" t="n">
        <v>0</v>
      </c>
      <c r="M278" s="21" t="n">
        <f aca="false">SUM(B278:L278)</f>
        <v>3522.51573495229</v>
      </c>
    </row>
    <row r="279" customFormat="false" ht="15" hidden="false" customHeight="false" outlineLevel="0" collapsed="false">
      <c r="A279" s="36" t="n">
        <v>45992</v>
      </c>
      <c r="B279" s="38" t="n">
        <v>0</v>
      </c>
      <c r="C279" s="38" t="n">
        <v>0</v>
      </c>
      <c r="D279" s="38" t="n">
        <v>0</v>
      </c>
      <c r="E279" s="38" t="n">
        <v>0</v>
      </c>
      <c r="F279" s="38" t="n">
        <v>788.425485055368</v>
      </c>
      <c r="G279" s="38" t="n">
        <v>3897.36949286273</v>
      </c>
      <c r="H279" s="38" t="n">
        <v>6841.26681893168</v>
      </c>
      <c r="I279" s="38" t="n">
        <v>0</v>
      </c>
      <c r="J279" s="38" t="n">
        <v>0</v>
      </c>
      <c r="K279" s="38" t="n">
        <v>152.650410951346</v>
      </c>
      <c r="L279" s="38" t="n">
        <v>0</v>
      </c>
      <c r="M279" s="21" t="n">
        <f aca="false">SUM(B279:L279)</f>
        <v>11679.7122078011</v>
      </c>
    </row>
    <row r="280" customFormat="false" ht="15" hidden="false" customHeight="false" outlineLevel="0" collapsed="false">
      <c r="A280" s="36" t="n">
        <v>45993</v>
      </c>
      <c r="B280" s="38" t="n">
        <v>0</v>
      </c>
      <c r="C280" s="38" t="n">
        <v>0</v>
      </c>
      <c r="D280" s="38" t="n">
        <v>0</v>
      </c>
      <c r="E280" s="38" t="n">
        <v>0</v>
      </c>
      <c r="F280" s="38" t="n">
        <v>2216.28160776008</v>
      </c>
      <c r="G280" s="38" t="n">
        <v>3827.62953632865</v>
      </c>
      <c r="H280" s="38" t="n">
        <v>6295.97989921521</v>
      </c>
      <c r="I280" s="38" t="n">
        <v>0</v>
      </c>
      <c r="J280" s="38" t="n">
        <v>0</v>
      </c>
      <c r="K280" s="38" t="n">
        <v>428.113631916827</v>
      </c>
      <c r="L280" s="38" t="n">
        <v>0</v>
      </c>
      <c r="M280" s="21" t="n">
        <f aca="false">SUM(B280:L280)</f>
        <v>12768.0046752208</v>
      </c>
    </row>
    <row r="281" customFormat="false" ht="15" hidden="false" customHeight="false" outlineLevel="0" collapsed="false">
      <c r="A281" s="36" t="n">
        <v>45994</v>
      </c>
      <c r="B281" s="38" t="n">
        <v>0</v>
      </c>
      <c r="C281" s="38" t="n">
        <v>0</v>
      </c>
      <c r="D281" s="38" t="n">
        <v>0.026500921664</v>
      </c>
      <c r="E281" s="38" t="n">
        <v>0</v>
      </c>
      <c r="F281" s="38" t="n">
        <v>2812.40327493102</v>
      </c>
      <c r="G281" s="38" t="n">
        <v>3762.03811666705</v>
      </c>
      <c r="H281" s="38" t="n">
        <v>7087.19924561531</v>
      </c>
      <c r="I281" s="38" t="n">
        <v>0</v>
      </c>
      <c r="J281" s="38" t="n">
        <v>0</v>
      </c>
      <c r="K281" s="38" t="n">
        <v>851.779535291431</v>
      </c>
      <c r="L281" s="38" t="n">
        <v>0</v>
      </c>
      <c r="M281" s="21" t="n">
        <f aca="false">SUM(B281:L281)</f>
        <v>14513.4466734265</v>
      </c>
    </row>
    <row r="282" customFormat="false" ht="15" hidden="false" customHeight="false" outlineLevel="0" collapsed="false">
      <c r="A282" s="36" t="n">
        <v>45995</v>
      </c>
      <c r="B282" s="38" t="n">
        <v>0</v>
      </c>
      <c r="C282" s="38" t="n">
        <v>0</v>
      </c>
      <c r="D282" s="38" t="n">
        <v>0.00407990304</v>
      </c>
      <c r="E282" s="38" t="n">
        <v>0</v>
      </c>
      <c r="F282" s="38" t="n">
        <v>4133.24319360258</v>
      </c>
      <c r="G282" s="38" t="n">
        <v>3613.87142830066</v>
      </c>
      <c r="H282" s="38" t="n">
        <v>10019.9630593468</v>
      </c>
      <c r="I282" s="38" t="n">
        <v>0</v>
      </c>
      <c r="J282" s="38" t="n">
        <v>0</v>
      </c>
      <c r="K282" s="38" t="n">
        <v>561.198241357809</v>
      </c>
      <c r="L282" s="38" t="n">
        <v>0</v>
      </c>
      <c r="M282" s="21" t="n">
        <f aca="false">SUM(B282:L282)</f>
        <v>18328.2800025108</v>
      </c>
    </row>
    <row r="283" customFormat="false" ht="15" hidden="false" customHeight="false" outlineLevel="0" collapsed="false">
      <c r="A283" s="36" t="n">
        <v>45996</v>
      </c>
      <c r="B283" s="38" t="n">
        <v>0</v>
      </c>
      <c r="C283" s="38" t="n">
        <v>0</v>
      </c>
      <c r="D283" s="38" t="n">
        <v>0.07821624785</v>
      </c>
      <c r="E283" s="38" t="n">
        <v>0</v>
      </c>
      <c r="F283" s="38" t="n">
        <v>5307.59067394705</v>
      </c>
      <c r="G283" s="38" t="n">
        <v>2826.58953924842</v>
      </c>
      <c r="H283" s="38" t="n">
        <v>5309.5743888903</v>
      </c>
      <c r="I283" s="38" t="n">
        <v>0</v>
      </c>
      <c r="J283" s="38" t="n">
        <v>0</v>
      </c>
      <c r="K283" s="38" t="n">
        <v>446.280292050395</v>
      </c>
      <c r="L283" s="38" t="n">
        <v>0</v>
      </c>
      <c r="M283" s="21" t="n">
        <f aca="false">SUM(B283:L283)</f>
        <v>13890.113110384</v>
      </c>
    </row>
    <row r="284" customFormat="false" ht="15" hidden="false" customHeight="false" outlineLevel="0" collapsed="false">
      <c r="A284" s="36" t="n">
        <v>45997</v>
      </c>
      <c r="B284" s="38" t="n">
        <v>0</v>
      </c>
      <c r="C284" s="38" t="n">
        <v>0</v>
      </c>
      <c r="D284" s="38" t="n">
        <v>0.47457835235375</v>
      </c>
      <c r="E284" s="38" t="n">
        <v>0</v>
      </c>
      <c r="F284" s="38" t="n">
        <v>391.981144258615</v>
      </c>
      <c r="G284" s="38" t="n">
        <v>250.668619697938</v>
      </c>
      <c r="H284" s="38" t="n">
        <v>1358.22022826247</v>
      </c>
      <c r="I284" s="38" t="n">
        <v>0</v>
      </c>
      <c r="J284" s="38" t="n">
        <v>0</v>
      </c>
      <c r="K284" s="38" t="n">
        <v>440.731295344773</v>
      </c>
      <c r="L284" s="38" t="n">
        <v>0</v>
      </c>
      <c r="M284" s="21" t="n">
        <f aca="false">SUM(B284:L284)</f>
        <v>2442.07586591615</v>
      </c>
    </row>
    <row r="285" customFormat="false" ht="15" hidden="false" customHeight="false" outlineLevel="0" collapsed="false">
      <c r="A285" s="36" t="n">
        <v>45998</v>
      </c>
      <c r="B285" s="38" t="n">
        <v>0</v>
      </c>
      <c r="C285" s="38" t="n">
        <v>0</v>
      </c>
      <c r="D285" s="38" t="n">
        <v>0.029344199696</v>
      </c>
      <c r="E285" s="38" t="n">
        <v>0</v>
      </c>
      <c r="F285" s="38" t="n">
        <v>429.064838146336</v>
      </c>
      <c r="G285" s="38" t="n">
        <v>253.101244374911</v>
      </c>
      <c r="H285" s="38" t="n">
        <v>2563.87642227356</v>
      </c>
      <c r="I285" s="38" t="n">
        <v>0</v>
      </c>
      <c r="J285" s="38" t="n">
        <v>0</v>
      </c>
      <c r="K285" s="38" t="n">
        <v>197.925397525006</v>
      </c>
      <c r="L285" s="38" t="n">
        <v>0</v>
      </c>
      <c r="M285" s="21" t="n">
        <f aca="false">SUM(B285:L285)</f>
        <v>3443.99724651951</v>
      </c>
    </row>
    <row r="286" customFormat="false" ht="15" hidden="false" customHeight="false" outlineLevel="0" collapsed="false">
      <c r="A286" s="36" t="n">
        <v>45999</v>
      </c>
      <c r="B286" s="38" t="n">
        <v>0</v>
      </c>
      <c r="C286" s="38" t="n">
        <v>0</v>
      </c>
      <c r="D286" s="38" t="n">
        <v>1.80615516003575</v>
      </c>
      <c r="E286" s="38" t="n">
        <v>0</v>
      </c>
      <c r="F286" s="38" t="n">
        <v>2237.05238474813</v>
      </c>
      <c r="G286" s="38" t="n">
        <v>3085.35088037746</v>
      </c>
      <c r="H286" s="38" t="n">
        <v>4982.18443180079</v>
      </c>
      <c r="I286" s="38" t="n">
        <v>0</v>
      </c>
      <c r="J286" s="38" t="n">
        <v>0</v>
      </c>
      <c r="K286" s="38" t="n">
        <v>132.71443015016</v>
      </c>
      <c r="L286" s="38" t="n">
        <v>0</v>
      </c>
      <c r="M286" s="21" t="n">
        <f aca="false">SUM(B286:L286)</f>
        <v>10439.1082822366</v>
      </c>
    </row>
    <row r="287" customFormat="false" ht="15" hidden="false" customHeight="false" outlineLevel="0" collapsed="false">
      <c r="A287" s="36" t="n">
        <v>46000</v>
      </c>
      <c r="B287" s="38" t="n">
        <v>0</v>
      </c>
      <c r="C287" s="38" t="n">
        <v>0</v>
      </c>
      <c r="D287" s="38" t="n">
        <v>4374.38856272705</v>
      </c>
      <c r="E287" s="38" t="n">
        <v>0</v>
      </c>
      <c r="F287" s="38" t="n">
        <v>3441.755935904</v>
      </c>
      <c r="G287" s="38" t="n">
        <v>2469.91740060897</v>
      </c>
      <c r="H287" s="38" t="n">
        <v>4584.62552653108</v>
      </c>
      <c r="I287" s="38" t="n">
        <v>0</v>
      </c>
      <c r="J287" s="38" t="n">
        <v>0</v>
      </c>
      <c r="K287" s="38" t="n">
        <v>192.978148715555</v>
      </c>
      <c r="L287" s="38" t="n">
        <v>0</v>
      </c>
      <c r="M287" s="21" t="n">
        <f aca="false">SUM(B287:L287)</f>
        <v>15063.6655744867</v>
      </c>
    </row>
    <row r="288" customFormat="false" ht="15" hidden="false" customHeight="false" outlineLevel="0" collapsed="false">
      <c r="A288" s="36" t="n">
        <v>46001</v>
      </c>
      <c r="B288" s="38" t="n">
        <v>0</v>
      </c>
      <c r="C288" s="38" t="n">
        <v>0</v>
      </c>
      <c r="D288" s="38" t="n">
        <v>5950.61533406317</v>
      </c>
      <c r="E288" s="38" t="n">
        <v>0</v>
      </c>
      <c r="F288" s="38" t="n">
        <v>3301.1158906273</v>
      </c>
      <c r="G288" s="38" t="n">
        <v>3760.85012919423</v>
      </c>
      <c r="H288" s="38" t="n">
        <v>6354.52045278358</v>
      </c>
      <c r="I288" s="38" t="n">
        <v>0</v>
      </c>
      <c r="J288" s="38" t="n">
        <v>0</v>
      </c>
      <c r="K288" s="38" t="n">
        <v>309.637558599365</v>
      </c>
      <c r="L288" s="38" t="n">
        <v>0</v>
      </c>
      <c r="M288" s="21" t="n">
        <f aca="false">SUM(B288:L288)</f>
        <v>19676.7393652676</v>
      </c>
    </row>
    <row r="289" customFormat="false" ht="15" hidden="false" customHeight="false" outlineLevel="0" collapsed="false">
      <c r="A289" s="36" t="n">
        <v>46002</v>
      </c>
      <c r="B289" s="38" t="n">
        <v>0</v>
      </c>
      <c r="C289" s="38" t="n">
        <v>0</v>
      </c>
      <c r="D289" s="38" t="n">
        <v>5838.34757236745</v>
      </c>
      <c r="E289" s="38" t="n">
        <v>0</v>
      </c>
      <c r="F289" s="38" t="n">
        <v>2325.65045660951</v>
      </c>
      <c r="G289" s="38" t="n">
        <v>2987.00846117297</v>
      </c>
      <c r="H289" s="38" t="n">
        <v>9608.99639098752</v>
      </c>
      <c r="I289" s="38" t="n">
        <v>0</v>
      </c>
      <c r="J289" s="38" t="n">
        <v>0</v>
      </c>
      <c r="K289" s="38" t="n">
        <v>69.4697674102425</v>
      </c>
      <c r="L289" s="38" t="n">
        <v>0</v>
      </c>
      <c r="M289" s="21" t="n">
        <f aca="false">SUM(B289:L289)</f>
        <v>20829.4726485477</v>
      </c>
    </row>
    <row r="290" customFormat="false" ht="15" hidden="false" customHeight="false" outlineLevel="0" collapsed="false">
      <c r="A290" s="36" t="n">
        <v>46003</v>
      </c>
      <c r="B290" s="38" t="n">
        <v>0</v>
      </c>
      <c r="C290" s="38" t="n">
        <v>0</v>
      </c>
      <c r="D290" s="38" t="n">
        <v>4546.66331445783</v>
      </c>
      <c r="E290" s="38" t="n">
        <v>0</v>
      </c>
      <c r="F290" s="38" t="n">
        <v>2029.01955282138</v>
      </c>
      <c r="G290" s="38" t="n">
        <v>2837.06945291611</v>
      </c>
      <c r="H290" s="38" t="n">
        <v>10212.7981602599</v>
      </c>
      <c r="I290" s="38" t="n">
        <v>0</v>
      </c>
      <c r="J290" s="38" t="n">
        <v>0</v>
      </c>
      <c r="K290" s="38" t="n">
        <v>64.0815892119688</v>
      </c>
      <c r="L290" s="38" t="n">
        <v>148.725176764868</v>
      </c>
      <c r="M290" s="21" t="n">
        <f aca="false">SUM(B290:L290)</f>
        <v>19838.3572464321</v>
      </c>
    </row>
    <row r="291" customFormat="false" ht="15" hidden="false" customHeight="false" outlineLevel="0" collapsed="false">
      <c r="A291" s="36" t="n">
        <v>46004</v>
      </c>
      <c r="B291" s="38" t="n">
        <v>0</v>
      </c>
      <c r="C291" s="38" t="n">
        <v>0</v>
      </c>
      <c r="D291" s="38" t="n">
        <v>2433.62706949092</v>
      </c>
      <c r="E291" s="38" t="n">
        <v>0</v>
      </c>
      <c r="F291" s="38" t="n">
        <v>64.6626126765735</v>
      </c>
      <c r="G291" s="38" t="n">
        <v>126.65571292835</v>
      </c>
      <c r="H291" s="38" t="n">
        <v>1030.67704862785</v>
      </c>
      <c r="I291" s="38" t="n">
        <v>0</v>
      </c>
      <c r="J291" s="38" t="n">
        <v>0</v>
      </c>
      <c r="K291" s="38" t="n">
        <v>52.0952022934943</v>
      </c>
      <c r="L291" s="38" t="n">
        <v>51.8942082661925</v>
      </c>
      <c r="M291" s="21" t="n">
        <f aca="false">SUM(B291:L291)</f>
        <v>3759.61185428338</v>
      </c>
    </row>
    <row r="292" customFormat="false" ht="15" hidden="false" customHeight="false" outlineLevel="0" collapsed="false">
      <c r="A292" s="36" t="n">
        <v>46005</v>
      </c>
      <c r="B292" s="38" t="n">
        <v>0</v>
      </c>
      <c r="C292" s="38" t="n">
        <v>0</v>
      </c>
      <c r="D292" s="38" t="n">
        <v>3511.20593774477</v>
      </c>
      <c r="E292" s="38" t="n">
        <v>0</v>
      </c>
      <c r="F292" s="38" t="n">
        <v>250.444621077725</v>
      </c>
      <c r="G292" s="38" t="n">
        <v>289.185898282328</v>
      </c>
      <c r="H292" s="38" t="n">
        <v>3453.27629931257</v>
      </c>
      <c r="I292" s="38" t="n">
        <v>0</v>
      </c>
      <c r="J292" s="38" t="n">
        <v>0</v>
      </c>
      <c r="K292" s="38" t="n">
        <v>190.913994203261</v>
      </c>
      <c r="L292" s="38" t="n">
        <v>54.5884771622025</v>
      </c>
      <c r="M292" s="21" t="n">
        <f aca="false">SUM(B292:L292)</f>
        <v>7749.61522778286</v>
      </c>
    </row>
    <row r="293" customFormat="false" ht="15" hidden="false" customHeight="false" outlineLevel="0" collapsed="false">
      <c r="A293" s="36" t="n">
        <v>46006</v>
      </c>
      <c r="B293" s="38" t="n">
        <v>0</v>
      </c>
      <c r="C293" s="38" t="n">
        <v>0</v>
      </c>
      <c r="D293" s="38" t="n">
        <v>5088.28217365018</v>
      </c>
      <c r="E293" s="38" t="n">
        <v>0</v>
      </c>
      <c r="F293" s="38" t="n">
        <v>2031.44805371348</v>
      </c>
      <c r="G293" s="38" t="n">
        <v>2222.53307621507</v>
      </c>
      <c r="H293" s="38" t="n">
        <v>6737.49156768028</v>
      </c>
      <c r="I293" s="38" t="n">
        <v>0</v>
      </c>
      <c r="J293" s="38" t="n">
        <v>0</v>
      </c>
      <c r="K293" s="38" t="n">
        <v>98.742195977973</v>
      </c>
      <c r="L293" s="38" t="n">
        <v>240.506344903613</v>
      </c>
      <c r="M293" s="21" t="n">
        <f aca="false">SUM(B293:L293)</f>
        <v>16419.0034121406</v>
      </c>
    </row>
    <row r="294" customFormat="false" ht="15" hidden="false" customHeight="false" outlineLevel="0" collapsed="false">
      <c r="A294" s="36" t="n">
        <v>46007</v>
      </c>
      <c r="B294" s="38" t="n">
        <v>0</v>
      </c>
      <c r="C294" s="38" t="n">
        <v>0</v>
      </c>
      <c r="D294" s="38" t="n">
        <v>4440.20004575622</v>
      </c>
      <c r="E294" s="38" t="n">
        <v>0</v>
      </c>
      <c r="F294" s="38" t="n">
        <v>1754.73025897244</v>
      </c>
      <c r="G294" s="38" t="n">
        <v>2732.08522856389</v>
      </c>
      <c r="H294" s="38" t="n">
        <v>7379.14379843951</v>
      </c>
      <c r="I294" s="38" t="n">
        <v>0</v>
      </c>
      <c r="J294" s="38" t="n">
        <v>0</v>
      </c>
      <c r="K294" s="38" t="n">
        <v>36.4061717547855</v>
      </c>
      <c r="L294" s="38" t="n">
        <v>418.07169203408</v>
      </c>
      <c r="M294" s="21" t="n">
        <f aca="false">SUM(B294:L294)</f>
        <v>16760.6371955209</v>
      </c>
    </row>
    <row r="295" customFormat="false" ht="15" hidden="false" customHeight="false" outlineLevel="0" collapsed="false">
      <c r="A295" s="36" t="n">
        <v>46008</v>
      </c>
      <c r="B295" s="38" t="n">
        <v>0</v>
      </c>
      <c r="C295" s="38" t="n">
        <v>0</v>
      </c>
      <c r="D295" s="38" t="n">
        <v>5391.60964318397</v>
      </c>
      <c r="E295" s="38" t="n">
        <v>0</v>
      </c>
      <c r="F295" s="38" t="n">
        <v>2403.01430484336</v>
      </c>
      <c r="G295" s="38" t="n">
        <v>3158.31091522729</v>
      </c>
      <c r="H295" s="38" t="n">
        <v>6790.87044613282</v>
      </c>
      <c r="I295" s="38" t="n">
        <v>0</v>
      </c>
      <c r="J295" s="38" t="n">
        <v>0</v>
      </c>
      <c r="K295" s="38" t="n">
        <v>85.1788865537658</v>
      </c>
      <c r="L295" s="38" t="n">
        <v>530.858104112743</v>
      </c>
      <c r="M295" s="21" t="n">
        <f aca="false">SUM(B295:L295)</f>
        <v>18359.842300054</v>
      </c>
    </row>
    <row r="296" customFormat="false" ht="15" hidden="false" customHeight="false" outlineLevel="0" collapsed="false">
      <c r="A296" s="36" t="n">
        <v>46009</v>
      </c>
      <c r="B296" s="38" t="n">
        <v>0</v>
      </c>
      <c r="C296" s="38" t="n">
        <v>0</v>
      </c>
      <c r="D296" s="38" t="n">
        <v>4713.83382237732</v>
      </c>
      <c r="E296" s="38" t="n">
        <v>0</v>
      </c>
      <c r="F296" s="38" t="n">
        <v>3606.19068238335</v>
      </c>
      <c r="G296" s="38" t="n">
        <v>2562.43456959588</v>
      </c>
      <c r="H296" s="38" t="n">
        <v>7388.73116668355</v>
      </c>
      <c r="I296" s="38" t="n">
        <v>0</v>
      </c>
      <c r="J296" s="38" t="n">
        <v>0</v>
      </c>
      <c r="K296" s="38" t="n">
        <v>62.5928203542963</v>
      </c>
      <c r="L296" s="38" t="n">
        <v>1620.17387105446</v>
      </c>
      <c r="M296" s="21" t="n">
        <f aca="false">SUM(B296:L296)</f>
        <v>19953.9569324489</v>
      </c>
    </row>
    <row r="297" customFormat="false" ht="15" hidden="false" customHeight="false" outlineLevel="0" collapsed="false">
      <c r="A297" s="36" t="n">
        <v>46010</v>
      </c>
      <c r="B297" s="38" t="n">
        <v>0</v>
      </c>
      <c r="C297" s="38" t="n">
        <v>0</v>
      </c>
      <c r="D297" s="38" t="n">
        <v>3632.48909374303</v>
      </c>
      <c r="E297" s="38" t="n">
        <v>0</v>
      </c>
      <c r="F297" s="38" t="n">
        <v>2083.34789705231</v>
      </c>
      <c r="G297" s="38" t="n">
        <v>2095.61948702417</v>
      </c>
      <c r="H297" s="38" t="n">
        <v>5426.25256396125</v>
      </c>
      <c r="I297" s="38" t="n">
        <v>0</v>
      </c>
      <c r="J297" s="38" t="n">
        <v>0</v>
      </c>
      <c r="K297" s="38" t="n">
        <v>84.410706733293</v>
      </c>
      <c r="L297" s="38" t="n">
        <v>1615.91165054855</v>
      </c>
      <c r="M297" s="21" t="n">
        <f aca="false">SUM(B297:L297)</f>
        <v>14938.0313990626</v>
      </c>
    </row>
    <row r="298" customFormat="false" ht="15" hidden="false" customHeight="false" outlineLevel="0" collapsed="false">
      <c r="A298" s="36" t="n">
        <v>46011</v>
      </c>
      <c r="B298" s="38" t="n">
        <v>0</v>
      </c>
      <c r="C298" s="38" t="n">
        <v>0</v>
      </c>
      <c r="D298" s="38" t="n">
        <v>4690.89844404249</v>
      </c>
      <c r="E298" s="38" t="n">
        <v>0</v>
      </c>
      <c r="F298" s="38" t="n">
        <v>37.5923600909721</v>
      </c>
      <c r="G298" s="38" t="n">
        <v>321.712249268234</v>
      </c>
      <c r="H298" s="38" t="n">
        <v>1014.40180074229</v>
      </c>
      <c r="I298" s="38" t="n">
        <v>0</v>
      </c>
      <c r="J298" s="38" t="n">
        <v>0</v>
      </c>
      <c r="K298" s="38" t="n">
        <v>490.292431726912</v>
      </c>
      <c r="L298" s="38" t="n">
        <v>91.1294010135625</v>
      </c>
      <c r="M298" s="21" t="n">
        <f aca="false">SUM(B298:L298)</f>
        <v>6646.02668688446</v>
      </c>
    </row>
    <row r="299" customFormat="false" ht="15" hidden="false" customHeight="false" outlineLevel="0" collapsed="false">
      <c r="A299" s="36" t="n">
        <v>46012</v>
      </c>
      <c r="B299" s="38" t="n">
        <v>0</v>
      </c>
      <c r="C299" s="38" t="n">
        <v>0</v>
      </c>
      <c r="D299" s="38" t="n">
        <v>3484.20865710106</v>
      </c>
      <c r="E299" s="38" t="n">
        <v>0</v>
      </c>
      <c r="F299" s="38" t="n">
        <v>80.397275569057</v>
      </c>
      <c r="G299" s="38" t="n">
        <v>96.8522519121856</v>
      </c>
      <c r="H299" s="38" t="n">
        <v>1170.42053914297</v>
      </c>
      <c r="I299" s="38" t="n">
        <v>0</v>
      </c>
      <c r="J299" s="38" t="n">
        <v>0</v>
      </c>
      <c r="K299" s="38" t="n">
        <v>251.067375912356</v>
      </c>
      <c r="L299" s="38" t="n">
        <v>307.304053424059</v>
      </c>
      <c r="M299" s="21" t="n">
        <f aca="false">SUM(B299:L299)</f>
        <v>5390.25015306169</v>
      </c>
    </row>
    <row r="300" customFormat="false" ht="15" hidden="false" customHeight="false" outlineLevel="0" collapsed="false">
      <c r="A300" s="36" t="n">
        <v>46013</v>
      </c>
      <c r="B300" s="38" t="n">
        <v>0</v>
      </c>
      <c r="C300" s="38" t="n">
        <v>0</v>
      </c>
      <c r="D300" s="38" t="n">
        <v>5079.4464068116</v>
      </c>
      <c r="E300" s="38" t="n">
        <v>0</v>
      </c>
      <c r="F300" s="38" t="n">
        <v>2758.47921395917</v>
      </c>
      <c r="G300" s="38" t="n">
        <v>1780.44496711933</v>
      </c>
      <c r="H300" s="38" t="n">
        <v>2977.30272186569</v>
      </c>
      <c r="I300" s="38" t="n">
        <v>0</v>
      </c>
      <c r="J300" s="38" t="n">
        <v>0</v>
      </c>
      <c r="K300" s="38" t="n">
        <v>82.6038901982967</v>
      </c>
      <c r="L300" s="38" t="n">
        <v>1865.72361687035</v>
      </c>
      <c r="M300" s="21" t="n">
        <f aca="false">SUM(B300:L300)</f>
        <v>14544.0008168244</v>
      </c>
    </row>
    <row r="301" customFormat="false" ht="15" hidden="false" customHeight="false" outlineLevel="0" collapsed="false">
      <c r="A301" s="36" t="n">
        <v>46014</v>
      </c>
      <c r="B301" s="38" t="n">
        <v>0</v>
      </c>
      <c r="C301" s="38" t="n">
        <v>0</v>
      </c>
      <c r="D301" s="38" t="n">
        <v>4602.27441937929</v>
      </c>
      <c r="E301" s="38" t="n">
        <v>0</v>
      </c>
      <c r="F301" s="38" t="n">
        <v>1705.98424357848</v>
      </c>
      <c r="G301" s="38" t="n">
        <v>1162.30613643826</v>
      </c>
      <c r="H301" s="38" t="n">
        <v>5626.49486313732</v>
      </c>
      <c r="I301" s="38" t="n">
        <v>21.7510759925561</v>
      </c>
      <c r="J301" s="38" t="n">
        <v>0</v>
      </c>
      <c r="K301" s="38" t="n">
        <v>245.826718939285</v>
      </c>
      <c r="L301" s="38" t="n">
        <v>2544.31397837099</v>
      </c>
      <c r="M301" s="21" t="n">
        <f aca="false">SUM(B301:L301)</f>
        <v>15908.9514358362</v>
      </c>
    </row>
    <row r="302" customFormat="false" ht="15" hidden="false" customHeight="false" outlineLevel="0" collapsed="false">
      <c r="A302" s="36" t="n">
        <v>46015</v>
      </c>
      <c r="B302" s="38" t="n">
        <v>0</v>
      </c>
      <c r="C302" s="38" t="n">
        <v>0</v>
      </c>
      <c r="D302" s="38" t="n">
        <v>2670.98429339712</v>
      </c>
      <c r="E302" s="38" t="n">
        <v>0</v>
      </c>
      <c r="F302" s="38" t="n">
        <v>1497.67315265362</v>
      </c>
      <c r="G302" s="38" t="n">
        <v>928.081798339453</v>
      </c>
      <c r="H302" s="38" t="n">
        <v>2393.16116009854</v>
      </c>
      <c r="I302" s="38" t="n">
        <v>27.7930394243696</v>
      </c>
      <c r="J302" s="38" t="n">
        <v>0</v>
      </c>
      <c r="K302" s="38" t="n">
        <v>270.823655169099</v>
      </c>
      <c r="L302" s="38" t="n">
        <v>2409.22152828526</v>
      </c>
      <c r="M302" s="21" t="n">
        <f aca="false">SUM(B302:L302)</f>
        <v>10197.7386273675</v>
      </c>
    </row>
    <row r="303" customFormat="false" ht="15" hidden="false" customHeight="false" outlineLevel="0" collapsed="false">
      <c r="A303" s="36" t="n">
        <v>46016</v>
      </c>
      <c r="B303" s="38" t="n">
        <v>0</v>
      </c>
      <c r="C303" s="38" t="n">
        <v>0</v>
      </c>
      <c r="D303" s="38" t="n">
        <v>3541.83164341663</v>
      </c>
      <c r="E303" s="38" t="n">
        <v>0</v>
      </c>
      <c r="F303" s="38" t="n">
        <v>42.6000647100555</v>
      </c>
      <c r="G303" s="38" t="n">
        <v>217.368823324928</v>
      </c>
      <c r="H303" s="38" t="n">
        <v>1156.4599196863</v>
      </c>
      <c r="I303" s="38" t="n">
        <v>7.59073891636475</v>
      </c>
      <c r="J303" s="38" t="n">
        <v>0</v>
      </c>
      <c r="K303" s="38" t="n">
        <v>325.958916568336</v>
      </c>
      <c r="L303" s="38" t="n">
        <v>866.944022767418</v>
      </c>
      <c r="M303" s="21" t="n">
        <f aca="false">SUM(B303:L303)</f>
        <v>6158.75412939004</v>
      </c>
    </row>
    <row r="304" customFormat="false" ht="15" hidden="false" customHeight="false" outlineLevel="0" collapsed="false">
      <c r="A304" s="36" t="n">
        <v>46017</v>
      </c>
      <c r="B304" s="38" t="n">
        <v>0</v>
      </c>
      <c r="C304" s="38" t="n">
        <v>0</v>
      </c>
      <c r="D304" s="38" t="n">
        <v>3986.76664010995</v>
      </c>
      <c r="E304" s="38" t="n">
        <v>0</v>
      </c>
      <c r="F304" s="38" t="n">
        <v>636.266186405688</v>
      </c>
      <c r="G304" s="38" t="n">
        <v>915.958373598227</v>
      </c>
      <c r="H304" s="38" t="n">
        <v>4509.78417178446</v>
      </c>
      <c r="I304" s="38" t="n">
        <v>15.1452381165009</v>
      </c>
      <c r="J304" s="38" t="n">
        <v>0</v>
      </c>
      <c r="K304" s="38" t="n">
        <v>263.547843561218</v>
      </c>
      <c r="L304" s="38" t="n">
        <v>7175.61672763506</v>
      </c>
      <c r="M304" s="21" t="n">
        <f aca="false">SUM(B304:L304)</f>
        <v>17503.0851812111</v>
      </c>
    </row>
    <row r="305" customFormat="false" ht="15" hidden="false" customHeight="false" outlineLevel="0" collapsed="false">
      <c r="A305" s="36" t="n">
        <v>46018</v>
      </c>
      <c r="B305" s="38" t="n">
        <v>0</v>
      </c>
      <c r="C305" s="38" t="n">
        <v>0</v>
      </c>
      <c r="D305" s="38" t="n">
        <v>4230.98308672998</v>
      </c>
      <c r="E305" s="38" t="n">
        <v>0</v>
      </c>
      <c r="F305" s="38" t="n">
        <v>22.2363720994723</v>
      </c>
      <c r="G305" s="38" t="n">
        <v>188.372917375406</v>
      </c>
      <c r="H305" s="38" t="n">
        <v>945.2154521072</v>
      </c>
      <c r="I305" s="38" t="n">
        <v>2.5480774925957</v>
      </c>
      <c r="J305" s="38" t="n">
        <v>0</v>
      </c>
      <c r="K305" s="38" t="n">
        <v>245.625104171069</v>
      </c>
      <c r="L305" s="38" t="n">
        <v>1722.31746060974</v>
      </c>
      <c r="M305" s="21" t="n">
        <f aca="false">SUM(B305:L305)</f>
        <v>7357.29847058546</v>
      </c>
    </row>
    <row r="306" customFormat="false" ht="15" hidden="false" customHeight="false" outlineLevel="0" collapsed="false">
      <c r="A306" s="36" t="n">
        <v>46019</v>
      </c>
      <c r="B306" s="38" t="n">
        <v>0</v>
      </c>
      <c r="C306" s="38" t="n">
        <v>0</v>
      </c>
      <c r="D306" s="38" t="n">
        <v>2322.15883883741</v>
      </c>
      <c r="E306" s="38" t="n">
        <v>0</v>
      </c>
      <c r="F306" s="38" t="n">
        <v>67.178104815158</v>
      </c>
      <c r="G306" s="38" t="n">
        <v>310.397338813048</v>
      </c>
      <c r="H306" s="38" t="n">
        <v>864.311751444228</v>
      </c>
      <c r="I306" s="38" t="n">
        <v>1.64330502424875</v>
      </c>
      <c r="J306" s="38" t="n">
        <v>0</v>
      </c>
      <c r="K306" s="38" t="n">
        <v>20.1706935764025</v>
      </c>
      <c r="L306" s="38" t="n">
        <v>3035.51397193778</v>
      </c>
      <c r="M306" s="21" t="n">
        <f aca="false">SUM(B306:L306)</f>
        <v>6621.37400444827</v>
      </c>
    </row>
    <row r="307" customFormat="false" ht="15" hidden="false" customHeight="false" outlineLevel="0" collapsed="false">
      <c r="A307" s="36" t="n">
        <v>46020</v>
      </c>
      <c r="B307" s="38" t="n">
        <v>0</v>
      </c>
      <c r="C307" s="38" t="n">
        <v>0</v>
      </c>
      <c r="D307" s="38" t="n">
        <v>4266.33652089796</v>
      </c>
      <c r="E307" s="38" t="n">
        <v>0</v>
      </c>
      <c r="F307" s="38" t="n">
        <v>1798.63150729498</v>
      </c>
      <c r="G307" s="38" t="n">
        <v>1331.52000077228</v>
      </c>
      <c r="H307" s="38" t="n">
        <v>3899.93462577789</v>
      </c>
      <c r="I307" s="38" t="n">
        <v>34.8920591013451</v>
      </c>
      <c r="J307" s="38" t="n">
        <v>0</v>
      </c>
      <c r="K307" s="38" t="n">
        <v>21.80300054211</v>
      </c>
      <c r="L307" s="38" t="n">
        <v>12509.2299026636</v>
      </c>
      <c r="M307" s="21" t="n">
        <f aca="false">SUM(B307:L307)</f>
        <v>23862.3476170501</v>
      </c>
    </row>
    <row r="308" customFormat="false" ht="15" hidden="false" customHeight="false" outlineLevel="0" collapsed="false">
      <c r="A308" s="36" t="n">
        <v>46021</v>
      </c>
      <c r="B308" s="38" t="n">
        <v>0</v>
      </c>
      <c r="C308" s="38" t="n">
        <v>0</v>
      </c>
      <c r="D308" s="38" t="n">
        <v>3406.03533964637</v>
      </c>
      <c r="E308" s="38" t="n">
        <v>0</v>
      </c>
      <c r="F308" s="38" t="n">
        <v>1085.85788311956</v>
      </c>
      <c r="G308" s="38" t="n">
        <v>1190.32996116352</v>
      </c>
      <c r="H308" s="38" t="n">
        <v>5687.50291788274</v>
      </c>
      <c r="I308" s="38" t="n">
        <v>31.9189649015772</v>
      </c>
      <c r="J308" s="38" t="n">
        <v>0</v>
      </c>
      <c r="K308" s="38" t="n">
        <v>45.8584384293943</v>
      </c>
      <c r="L308" s="38" t="n">
        <v>5121.11649629576</v>
      </c>
      <c r="M308" s="21" t="n">
        <f aca="false">SUM(B308:L308)</f>
        <v>16568.6200014389</v>
      </c>
    </row>
    <row r="309" customFormat="false" ht="15" hidden="false" customHeight="false" outlineLevel="0" collapsed="false">
      <c r="A309" s="36" t="n">
        <v>46022</v>
      </c>
      <c r="B309" s="38" t="n">
        <v>0</v>
      </c>
      <c r="C309" s="38" t="n">
        <v>0</v>
      </c>
      <c r="D309" s="38" t="n">
        <v>2477.98554200048</v>
      </c>
      <c r="E309" s="38" t="n">
        <v>0</v>
      </c>
      <c r="F309" s="38" t="n">
        <v>904.245403150466</v>
      </c>
      <c r="G309" s="38" t="n">
        <v>1404.57637549817</v>
      </c>
      <c r="H309" s="38" t="n">
        <v>3191.57599904268</v>
      </c>
      <c r="I309" s="38" t="n">
        <v>35.811643159728</v>
      </c>
      <c r="J309" s="38" t="n">
        <v>0</v>
      </c>
      <c r="K309" s="38" t="n">
        <v>40.9814305441223</v>
      </c>
      <c r="L309" s="38" t="n">
        <v>4391.15489853044</v>
      </c>
      <c r="M309" s="21" t="n">
        <f aca="false">SUM(B309:L309)</f>
        <v>12446.3312919261</v>
      </c>
    </row>
    <row r="310" customFormat="false" ht="15" hidden="false" customHeight="false" outlineLevel="0" collapsed="false">
      <c r="A310" s="36" t="n">
        <v>46023</v>
      </c>
      <c r="B310" s="38" t="n">
        <v>0</v>
      </c>
      <c r="C310" s="38" t="n">
        <v>0</v>
      </c>
      <c r="D310" s="38" t="n">
        <v>2314.83761413926</v>
      </c>
      <c r="E310" s="38" t="n">
        <v>0</v>
      </c>
      <c r="F310" s="38" t="n">
        <v>72.4311995751331</v>
      </c>
      <c r="G310" s="38" t="n">
        <v>185.351749402135</v>
      </c>
      <c r="H310" s="38" t="n">
        <v>1086.28772291027</v>
      </c>
      <c r="I310" s="38" t="n">
        <v>6.70775977988035</v>
      </c>
      <c r="J310" s="38" t="n">
        <v>0</v>
      </c>
      <c r="K310" s="38" t="n">
        <v>37.809738165095</v>
      </c>
      <c r="L310" s="38" t="n">
        <v>966.233970912132</v>
      </c>
      <c r="M310" s="21" t="n">
        <f aca="false">SUM(B310:L310)</f>
        <v>4669.6597548839</v>
      </c>
    </row>
    <row r="311" customFormat="false" ht="15" hidden="false" customHeight="false" outlineLevel="0" collapsed="false">
      <c r="A311" s="36" t="n">
        <v>46024</v>
      </c>
      <c r="B311" s="38" t="n">
        <v>0</v>
      </c>
      <c r="C311" s="38" t="n">
        <v>0</v>
      </c>
      <c r="D311" s="38" t="n">
        <v>4581.64238330904</v>
      </c>
      <c r="E311" s="38" t="n">
        <v>0</v>
      </c>
      <c r="F311" s="38" t="n">
        <v>1815.29271157665</v>
      </c>
      <c r="G311" s="38" t="n">
        <v>1763.13131314363</v>
      </c>
      <c r="H311" s="38" t="n">
        <v>5720.19021651508</v>
      </c>
      <c r="I311" s="38" t="n">
        <v>46.4334760203295</v>
      </c>
      <c r="J311" s="38" t="n">
        <v>0</v>
      </c>
      <c r="K311" s="38" t="n">
        <v>25.3934610131805</v>
      </c>
      <c r="L311" s="38" t="n">
        <v>3569.99500092376</v>
      </c>
      <c r="M311" s="21" t="n">
        <f aca="false">SUM(B311:L311)</f>
        <v>17522.0785625017</v>
      </c>
    </row>
    <row r="312" customFormat="false" ht="15" hidden="false" customHeight="false" outlineLevel="0" collapsed="false">
      <c r="A312" s="36" t="n">
        <v>46025</v>
      </c>
      <c r="B312" s="38" t="n">
        <v>0</v>
      </c>
      <c r="C312" s="38" t="n">
        <v>0</v>
      </c>
      <c r="D312" s="38" t="n">
        <v>3380.02522197689</v>
      </c>
      <c r="E312" s="38" t="n">
        <v>0</v>
      </c>
      <c r="F312" s="38" t="n">
        <v>68.7601788339357</v>
      </c>
      <c r="G312" s="38" t="n">
        <v>562.640444180442</v>
      </c>
      <c r="H312" s="38" t="n">
        <v>1267.51613412228</v>
      </c>
      <c r="I312" s="38" t="n">
        <v>24.1083122786906</v>
      </c>
      <c r="J312" s="38" t="n">
        <v>0</v>
      </c>
      <c r="K312" s="38" t="n">
        <v>25.464755923899</v>
      </c>
      <c r="L312" s="38" t="n">
        <v>884.536350958052</v>
      </c>
      <c r="M312" s="21" t="n">
        <f aca="false">SUM(B312:L312)</f>
        <v>6213.0513982742</v>
      </c>
    </row>
    <row r="313" customFormat="false" ht="15" hidden="false" customHeight="false" outlineLevel="0" collapsed="false">
      <c r="A313" s="36" t="n">
        <v>46026</v>
      </c>
      <c r="B313" s="38" t="n">
        <v>0</v>
      </c>
      <c r="C313" s="38" t="n">
        <v>0</v>
      </c>
      <c r="D313" s="38" t="n">
        <v>3832.55477340851</v>
      </c>
      <c r="E313" s="38" t="n">
        <v>0</v>
      </c>
      <c r="F313" s="38" t="n">
        <v>647.957481286693</v>
      </c>
      <c r="G313" s="38" t="n">
        <v>284.656581758505</v>
      </c>
      <c r="H313" s="38" t="n">
        <v>1168.60738541699</v>
      </c>
      <c r="I313" s="38" t="n">
        <v>51.5337202787626</v>
      </c>
      <c r="J313" s="38" t="n">
        <v>0</v>
      </c>
      <c r="K313" s="38" t="n">
        <v>27.9397954044868</v>
      </c>
      <c r="L313" s="38" t="n">
        <v>1491.33844919357</v>
      </c>
      <c r="M313" s="21" t="n">
        <f aca="false">SUM(B313:L313)</f>
        <v>7504.58818674751</v>
      </c>
    </row>
    <row r="314" customFormat="false" ht="15" hidden="false" customHeight="false" outlineLevel="0" collapsed="false">
      <c r="A314" s="36" t="n">
        <v>46027</v>
      </c>
      <c r="B314" s="38" t="n">
        <v>0</v>
      </c>
      <c r="C314" s="38" t="n">
        <v>0</v>
      </c>
      <c r="D314" s="38" t="n">
        <v>6370.18168613262</v>
      </c>
      <c r="E314" s="38" t="n">
        <v>0</v>
      </c>
      <c r="F314" s="38" t="n">
        <v>3186.54597135376</v>
      </c>
      <c r="G314" s="38" t="n">
        <v>1780.76095873943</v>
      </c>
      <c r="H314" s="38" t="n">
        <v>5330.25383124114</v>
      </c>
      <c r="I314" s="38" t="n">
        <v>43.2075967627423</v>
      </c>
      <c r="J314" s="38" t="n">
        <v>0</v>
      </c>
      <c r="K314" s="38" t="n">
        <v>76.6412288919908</v>
      </c>
      <c r="L314" s="38" t="n">
        <v>5649.38205461686</v>
      </c>
      <c r="M314" s="21" t="n">
        <f aca="false">SUM(B314:L314)</f>
        <v>22436.9733277385</v>
      </c>
    </row>
    <row r="315" customFormat="false" ht="15" hidden="false" customHeight="false" outlineLevel="0" collapsed="false">
      <c r="A315" s="36" t="n">
        <v>46028</v>
      </c>
      <c r="B315" s="38" t="n">
        <v>0</v>
      </c>
      <c r="C315" s="38" t="n">
        <v>0</v>
      </c>
      <c r="D315" s="38" t="n">
        <v>6912.72961313371</v>
      </c>
      <c r="E315" s="38" t="n">
        <v>18.4091219986289</v>
      </c>
      <c r="F315" s="38" t="n">
        <v>3331.43178003943</v>
      </c>
      <c r="G315" s="38" t="n">
        <v>1647.60568661251</v>
      </c>
      <c r="H315" s="38" t="n">
        <v>4575.09416248122</v>
      </c>
      <c r="I315" s="38" t="n">
        <v>64.1058465020095</v>
      </c>
      <c r="J315" s="38" t="n">
        <v>0</v>
      </c>
      <c r="K315" s="38" t="n">
        <v>133.727908553324</v>
      </c>
      <c r="L315" s="38" t="n">
        <v>8454.2836556253</v>
      </c>
      <c r="M315" s="21" t="n">
        <f aca="false">SUM(B315:L315)</f>
        <v>25137.3877749461</v>
      </c>
    </row>
    <row r="316" customFormat="false" ht="15" hidden="false" customHeight="false" outlineLevel="0" collapsed="false">
      <c r="A316" s="36" t="n">
        <v>46029</v>
      </c>
      <c r="B316" s="38" t="n">
        <v>0</v>
      </c>
      <c r="C316" s="38" t="n">
        <v>0</v>
      </c>
      <c r="D316" s="38" t="n">
        <v>5842.9103229537</v>
      </c>
      <c r="E316" s="38" t="n">
        <v>21.6220444706258</v>
      </c>
      <c r="F316" s="38" t="n">
        <v>4233.06695829634</v>
      </c>
      <c r="G316" s="38" t="n">
        <v>1625.96002443245</v>
      </c>
      <c r="H316" s="38" t="n">
        <v>4833.80336860603</v>
      </c>
      <c r="I316" s="38" t="n">
        <v>105.528344342295</v>
      </c>
      <c r="J316" s="38" t="n">
        <v>0</v>
      </c>
      <c r="K316" s="38" t="n">
        <v>103.442383046353</v>
      </c>
      <c r="L316" s="38" t="n">
        <v>6247.30671177725</v>
      </c>
      <c r="M316" s="21" t="n">
        <f aca="false">SUM(B316:L316)</f>
        <v>23013.640157925</v>
      </c>
    </row>
    <row r="317" customFormat="false" ht="15" hidden="false" customHeight="false" outlineLevel="0" collapsed="false">
      <c r="A317" s="36" t="n">
        <v>46030</v>
      </c>
      <c r="B317" s="38" t="n">
        <v>0</v>
      </c>
      <c r="C317" s="38" t="n">
        <v>0</v>
      </c>
      <c r="D317" s="38" t="n">
        <v>7630.9038859015</v>
      </c>
      <c r="E317" s="38" t="n">
        <v>32.5369527262866</v>
      </c>
      <c r="F317" s="38" t="n">
        <v>4462.36571921938</v>
      </c>
      <c r="G317" s="38" t="n">
        <v>2573.2654548855</v>
      </c>
      <c r="H317" s="38" t="n">
        <v>6586.39086210703</v>
      </c>
      <c r="I317" s="38" t="n">
        <v>71.780441976246</v>
      </c>
      <c r="J317" s="38" t="n">
        <v>0</v>
      </c>
      <c r="K317" s="38" t="n">
        <v>61.3318419424865</v>
      </c>
      <c r="L317" s="38" t="n">
        <v>4196.97576102515</v>
      </c>
      <c r="M317" s="21" t="n">
        <f aca="false">SUM(B317:L317)</f>
        <v>25615.5509197836</v>
      </c>
    </row>
    <row r="318" customFormat="false" ht="15" hidden="false" customHeight="false" outlineLevel="0" collapsed="false">
      <c r="A318" s="36" t="n">
        <v>46031</v>
      </c>
      <c r="B318" s="38" t="n">
        <v>0</v>
      </c>
      <c r="C318" s="38" t="n">
        <v>0</v>
      </c>
      <c r="D318" s="38" t="n">
        <v>5896.02495953617</v>
      </c>
      <c r="E318" s="38" t="n">
        <v>62.0575151569997</v>
      </c>
      <c r="F318" s="38" t="n">
        <v>2767.38777152758</v>
      </c>
      <c r="G318" s="38" t="n">
        <v>1292.52638855326</v>
      </c>
      <c r="H318" s="38" t="n">
        <v>5527.77260416937</v>
      </c>
      <c r="I318" s="38" t="n">
        <v>63.005196388718</v>
      </c>
      <c r="J318" s="38" t="n">
        <v>0</v>
      </c>
      <c r="K318" s="38" t="n">
        <v>34.5245889172595</v>
      </c>
      <c r="L318" s="38" t="n">
        <v>3316.12711541554</v>
      </c>
      <c r="M318" s="21" t="n">
        <f aca="false">SUM(B318:L318)</f>
        <v>18959.4261396649</v>
      </c>
    </row>
    <row r="319" customFormat="false" ht="15" hidden="false" customHeight="false" outlineLevel="0" collapsed="false">
      <c r="A319" s="36" t="n">
        <v>46032</v>
      </c>
      <c r="B319" s="38" t="n">
        <v>0</v>
      </c>
      <c r="C319" s="38" t="n">
        <v>0</v>
      </c>
      <c r="D319" s="38" t="n">
        <v>3142.14609202757</v>
      </c>
      <c r="E319" s="38" t="n">
        <v>9.52716374740708</v>
      </c>
      <c r="F319" s="38" t="n">
        <v>240.640923994606</v>
      </c>
      <c r="G319" s="38" t="n">
        <v>293.168918827968</v>
      </c>
      <c r="H319" s="38" t="n">
        <v>1230.24908033332</v>
      </c>
      <c r="I319" s="38" t="n">
        <v>12.1970525627494</v>
      </c>
      <c r="J319" s="38" t="n">
        <v>0</v>
      </c>
      <c r="K319" s="38" t="n">
        <v>10.420985029246</v>
      </c>
      <c r="L319" s="38" t="n">
        <v>1898.06934591814</v>
      </c>
      <c r="M319" s="21" t="n">
        <f aca="false">SUM(B319:L319)</f>
        <v>6836.419562441</v>
      </c>
    </row>
    <row r="320" customFormat="false" ht="15" hidden="false" customHeight="false" outlineLevel="0" collapsed="false">
      <c r="A320" s="36" t="n">
        <v>46033</v>
      </c>
      <c r="B320" s="38" t="n">
        <v>0</v>
      </c>
      <c r="C320" s="38" t="n">
        <v>0</v>
      </c>
      <c r="D320" s="38" t="n">
        <v>5224.1359242243</v>
      </c>
      <c r="E320" s="38" t="n">
        <v>42.2080030238284</v>
      </c>
      <c r="F320" s="38" t="n">
        <v>468.31593969468</v>
      </c>
      <c r="G320" s="38" t="n">
        <v>218.472067147262</v>
      </c>
      <c r="H320" s="38" t="n">
        <v>1626.65564171252</v>
      </c>
      <c r="I320" s="38" t="n">
        <v>2092.14799000294</v>
      </c>
      <c r="J320" s="38" t="n">
        <v>0</v>
      </c>
      <c r="K320" s="38" t="n">
        <v>20.6435131672988</v>
      </c>
      <c r="L320" s="38" t="n">
        <v>2599.8224969858</v>
      </c>
      <c r="M320" s="21" t="n">
        <f aca="false">SUM(B320:L320)</f>
        <v>12292.4015759586</v>
      </c>
    </row>
    <row r="321" customFormat="false" ht="15" hidden="false" customHeight="false" outlineLevel="0" collapsed="false">
      <c r="A321" s="36" t="n">
        <v>46034</v>
      </c>
      <c r="B321" s="38" t="n">
        <v>0</v>
      </c>
      <c r="C321" s="38" t="n">
        <v>0</v>
      </c>
      <c r="D321" s="38" t="n">
        <v>10691.1637860183</v>
      </c>
      <c r="E321" s="38" t="n">
        <v>123.508829071847</v>
      </c>
      <c r="F321" s="38" t="n">
        <v>2726.95120891538</v>
      </c>
      <c r="G321" s="38" t="n">
        <v>2047.63544548116</v>
      </c>
      <c r="H321" s="38" t="n">
        <v>6246.97335775799</v>
      </c>
      <c r="I321" s="38" t="n">
        <v>254.774890630014</v>
      </c>
      <c r="J321" s="38" t="n">
        <v>0</v>
      </c>
      <c r="K321" s="38" t="n">
        <v>45.6678407711158</v>
      </c>
      <c r="L321" s="38" t="n">
        <v>13689.8345401862</v>
      </c>
      <c r="M321" s="21" t="n">
        <f aca="false">SUM(B321:L321)</f>
        <v>35826.5098988319</v>
      </c>
    </row>
    <row r="322" customFormat="false" ht="15" hidden="false" customHeight="false" outlineLevel="0" collapsed="false">
      <c r="A322" s="36" t="n">
        <v>46035</v>
      </c>
      <c r="B322" s="38" t="n">
        <v>0</v>
      </c>
      <c r="C322" s="38" t="n">
        <v>0</v>
      </c>
      <c r="D322" s="38" t="n">
        <v>10889.6016082334</v>
      </c>
      <c r="E322" s="38" t="n">
        <v>265.846266906076</v>
      </c>
      <c r="F322" s="38" t="n">
        <v>4157.14083069783</v>
      </c>
      <c r="G322" s="38" t="n">
        <v>2659.07683193855</v>
      </c>
      <c r="H322" s="38" t="n">
        <v>8297.79084170579</v>
      </c>
      <c r="I322" s="38" t="n">
        <v>126.027383346819</v>
      </c>
      <c r="J322" s="38" t="n">
        <v>0</v>
      </c>
      <c r="K322" s="38" t="n">
        <v>63.3348862669563</v>
      </c>
      <c r="L322" s="38" t="n">
        <v>10186.353377091</v>
      </c>
      <c r="M322" s="21" t="n">
        <f aca="false">SUM(B322:L322)</f>
        <v>36645.1720261864</v>
      </c>
    </row>
    <row r="323" customFormat="false" ht="15" hidden="false" customHeight="false" outlineLevel="0" collapsed="false">
      <c r="A323" s="36" t="n">
        <v>46036</v>
      </c>
      <c r="B323" s="38" t="n">
        <v>0</v>
      </c>
      <c r="C323" s="38" t="n">
        <v>0</v>
      </c>
      <c r="D323" s="38" t="n">
        <v>11701.5166991419</v>
      </c>
      <c r="E323" s="38" t="n">
        <v>301.30968536743</v>
      </c>
      <c r="F323" s="38" t="n">
        <v>6365.85167225327</v>
      </c>
      <c r="G323" s="38" t="n">
        <v>2315.64029250652</v>
      </c>
      <c r="H323" s="38" t="n">
        <v>10497.9463983164</v>
      </c>
      <c r="I323" s="38" t="n">
        <v>84.1082773200006</v>
      </c>
      <c r="J323" s="38" t="n">
        <v>47.2852884019677</v>
      </c>
      <c r="K323" s="38" t="n">
        <v>251.8756827838</v>
      </c>
      <c r="L323" s="38" t="n">
        <v>14415.1967368924</v>
      </c>
      <c r="M323" s="21" t="n">
        <f aca="false">SUM(B323:L323)</f>
        <v>45980.7307329837</v>
      </c>
    </row>
    <row r="324" customFormat="false" ht="15" hidden="false" customHeight="false" outlineLevel="0" collapsed="false">
      <c r="A324" s="36" t="n">
        <v>46037</v>
      </c>
      <c r="B324" s="38" t="n">
        <v>0</v>
      </c>
      <c r="C324" s="38" t="n">
        <v>0</v>
      </c>
      <c r="D324" s="38" t="n">
        <v>10117.3635807267</v>
      </c>
      <c r="E324" s="38" t="n">
        <v>170.185856192438</v>
      </c>
      <c r="F324" s="38" t="n">
        <v>5132.83606383471</v>
      </c>
      <c r="G324" s="38" t="n">
        <v>1980.78836176228</v>
      </c>
      <c r="H324" s="38" t="n">
        <v>9532.40692027791</v>
      </c>
      <c r="I324" s="38" t="n">
        <v>107.97115237333</v>
      </c>
      <c r="J324" s="38" t="n">
        <v>91.5135081978567</v>
      </c>
      <c r="K324" s="38" t="n">
        <v>161.570242487029</v>
      </c>
      <c r="L324" s="38" t="n">
        <v>18582.9286708117</v>
      </c>
      <c r="M324" s="21" t="n">
        <f aca="false">SUM(B324:L324)</f>
        <v>45877.564356664</v>
      </c>
    </row>
    <row r="325" customFormat="false" ht="15" hidden="false" customHeight="false" outlineLevel="0" collapsed="false">
      <c r="A325" s="36" t="n">
        <v>46038</v>
      </c>
      <c r="B325" s="38" t="n">
        <v>0</v>
      </c>
      <c r="C325" s="38" t="n">
        <v>0</v>
      </c>
      <c r="D325" s="38" t="n">
        <v>5711.36023376819</v>
      </c>
      <c r="E325" s="38" t="n">
        <v>98.180426297913</v>
      </c>
      <c r="F325" s="38" t="n">
        <v>2661.1287115279</v>
      </c>
      <c r="G325" s="38" t="n">
        <v>2151.28493645726</v>
      </c>
      <c r="H325" s="38" t="n">
        <v>6499.34853121464</v>
      </c>
      <c r="I325" s="38" t="n">
        <v>104.582633026578</v>
      </c>
      <c r="J325" s="38" t="n">
        <v>335.834131007217</v>
      </c>
      <c r="K325" s="38" t="n">
        <v>316.278331468166</v>
      </c>
      <c r="L325" s="38" t="n">
        <v>20130.8680453924</v>
      </c>
      <c r="M325" s="21" t="n">
        <f aca="false">SUM(B325:L325)</f>
        <v>38008.8659801603</v>
      </c>
    </row>
    <row r="326" customFormat="false" ht="15" hidden="false" customHeight="false" outlineLevel="0" collapsed="false">
      <c r="A326" s="36" t="n">
        <v>46039</v>
      </c>
      <c r="B326" s="38" t="n">
        <v>0</v>
      </c>
      <c r="C326" s="38" t="n">
        <v>0</v>
      </c>
      <c r="D326" s="38" t="n">
        <v>4704.07554143783</v>
      </c>
      <c r="E326" s="38" t="n">
        <v>11.322330041423</v>
      </c>
      <c r="F326" s="38" t="n">
        <v>131.931443232167</v>
      </c>
      <c r="G326" s="38" t="n">
        <v>408.053386142814</v>
      </c>
      <c r="H326" s="38" t="n">
        <v>3715.45932015545</v>
      </c>
      <c r="I326" s="38" t="n">
        <v>63.7694948255382</v>
      </c>
      <c r="J326" s="38" t="n">
        <v>54.4523011205131</v>
      </c>
      <c r="K326" s="38" t="n">
        <v>48.5788701729623</v>
      </c>
      <c r="L326" s="38" t="n">
        <v>987.750241131643</v>
      </c>
      <c r="M326" s="21" t="n">
        <f aca="false">SUM(B326:L326)</f>
        <v>10125.3929282603</v>
      </c>
    </row>
    <row r="327" customFormat="false" ht="15" hidden="false" customHeight="false" outlineLevel="0" collapsed="false">
      <c r="A327" s="36" t="n">
        <v>46040</v>
      </c>
      <c r="B327" s="38" t="n">
        <v>0</v>
      </c>
      <c r="C327" s="38" t="n">
        <v>0</v>
      </c>
      <c r="D327" s="38" t="n">
        <v>5646.29062831351</v>
      </c>
      <c r="E327" s="38" t="n">
        <v>34.1357300543655</v>
      </c>
      <c r="F327" s="38" t="n">
        <v>344.410825737373</v>
      </c>
      <c r="G327" s="38" t="n">
        <v>214.08954285513</v>
      </c>
      <c r="H327" s="38" t="n">
        <v>2869.25477807161</v>
      </c>
      <c r="I327" s="38" t="n">
        <v>79.6444809756832</v>
      </c>
      <c r="J327" s="38" t="n">
        <v>68.2593352563181</v>
      </c>
      <c r="K327" s="38" t="n">
        <v>184.761484281203</v>
      </c>
      <c r="L327" s="38" t="n">
        <v>5834.98504494605</v>
      </c>
      <c r="M327" s="21" t="n">
        <f aca="false">SUM(B327:L327)</f>
        <v>15275.8318504912</v>
      </c>
    </row>
    <row r="328" customFormat="false" ht="15" hidden="false" customHeight="false" outlineLevel="0" collapsed="false">
      <c r="A328" s="36" t="n">
        <v>46041</v>
      </c>
      <c r="B328" s="38" t="n">
        <v>0</v>
      </c>
      <c r="C328" s="38" t="n">
        <v>0</v>
      </c>
      <c r="D328" s="38" t="n">
        <v>9452.73079365504</v>
      </c>
      <c r="E328" s="38" t="n">
        <v>45.2266350200081</v>
      </c>
      <c r="F328" s="38" t="n">
        <v>1282.13303039972</v>
      </c>
      <c r="G328" s="38" t="n">
        <v>1059.16140085364</v>
      </c>
      <c r="H328" s="38" t="n">
        <v>6033.93823690583</v>
      </c>
      <c r="I328" s="38" t="n">
        <v>95.7115859302203</v>
      </c>
      <c r="J328" s="38" t="n">
        <v>557.356375526241</v>
      </c>
      <c r="K328" s="38" t="n">
        <v>71.0663974870707</v>
      </c>
      <c r="L328" s="38" t="n">
        <v>13406.0520867759</v>
      </c>
      <c r="M328" s="21" t="n">
        <f aca="false">SUM(B328:L328)</f>
        <v>32003.3765425537</v>
      </c>
    </row>
    <row r="329" customFormat="false" ht="15" hidden="false" customHeight="false" outlineLevel="0" collapsed="false">
      <c r="A329" s="36" t="n">
        <v>46042</v>
      </c>
      <c r="B329" s="38" t="n">
        <v>0</v>
      </c>
      <c r="C329" s="38" t="n">
        <v>0</v>
      </c>
      <c r="D329" s="38" t="n">
        <v>11395.9303256028</v>
      </c>
      <c r="E329" s="38" t="n">
        <v>115.672461904062</v>
      </c>
      <c r="F329" s="38" t="n">
        <v>3756.05655081777</v>
      </c>
      <c r="G329" s="38" t="n">
        <v>4031.59966348379</v>
      </c>
      <c r="H329" s="38" t="n">
        <v>9850.71954705652</v>
      </c>
      <c r="I329" s="38" t="n">
        <v>182.412942626168</v>
      </c>
      <c r="J329" s="38" t="n">
        <v>753.640852689158</v>
      </c>
      <c r="K329" s="38" t="n">
        <v>21.1189801751268</v>
      </c>
      <c r="L329" s="38" t="n">
        <v>17857.9754039083</v>
      </c>
      <c r="M329" s="21" t="n">
        <f aca="false">SUM(B329:L329)</f>
        <v>47965.1267282637</v>
      </c>
    </row>
    <row r="330" customFormat="false" ht="15" hidden="false" customHeight="false" outlineLevel="0" collapsed="false">
      <c r="A330" s="36" t="n">
        <v>46043</v>
      </c>
      <c r="B330" s="38" t="n">
        <v>0</v>
      </c>
      <c r="C330" s="38" t="n">
        <v>4.83231597805275</v>
      </c>
      <c r="D330" s="38" t="n">
        <v>11966.2068872982</v>
      </c>
      <c r="E330" s="38" t="n">
        <v>139.160301235498</v>
      </c>
      <c r="F330" s="38" t="n">
        <v>2820.39494491843</v>
      </c>
      <c r="G330" s="38" t="n">
        <v>4529.02334569891</v>
      </c>
      <c r="H330" s="38" t="n">
        <v>12332.6573641807</v>
      </c>
      <c r="I330" s="38" t="n">
        <v>134.153940604171</v>
      </c>
      <c r="J330" s="38" t="n">
        <v>1019.56650945024</v>
      </c>
      <c r="K330" s="38" t="n">
        <v>85.0262369657355</v>
      </c>
      <c r="L330" s="38" t="n">
        <v>39274.2017355136</v>
      </c>
      <c r="M330" s="21" t="n">
        <f aca="false">SUM(B330:L330)</f>
        <v>72305.2235818436</v>
      </c>
    </row>
    <row r="331" customFormat="false" ht="15" hidden="false" customHeight="false" outlineLevel="0" collapsed="false">
      <c r="A331" s="36" t="n">
        <v>46044</v>
      </c>
      <c r="B331" s="38" t="n">
        <v>0</v>
      </c>
      <c r="C331" s="38" t="n">
        <v>7.61441568394112</v>
      </c>
      <c r="D331" s="38" t="n">
        <v>6157.30011622904</v>
      </c>
      <c r="E331" s="38" t="n">
        <v>480.722646821437</v>
      </c>
      <c r="F331" s="38" t="n">
        <v>3180.00338579667</v>
      </c>
      <c r="G331" s="38" t="n">
        <v>4842.76452416998</v>
      </c>
      <c r="H331" s="38" t="n">
        <v>13070.1428362408</v>
      </c>
      <c r="I331" s="38" t="n">
        <v>128.373340795289</v>
      </c>
      <c r="J331" s="38" t="n">
        <v>290.144402273603</v>
      </c>
      <c r="K331" s="38" t="n">
        <v>160.2684605733</v>
      </c>
      <c r="L331" s="38" t="n">
        <v>25331.1744252512</v>
      </c>
      <c r="M331" s="21" t="n">
        <f aca="false">SUM(B331:L331)</f>
        <v>53648.5085538352</v>
      </c>
    </row>
    <row r="332" customFormat="false" ht="15" hidden="false" customHeight="false" outlineLevel="0" collapsed="false">
      <c r="A332" s="36" t="n">
        <v>46045</v>
      </c>
      <c r="B332" s="38" t="n">
        <v>0</v>
      </c>
      <c r="C332" s="38" t="n">
        <v>18.3460731139177</v>
      </c>
      <c r="D332" s="38" t="n">
        <v>8307.26650570685</v>
      </c>
      <c r="E332" s="38" t="n">
        <v>398.856218061766</v>
      </c>
      <c r="F332" s="38" t="n">
        <v>1948.49927812823</v>
      </c>
      <c r="G332" s="38" t="n">
        <v>3841.99045185742</v>
      </c>
      <c r="H332" s="38" t="n">
        <v>8353.32912869374</v>
      </c>
      <c r="I332" s="38" t="n">
        <v>229.070717080717</v>
      </c>
      <c r="J332" s="38" t="n">
        <v>1313.66452932423</v>
      </c>
      <c r="K332" s="38" t="n">
        <v>110.590857550833</v>
      </c>
      <c r="L332" s="38" t="n">
        <v>32486.4473068077</v>
      </c>
      <c r="M332" s="21" t="n">
        <f aca="false">SUM(B332:L332)</f>
        <v>57008.0610663254</v>
      </c>
    </row>
    <row r="333" customFormat="false" ht="15" hidden="false" customHeight="false" outlineLevel="0" collapsed="false">
      <c r="A333" s="36" t="n">
        <v>46046</v>
      </c>
      <c r="B333" s="38" t="n">
        <v>0</v>
      </c>
      <c r="C333" s="38" t="n">
        <v>6.22161651015629</v>
      </c>
      <c r="D333" s="38" t="n">
        <v>5759.98322050804</v>
      </c>
      <c r="E333" s="38" t="n">
        <v>281.122681260557</v>
      </c>
      <c r="F333" s="38" t="n">
        <v>53.9513423525481</v>
      </c>
      <c r="G333" s="38" t="n">
        <v>291.538074990242</v>
      </c>
      <c r="H333" s="38" t="n">
        <v>1852.14975110616</v>
      </c>
      <c r="I333" s="38" t="n">
        <v>57.1390430142626</v>
      </c>
      <c r="J333" s="38" t="n">
        <v>893.748214750571</v>
      </c>
      <c r="K333" s="38" t="n">
        <v>19.0149482202788</v>
      </c>
      <c r="L333" s="38" t="n">
        <v>7381.51400514594</v>
      </c>
      <c r="M333" s="21" t="n">
        <f aca="false">SUM(B333:L333)</f>
        <v>16596.3828978588</v>
      </c>
    </row>
    <row r="334" customFormat="false" ht="15" hidden="false" customHeight="false" outlineLevel="0" collapsed="false">
      <c r="A334" s="36" t="n">
        <v>46047</v>
      </c>
      <c r="B334" s="38" t="n">
        <v>0</v>
      </c>
      <c r="C334" s="38" t="n">
        <v>3.67017251322769</v>
      </c>
      <c r="D334" s="38" t="n">
        <v>11009.7673168496</v>
      </c>
      <c r="E334" s="38" t="n">
        <v>362.520456679079</v>
      </c>
      <c r="F334" s="38" t="n">
        <v>443.979326362159</v>
      </c>
      <c r="G334" s="38" t="n">
        <v>1356.47865800997</v>
      </c>
      <c r="H334" s="38" t="n">
        <v>3341.05186920566</v>
      </c>
      <c r="I334" s="38" t="n">
        <v>1718.31643377476</v>
      </c>
      <c r="J334" s="38" t="n">
        <v>966.971454542205</v>
      </c>
      <c r="K334" s="38" t="n">
        <v>62.7881676143805</v>
      </c>
      <c r="L334" s="38" t="n">
        <v>16885.8776750123</v>
      </c>
      <c r="M334" s="21" t="n">
        <f aca="false">SUM(B334:L334)</f>
        <v>36151.4215305634</v>
      </c>
    </row>
    <row r="335" customFormat="false" ht="15" hidden="false" customHeight="false" outlineLevel="0" collapsed="false">
      <c r="A335" s="36" t="n">
        <v>46048</v>
      </c>
      <c r="B335" s="38" t="n">
        <v>0</v>
      </c>
      <c r="C335" s="38" t="n">
        <v>34.8961646134306</v>
      </c>
      <c r="D335" s="38" t="n">
        <v>8952.30405082349</v>
      </c>
      <c r="E335" s="38" t="n">
        <v>630.062876972358</v>
      </c>
      <c r="F335" s="38" t="n">
        <v>2560.5767115602</v>
      </c>
      <c r="G335" s="38" t="n">
        <v>3278.55969204539</v>
      </c>
      <c r="H335" s="38" t="n">
        <v>8837.30849940818</v>
      </c>
      <c r="I335" s="38" t="n">
        <v>314.988663419325</v>
      </c>
      <c r="J335" s="38" t="n">
        <v>3258.92383977833</v>
      </c>
      <c r="K335" s="38" t="n">
        <v>111.688326376952</v>
      </c>
      <c r="L335" s="38" t="n">
        <v>79632.6399319717</v>
      </c>
      <c r="M335" s="21" t="n">
        <f aca="false">SUM(B335:L335)</f>
        <v>107611.948756969</v>
      </c>
    </row>
    <row r="336" customFormat="false" ht="15" hidden="false" customHeight="false" outlineLevel="0" collapsed="false">
      <c r="A336" s="36" t="n">
        <v>46049</v>
      </c>
      <c r="B336" s="38" t="n">
        <v>0</v>
      </c>
      <c r="C336" s="38" t="n">
        <v>24.9942417187003</v>
      </c>
      <c r="D336" s="38" t="n">
        <v>10573.6425624493</v>
      </c>
      <c r="E336" s="38" t="n">
        <v>445.258430260077</v>
      </c>
      <c r="F336" s="38" t="n">
        <v>2488.4476041968</v>
      </c>
      <c r="G336" s="38" t="n">
        <v>3261.00923852182</v>
      </c>
      <c r="H336" s="38" t="n">
        <v>7680.6199620704</v>
      </c>
      <c r="I336" s="38" t="n">
        <v>351.190350133255</v>
      </c>
      <c r="J336" s="38" t="n">
        <v>1534.37417323208</v>
      </c>
      <c r="K336" s="38" t="n">
        <v>149.983755764673</v>
      </c>
      <c r="L336" s="38" t="n">
        <v>83516.4936356732</v>
      </c>
      <c r="M336" s="21" t="n">
        <f aca="false">SUM(B336:L336)</f>
        <v>110026.01395402</v>
      </c>
    </row>
    <row r="337" customFormat="false" ht="15" hidden="false" customHeight="false" outlineLevel="0" collapsed="false">
      <c r="A337" s="36" t="n">
        <v>46050</v>
      </c>
      <c r="B337" s="38" t="n">
        <v>0</v>
      </c>
      <c r="C337" s="38" t="n">
        <v>22.7948004307049</v>
      </c>
      <c r="D337" s="38" t="n">
        <v>11581.645477054</v>
      </c>
      <c r="E337" s="38" t="n">
        <v>678.833708045838</v>
      </c>
      <c r="F337" s="38" t="n">
        <v>1661.07008089083</v>
      </c>
      <c r="G337" s="38" t="n">
        <v>7365.41000184267</v>
      </c>
      <c r="H337" s="38" t="n">
        <v>11920.3929359388</v>
      </c>
      <c r="I337" s="38" t="n">
        <v>372.784322934994</v>
      </c>
      <c r="J337" s="38" t="n">
        <v>1496.77361864098</v>
      </c>
      <c r="K337" s="38" t="n">
        <v>143.572161159725</v>
      </c>
      <c r="L337" s="38" t="n">
        <v>116473.4678819</v>
      </c>
      <c r="M337" s="21" t="n">
        <f aca="false">SUM(B337:L337)</f>
        <v>151716.744988839</v>
      </c>
    </row>
    <row r="338" customFormat="false" ht="15" hidden="false" customHeight="false" outlineLevel="0" collapsed="false">
      <c r="A338" s="36" t="n">
        <v>46051</v>
      </c>
      <c r="B338" s="38" t="n">
        <v>0</v>
      </c>
      <c r="C338" s="38" t="n">
        <v>11.0819251246031</v>
      </c>
      <c r="D338" s="38" t="n">
        <v>15227.5549490638</v>
      </c>
      <c r="E338" s="38" t="n">
        <v>840.814260492665</v>
      </c>
      <c r="F338" s="38" t="n">
        <v>2447.89350867401</v>
      </c>
      <c r="G338" s="38" t="n">
        <v>10368.1098941362</v>
      </c>
      <c r="H338" s="38" t="n">
        <v>14721.090800898</v>
      </c>
      <c r="I338" s="38" t="n">
        <v>251.484015077319</v>
      </c>
      <c r="J338" s="38" t="n">
        <v>8905.87098593349</v>
      </c>
      <c r="K338" s="38" t="n">
        <v>177.984673042758</v>
      </c>
      <c r="L338" s="38" t="n">
        <v>203894.274767072</v>
      </c>
      <c r="M338" s="21" t="n">
        <f aca="false">SUM(B338:L338)</f>
        <v>256846.159779515</v>
      </c>
    </row>
    <row r="339" customFormat="false" ht="15" hidden="false" customHeight="false" outlineLevel="0" collapsed="false">
      <c r="A339" s="36" t="n">
        <v>46052</v>
      </c>
      <c r="B339" s="38" t="n">
        <v>0</v>
      </c>
      <c r="C339" s="38" t="n">
        <v>6.9847691489008</v>
      </c>
      <c r="D339" s="38" t="n">
        <v>16034.3839167358</v>
      </c>
      <c r="E339" s="38" t="n">
        <v>745.977033510706</v>
      </c>
      <c r="F339" s="38" t="n">
        <v>3979.28271809164</v>
      </c>
      <c r="G339" s="38" t="n">
        <v>6551.38521346885</v>
      </c>
      <c r="H339" s="38" t="n">
        <v>16923.1832768097</v>
      </c>
      <c r="I339" s="38" t="n">
        <v>255.31742974397</v>
      </c>
      <c r="J339" s="38" t="n">
        <v>7800.27896135767</v>
      </c>
      <c r="K339" s="38" t="n">
        <v>483.962563360529</v>
      </c>
      <c r="L339" s="38" t="n">
        <v>290177.907153222</v>
      </c>
      <c r="M339" s="21" t="n">
        <f aca="false">SUM(B339:L339)</f>
        <v>342958.663035449</v>
      </c>
    </row>
    <row r="340" customFormat="false" ht="15" hidden="false" customHeight="false" outlineLevel="0" collapsed="false">
      <c r="A340" s="36" t="n">
        <v>46053</v>
      </c>
      <c r="B340" s="38" t="n">
        <v>0</v>
      </c>
      <c r="C340" s="38" t="n">
        <v>18.8202863298472</v>
      </c>
      <c r="D340" s="38" t="n">
        <v>17063.3697732422</v>
      </c>
      <c r="E340" s="38" t="n">
        <v>78.3679183893988</v>
      </c>
      <c r="F340" s="38" t="n">
        <v>1827.13487378796</v>
      </c>
      <c r="G340" s="38" t="n">
        <v>1127.90537799868</v>
      </c>
      <c r="H340" s="38" t="n">
        <v>2526.22458539541</v>
      </c>
      <c r="I340" s="38" t="n">
        <v>63.8096782610375</v>
      </c>
      <c r="J340" s="38" t="n">
        <v>727.796029692928</v>
      </c>
      <c r="K340" s="38" t="n">
        <v>121.833765895435</v>
      </c>
      <c r="L340" s="38" t="n">
        <v>24793.8700697013</v>
      </c>
      <c r="M340" s="21" t="n">
        <f aca="false">SUM(B340:L340)</f>
        <v>48349.1323586942</v>
      </c>
    </row>
    <row r="341" customFormat="false" ht="15" hidden="false" customHeight="false" outlineLevel="0" collapsed="false">
      <c r="A341" s="36" t="n">
        <v>46054</v>
      </c>
      <c r="B341" s="38" t="n">
        <v>0</v>
      </c>
      <c r="C341" s="38" t="n">
        <v>7.59483471621425</v>
      </c>
      <c r="D341" s="38" t="n">
        <v>11087.5660157151</v>
      </c>
      <c r="E341" s="38" t="n">
        <v>236.963235575917</v>
      </c>
      <c r="F341" s="38" t="n">
        <v>2332.54268067928</v>
      </c>
      <c r="G341" s="38" t="n">
        <v>1755.9677284507</v>
      </c>
      <c r="H341" s="38" t="n">
        <v>3016.85976150288</v>
      </c>
      <c r="I341" s="38" t="n">
        <v>83.7270291741138</v>
      </c>
      <c r="J341" s="38" t="n">
        <v>557.716985375331</v>
      </c>
      <c r="K341" s="38" t="n">
        <v>31.4097562715568</v>
      </c>
      <c r="L341" s="38" t="n">
        <v>32906.5494267112</v>
      </c>
      <c r="M341" s="21" t="n">
        <f aca="false">SUM(B341:L341)</f>
        <v>52016.8974541723</v>
      </c>
    </row>
    <row r="342" customFormat="false" ht="15" hidden="false" customHeight="false" outlineLevel="0" collapsed="false">
      <c r="A342" s="36" t="n">
        <v>46055</v>
      </c>
      <c r="B342" s="38" t="n">
        <v>0</v>
      </c>
      <c r="C342" s="38" t="n">
        <v>10.4663860920089</v>
      </c>
      <c r="D342" s="38" t="n">
        <v>15281.0996992708</v>
      </c>
      <c r="E342" s="38" t="n">
        <v>965.241020040875</v>
      </c>
      <c r="F342" s="38" t="n">
        <v>9911.71063324741</v>
      </c>
      <c r="G342" s="38" t="n">
        <v>14043.0730173559</v>
      </c>
      <c r="H342" s="38" t="n">
        <v>21619.1774705918</v>
      </c>
      <c r="I342" s="38" t="n">
        <v>214.57091583623</v>
      </c>
      <c r="J342" s="38" t="n">
        <v>2940.30091053432</v>
      </c>
      <c r="K342" s="38" t="n">
        <v>104.552675605928</v>
      </c>
      <c r="L342" s="38" t="n">
        <v>197050.606747789</v>
      </c>
      <c r="M342" s="21" t="n">
        <f aca="false">SUM(B342:L342)</f>
        <v>262140.799476364</v>
      </c>
    </row>
    <row r="343" customFormat="false" ht="15" hidden="false" customHeight="false" outlineLevel="0" collapsed="false">
      <c r="A343" s="36" t="n">
        <v>46056</v>
      </c>
      <c r="B343" s="38" t="n">
        <v>0</v>
      </c>
      <c r="C343" s="38" t="n">
        <v>6.80528788025006</v>
      </c>
      <c r="D343" s="38" t="n">
        <v>18802.3889260207</v>
      </c>
      <c r="E343" s="38" t="n">
        <v>934.718015507351</v>
      </c>
      <c r="F343" s="38" t="n">
        <v>7397.29935445657</v>
      </c>
      <c r="G343" s="38" t="n">
        <v>20570.6052105305</v>
      </c>
      <c r="H343" s="38" t="n">
        <v>12605.5008858248</v>
      </c>
      <c r="I343" s="38" t="n">
        <v>161.393591825432</v>
      </c>
      <c r="J343" s="38" t="n">
        <v>3302.84700101229</v>
      </c>
      <c r="K343" s="38" t="n">
        <v>598.21618436876</v>
      </c>
      <c r="L343" s="38" t="n">
        <v>163172.219622736</v>
      </c>
      <c r="M343" s="21" t="n">
        <f aca="false">SUM(B343:L343)</f>
        <v>227551.994080162</v>
      </c>
    </row>
    <row r="344" customFormat="false" ht="15" hidden="false" customHeight="false" outlineLevel="0" collapsed="false">
      <c r="A344" s="36" t="n">
        <v>46057</v>
      </c>
      <c r="B344" s="38" t="n">
        <v>0</v>
      </c>
      <c r="C344" s="38" t="n">
        <v>16.5900754744835</v>
      </c>
      <c r="D344" s="38" t="n">
        <v>16298.0997148576</v>
      </c>
      <c r="E344" s="38" t="n">
        <v>667.521612054941</v>
      </c>
      <c r="F344" s="38" t="n">
        <v>3756.58370067807</v>
      </c>
      <c r="G344" s="38" t="n">
        <v>9788.61034267855</v>
      </c>
      <c r="H344" s="38" t="n">
        <v>16004.9261788411</v>
      </c>
      <c r="I344" s="38" t="n">
        <v>200.14112274849</v>
      </c>
      <c r="J344" s="38" t="n">
        <v>1777.36186985683</v>
      </c>
      <c r="K344" s="38" t="n">
        <v>280.209224033094</v>
      </c>
      <c r="L344" s="38" t="n">
        <v>130579.362947477</v>
      </c>
      <c r="M344" s="21" t="n">
        <f aca="false">SUM(B344:L344)</f>
        <v>179369.406788701</v>
      </c>
    </row>
    <row r="345" customFormat="false" ht="15" hidden="false" customHeight="false" outlineLevel="0" collapsed="false">
      <c r="A345" s="36" t="n">
        <v>46058</v>
      </c>
      <c r="B345" s="38" t="n">
        <v>0</v>
      </c>
      <c r="C345" s="38" t="n">
        <v>16.0670067341566</v>
      </c>
      <c r="D345" s="38" t="n">
        <v>29499.4874515321</v>
      </c>
      <c r="E345" s="38" t="n">
        <v>539.46554625745</v>
      </c>
      <c r="F345" s="38" t="n">
        <v>8085.40900825508</v>
      </c>
      <c r="G345" s="38" t="n">
        <v>11976.4122513247</v>
      </c>
      <c r="H345" s="38" t="n">
        <v>23027.7291467452</v>
      </c>
      <c r="I345" s="38" t="n">
        <v>147.391669734465</v>
      </c>
      <c r="J345" s="38" t="n">
        <v>1747.1717220912</v>
      </c>
      <c r="K345" s="38" t="n">
        <v>244.908797438711</v>
      </c>
      <c r="L345" s="38" t="n">
        <v>188997.328465151</v>
      </c>
      <c r="M345" s="21" t="n">
        <f aca="false">SUM(B345:L345)</f>
        <v>264281.371065264</v>
      </c>
    </row>
    <row r="346" customFormat="false" ht="15" hidden="false" customHeight="false" outlineLevel="0" collapsed="false">
      <c r="A346" s="36" t="n">
        <v>46059</v>
      </c>
      <c r="B346" s="38" t="n">
        <v>0</v>
      </c>
      <c r="C346" s="38" t="n">
        <v>8.92609152729476</v>
      </c>
      <c r="D346" s="38" t="n">
        <v>23450.4097587455</v>
      </c>
      <c r="E346" s="38" t="n">
        <v>376.510448168942</v>
      </c>
      <c r="F346" s="38" t="n">
        <v>8321.80888145815</v>
      </c>
      <c r="G346" s="38" t="n">
        <v>9241.25799881687</v>
      </c>
      <c r="H346" s="38" t="n">
        <v>16118.9789156793</v>
      </c>
      <c r="I346" s="38" t="n">
        <v>176.630519439764</v>
      </c>
      <c r="J346" s="38" t="n">
        <v>1102.06405230278</v>
      </c>
      <c r="K346" s="38" t="n">
        <v>197.283398000345</v>
      </c>
      <c r="L346" s="38" t="n">
        <v>102454.011570471</v>
      </c>
      <c r="M346" s="21" t="n">
        <f aca="false">SUM(B346:L346)</f>
        <v>161447.88163461</v>
      </c>
    </row>
    <row r="347" customFormat="false" ht="15" hidden="false" customHeight="false" outlineLevel="0" collapsed="false">
      <c r="A347" s="36" t="n">
        <v>46060</v>
      </c>
      <c r="B347" s="38" t="n">
        <v>0</v>
      </c>
      <c r="C347" s="38" t="n">
        <v>1.16070620401901</v>
      </c>
      <c r="D347" s="38" t="n">
        <v>9879.05964293598</v>
      </c>
      <c r="E347" s="38" t="n">
        <v>34.9469842258119</v>
      </c>
      <c r="F347" s="38" t="n">
        <v>1664.91689780069</v>
      </c>
      <c r="G347" s="38" t="n">
        <v>493.334040012502</v>
      </c>
      <c r="H347" s="38" t="n">
        <v>1508.40466847686</v>
      </c>
      <c r="I347" s="38" t="n">
        <v>29.4002012566637</v>
      </c>
      <c r="J347" s="38" t="n">
        <v>61.4527259951316</v>
      </c>
      <c r="K347" s="38" t="n">
        <v>396.009992195542</v>
      </c>
      <c r="L347" s="38" t="n">
        <v>5456.05895158638</v>
      </c>
      <c r="M347" s="21" t="n">
        <f aca="false">SUM(B347:L347)</f>
        <v>19524.7448106896</v>
      </c>
    </row>
    <row r="348" customFormat="false" ht="15" hidden="false" customHeight="false" outlineLevel="0" collapsed="false">
      <c r="A348" s="36" t="n">
        <v>46061</v>
      </c>
      <c r="B348" s="38" t="n">
        <v>0</v>
      </c>
      <c r="C348" s="38" t="n">
        <v>1.1947995739764</v>
      </c>
      <c r="D348" s="38" t="n">
        <v>5481.33535295883</v>
      </c>
      <c r="E348" s="38" t="n">
        <v>57.9416413297591</v>
      </c>
      <c r="F348" s="38" t="n">
        <v>717.094546028483</v>
      </c>
      <c r="G348" s="38" t="n">
        <v>411.216985216368</v>
      </c>
      <c r="H348" s="38" t="n">
        <v>1812.50742652419</v>
      </c>
      <c r="I348" s="38" t="n">
        <v>112.973442474274</v>
      </c>
      <c r="J348" s="38" t="n">
        <v>289.318615002897</v>
      </c>
      <c r="K348" s="38" t="n">
        <v>299.036647773252</v>
      </c>
      <c r="L348" s="38" t="n">
        <v>16692.794691144</v>
      </c>
      <c r="M348" s="21" t="n">
        <f aca="false">SUM(B348:L348)</f>
        <v>25875.414148026</v>
      </c>
    </row>
    <row r="349" customFormat="false" ht="15" hidden="false" customHeight="false" outlineLevel="0" collapsed="false">
      <c r="A349" s="36" t="n">
        <v>46062</v>
      </c>
      <c r="B349" s="38" t="n">
        <v>0</v>
      </c>
      <c r="C349" s="38" t="n">
        <v>5.53717280664888</v>
      </c>
      <c r="D349" s="38" t="n">
        <v>6868.05036094459</v>
      </c>
      <c r="E349" s="38" t="n">
        <v>260.734581971101</v>
      </c>
      <c r="F349" s="38" t="n">
        <v>4565.33387590987</v>
      </c>
      <c r="G349" s="38" t="n">
        <v>6585.66022308375</v>
      </c>
      <c r="H349" s="38" t="n">
        <v>10154.4740932497</v>
      </c>
      <c r="I349" s="38" t="n">
        <v>184.390412510504</v>
      </c>
      <c r="J349" s="38" t="n">
        <v>1036.38873372848</v>
      </c>
      <c r="K349" s="38" t="n">
        <v>41.387168085155</v>
      </c>
      <c r="L349" s="38" t="n">
        <v>49655.8308773543</v>
      </c>
      <c r="M349" s="21" t="n">
        <f aca="false">SUM(B349:L349)</f>
        <v>79357.787499644</v>
      </c>
    </row>
    <row r="350" customFormat="false" ht="15" hidden="false" customHeight="false" outlineLevel="0" collapsed="false">
      <c r="A350" s="36" t="n">
        <v>46063</v>
      </c>
      <c r="B350" s="38" t="n">
        <v>0</v>
      </c>
      <c r="C350" s="38" t="n">
        <v>5.36023842766107</v>
      </c>
      <c r="D350" s="38" t="n">
        <v>5861.69262755393</v>
      </c>
      <c r="E350" s="38" t="n">
        <v>268.943702550548</v>
      </c>
      <c r="F350" s="38" t="n">
        <v>4524.43891803675</v>
      </c>
      <c r="G350" s="38" t="n">
        <v>7013.21765790121</v>
      </c>
      <c r="H350" s="38" t="n">
        <v>10294.9595591489</v>
      </c>
      <c r="I350" s="38" t="n">
        <v>102.943569748954</v>
      </c>
      <c r="J350" s="38" t="n">
        <v>618.204807077797</v>
      </c>
      <c r="K350" s="38" t="n">
        <v>175.860504808615</v>
      </c>
      <c r="L350" s="38" t="n">
        <v>27416.5004180902</v>
      </c>
      <c r="M350" s="21" t="n">
        <f aca="false">SUM(B350:L350)</f>
        <v>56282.1220033446</v>
      </c>
    </row>
    <row r="351" customFormat="false" ht="15" hidden="false" customHeight="false" outlineLevel="0" collapsed="false">
      <c r="A351" s="36" t="n">
        <v>46064</v>
      </c>
      <c r="B351" s="38" t="n">
        <v>0</v>
      </c>
      <c r="C351" s="38" t="n">
        <v>4.71689379057165</v>
      </c>
      <c r="D351" s="38" t="n">
        <v>12145.001701718</v>
      </c>
      <c r="E351" s="38" t="n">
        <v>142.29406884306</v>
      </c>
      <c r="F351" s="38" t="n">
        <v>4892.8125340903</v>
      </c>
      <c r="G351" s="38" t="n">
        <v>6152.42888572365</v>
      </c>
      <c r="H351" s="38" t="n">
        <v>13610.0809311575</v>
      </c>
      <c r="I351" s="38" t="n">
        <v>204.311711070532</v>
      </c>
      <c r="J351" s="38" t="n">
        <v>609.310420585309</v>
      </c>
      <c r="K351" s="38" t="n">
        <v>229.280075217781</v>
      </c>
      <c r="L351" s="38" t="n">
        <v>40540.7072796515</v>
      </c>
      <c r="M351" s="21" t="n">
        <f aca="false">SUM(B351:L351)</f>
        <v>78530.9445018482</v>
      </c>
    </row>
    <row r="352" customFormat="false" ht="15" hidden="false" customHeight="false" outlineLevel="0" collapsed="false">
      <c r="A352" s="36" t="n">
        <v>46065</v>
      </c>
      <c r="B352" s="38" t="n">
        <v>0</v>
      </c>
      <c r="C352" s="38" t="n">
        <v>7.81416857893742</v>
      </c>
      <c r="D352" s="38" t="n">
        <v>12008.1430599312</v>
      </c>
      <c r="E352" s="38" t="n">
        <v>204.308659562441</v>
      </c>
      <c r="F352" s="38" t="n">
        <v>3914.30774464302</v>
      </c>
      <c r="G352" s="38" t="n">
        <v>6245.80522121921</v>
      </c>
      <c r="H352" s="38" t="n">
        <v>16677.1993815158</v>
      </c>
      <c r="I352" s="38" t="n">
        <v>145.455164246576</v>
      </c>
      <c r="J352" s="38" t="n">
        <v>492.811083654113</v>
      </c>
      <c r="K352" s="38" t="n">
        <v>96.1020641140167</v>
      </c>
      <c r="L352" s="38" t="n">
        <v>50370.9073358901</v>
      </c>
      <c r="M352" s="21" t="n">
        <f aca="false">SUM(B352:L352)</f>
        <v>90162.8538833553</v>
      </c>
    </row>
    <row r="353" customFormat="false" ht="15" hidden="false" customHeight="false" outlineLevel="0" collapsed="false">
      <c r="A353" s="36" t="n">
        <v>46066</v>
      </c>
      <c r="B353" s="38" t="n">
        <v>0</v>
      </c>
      <c r="C353" s="38" t="n">
        <v>19.3852321276659</v>
      </c>
      <c r="D353" s="38" t="n">
        <v>9019.85439070996</v>
      </c>
      <c r="E353" s="38" t="n">
        <v>191.703023847223</v>
      </c>
      <c r="F353" s="38" t="n">
        <v>3929.3144296049</v>
      </c>
      <c r="G353" s="38" t="n">
        <v>6357.07591972862</v>
      </c>
      <c r="H353" s="38" t="n">
        <v>17707.5521508994</v>
      </c>
      <c r="I353" s="38" t="n">
        <v>69.8538507251687</v>
      </c>
      <c r="J353" s="38" t="n">
        <v>576.820461052445</v>
      </c>
      <c r="K353" s="38" t="n">
        <v>32.3836417349487</v>
      </c>
      <c r="L353" s="38" t="n">
        <v>27983.3324665025</v>
      </c>
      <c r="M353" s="21" t="n">
        <f aca="false">SUM(B353:L353)</f>
        <v>65887.2755669329</v>
      </c>
    </row>
    <row r="354" customFormat="false" ht="15" hidden="false" customHeight="false" outlineLevel="0" collapsed="false">
      <c r="A354" s="36" t="n">
        <v>46067</v>
      </c>
      <c r="B354" s="38" t="n">
        <v>0</v>
      </c>
      <c r="C354" s="38" t="n">
        <v>4.79904422863366</v>
      </c>
      <c r="D354" s="38" t="n">
        <v>4998.30530001463</v>
      </c>
      <c r="E354" s="38" t="n">
        <v>67.515883549846</v>
      </c>
      <c r="F354" s="38" t="n">
        <v>755.528389089127</v>
      </c>
      <c r="G354" s="38" t="n">
        <v>508.815465291015</v>
      </c>
      <c r="H354" s="38" t="n">
        <v>1437.88884300002</v>
      </c>
      <c r="I354" s="38" t="n">
        <v>17.0361325813787</v>
      </c>
      <c r="J354" s="38" t="n">
        <v>14.4763774742525</v>
      </c>
      <c r="K354" s="38" t="n">
        <v>21.648215509473</v>
      </c>
      <c r="L354" s="38" t="n">
        <v>2634.26628589717</v>
      </c>
      <c r="M354" s="21" t="n">
        <f aca="false">SUM(B354:L354)</f>
        <v>10460.2799366355</v>
      </c>
    </row>
    <row r="355" customFormat="false" ht="15" hidden="false" customHeight="false" outlineLevel="0" collapsed="false">
      <c r="A355" s="36" t="n">
        <v>46068</v>
      </c>
      <c r="B355" s="38" t="n">
        <v>0</v>
      </c>
      <c r="C355" s="38" t="n">
        <v>5.24025178821531</v>
      </c>
      <c r="D355" s="38" t="n">
        <v>7622.53736542312</v>
      </c>
      <c r="E355" s="38" t="n">
        <v>50.9412978750286</v>
      </c>
      <c r="F355" s="38" t="n">
        <v>889.230967849014</v>
      </c>
      <c r="G355" s="38" t="n">
        <v>553.971597499935</v>
      </c>
      <c r="H355" s="38" t="n">
        <v>2569.61145706446</v>
      </c>
      <c r="I355" s="38" t="n">
        <v>29.33005506453</v>
      </c>
      <c r="J355" s="38" t="n">
        <v>71.3482221743575</v>
      </c>
      <c r="K355" s="38" t="n">
        <v>49.2373251037608</v>
      </c>
      <c r="L355" s="38" t="n">
        <v>9697.41569951596</v>
      </c>
      <c r="M355" s="21" t="n">
        <f aca="false">SUM(B355:L355)</f>
        <v>21538.8642393584</v>
      </c>
    </row>
    <row r="356" customFormat="false" ht="15" hidden="false" customHeight="false" outlineLevel="0" collapsed="false">
      <c r="A356" s="36" t="n">
        <v>46069</v>
      </c>
      <c r="B356" s="38" t="n">
        <v>0</v>
      </c>
      <c r="C356" s="38" t="n">
        <v>4.14767517310902</v>
      </c>
      <c r="D356" s="38" t="n">
        <v>4744.82205938232</v>
      </c>
      <c r="E356" s="38" t="n">
        <v>113.122009015665</v>
      </c>
      <c r="F356" s="38" t="n">
        <v>2270.12168993876</v>
      </c>
      <c r="G356" s="38" t="n">
        <v>1029.79396815326</v>
      </c>
      <c r="H356" s="38" t="n">
        <v>4451.65186225041</v>
      </c>
      <c r="I356" s="38" t="n">
        <v>63.9369466307954</v>
      </c>
      <c r="J356" s="38" t="n">
        <v>231.277234706678</v>
      </c>
      <c r="K356" s="38" t="n">
        <v>13.9101327917743</v>
      </c>
      <c r="L356" s="38" t="n">
        <v>13871.0055004138</v>
      </c>
      <c r="M356" s="21" t="n">
        <f aca="false">SUM(B356:L356)</f>
        <v>26793.7890784565</v>
      </c>
    </row>
    <row r="357" customFormat="false" ht="15" hidden="false" customHeight="false" outlineLevel="0" collapsed="false">
      <c r="A357" s="36" t="n">
        <v>46070</v>
      </c>
      <c r="B357" s="38" t="n">
        <v>0</v>
      </c>
      <c r="C357" s="38" t="n">
        <v>22.0997880387261</v>
      </c>
      <c r="D357" s="38" t="n">
        <v>6584.77812996102</v>
      </c>
      <c r="E357" s="38" t="n">
        <v>380.406427646126</v>
      </c>
      <c r="F357" s="38" t="n">
        <v>2694.91514005324</v>
      </c>
      <c r="G357" s="38" t="n">
        <v>6143.53614651725</v>
      </c>
      <c r="H357" s="38" t="n">
        <v>14604.0071108854</v>
      </c>
      <c r="I357" s="38" t="n">
        <v>87.7501176747135</v>
      </c>
      <c r="J357" s="38" t="n">
        <v>410.706306173975</v>
      </c>
      <c r="K357" s="38" t="n">
        <v>14.9882761285063</v>
      </c>
      <c r="L357" s="38" t="n">
        <v>41207.9350116565</v>
      </c>
      <c r="M357" s="21" t="n">
        <f aca="false">SUM(B357:L357)</f>
        <v>72151.1224547355</v>
      </c>
    </row>
    <row r="358" customFormat="false" ht="15" hidden="false" customHeight="false" outlineLevel="0" collapsed="false">
      <c r="A358" s="36" t="n">
        <v>46071</v>
      </c>
      <c r="B358" s="38" t="n">
        <v>0</v>
      </c>
      <c r="C358" s="38" t="n">
        <v>17.5292428718384</v>
      </c>
      <c r="D358" s="38" t="n">
        <v>7169.32409275564</v>
      </c>
      <c r="E358" s="38" t="n">
        <v>355.115838350819</v>
      </c>
      <c r="F358" s="38" t="n">
        <v>1767.281958013</v>
      </c>
      <c r="G358" s="38" t="n">
        <v>5230.67580586958</v>
      </c>
      <c r="H358" s="38" t="n">
        <v>9743.51216791921</v>
      </c>
      <c r="I358" s="38" t="n">
        <v>125.917741211398</v>
      </c>
      <c r="J358" s="38" t="n">
        <v>228.869245861936</v>
      </c>
      <c r="K358" s="38" t="n">
        <v>18.4405385975485</v>
      </c>
      <c r="L358" s="38" t="n">
        <v>22485.623457045</v>
      </c>
      <c r="M358" s="21" t="n">
        <f aca="false">SUM(B358:L358)</f>
        <v>47142.290088496</v>
      </c>
    </row>
    <row r="359" customFormat="false" ht="15" hidden="false" customHeight="false" outlineLevel="0" collapsed="false">
      <c r="A359" s="36" t="n">
        <v>46072</v>
      </c>
      <c r="B359" s="38" t="n">
        <v>0</v>
      </c>
      <c r="C359" s="38" t="n">
        <v>23.3332962298042</v>
      </c>
      <c r="D359" s="38" t="n">
        <v>7534.39386819832</v>
      </c>
      <c r="E359" s="38" t="n">
        <v>796.471150846595</v>
      </c>
      <c r="F359" s="38" t="n">
        <v>2090.26552671464</v>
      </c>
      <c r="G359" s="38" t="n">
        <v>4445.69587981141</v>
      </c>
      <c r="H359" s="38" t="n">
        <v>13423.2442109939</v>
      </c>
      <c r="I359" s="38" t="n">
        <v>278.100819583131</v>
      </c>
      <c r="J359" s="38" t="n">
        <v>210.987932456072</v>
      </c>
      <c r="K359" s="38" t="n">
        <v>353.907953711353</v>
      </c>
      <c r="L359" s="38" t="n">
        <v>23745.5519428067</v>
      </c>
      <c r="M359" s="21" t="n">
        <f aca="false">SUM(B359:L359)</f>
        <v>52901.952581352</v>
      </c>
    </row>
    <row r="360" customFormat="false" ht="15" hidden="false" customHeight="false" outlineLevel="0" collapsed="false">
      <c r="A360" s="36" t="n">
        <v>46073</v>
      </c>
      <c r="B360" s="38" t="n">
        <v>0</v>
      </c>
      <c r="C360" s="38" t="n">
        <v>13.0592432969534</v>
      </c>
      <c r="D360" s="38" t="n">
        <v>8192.68490751802</v>
      </c>
      <c r="E360" s="38" t="n">
        <v>771.611882112412</v>
      </c>
      <c r="F360" s="38" t="n">
        <v>2834.75371161875</v>
      </c>
      <c r="G360" s="38" t="n">
        <v>5786.59935737815</v>
      </c>
      <c r="H360" s="38" t="n">
        <v>20011.8779355844</v>
      </c>
      <c r="I360" s="38" t="n">
        <v>333.118522968412</v>
      </c>
      <c r="J360" s="38" t="n">
        <v>238.516764128433</v>
      </c>
      <c r="K360" s="38" t="n">
        <v>292.294232795421</v>
      </c>
      <c r="L360" s="38" t="n">
        <v>38451.3571054789</v>
      </c>
      <c r="M360" s="21" t="n">
        <f aca="false">SUM(B360:L360)</f>
        <v>76925.8736628798</v>
      </c>
    </row>
    <row r="361" customFormat="false" ht="15" hidden="false" customHeight="false" outlineLevel="0" collapsed="false">
      <c r="A361" s="36" t="n">
        <v>46074</v>
      </c>
      <c r="B361" s="38" t="n">
        <v>0</v>
      </c>
      <c r="C361" s="38" t="n">
        <v>0.13646081597825</v>
      </c>
      <c r="D361" s="38" t="n">
        <v>3496.80071923861</v>
      </c>
      <c r="E361" s="38" t="n">
        <v>60.0764988271793</v>
      </c>
      <c r="F361" s="38" t="n">
        <v>537.23694630745</v>
      </c>
      <c r="G361" s="38" t="n">
        <v>528.123982883093</v>
      </c>
      <c r="H361" s="38" t="n">
        <v>3516.65468386758</v>
      </c>
      <c r="I361" s="38" t="n">
        <v>137.826981543505</v>
      </c>
      <c r="J361" s="38" t="n">
        <v>19.8808264398974</v>
      </c>
      <c r="K361" s="38" t="n">
        <v>102.71883276166</v>
      </c>
      <c r="L361" s="38" t="n">
        <v>7713.52236396206</v>
      </c>
      <c r="M361" s="21" t="n">
        <f aca="false">SUM(B361:L361)</f>
        <v>16112.978296647</v>
      </c>
    </row>
    <row r="362" customFormat="false" ht="15" hidden="false" customHeight="false" outlineLevel="0" collapsed="false">
      <c r="A362" s="36" t="n">
        <v>46075</v>
      </c>
      <c r="B362" s="38" t="n">
        <v>0</v>
      </c>
      <c r="C362" s="38" t="n">
        <v>0.168628607903213</v>
      </c>
      <c r="D362" s="38" t="n">
        <v>3848.04388148233</v>
      </c>
      <c r="E362" s="38" t="n">
        <v>265.475222483666</v>
      </c>
      <c r="F362" s="38" t="n">
        <v>365.766578015813</v>
      </c>
      <c r="G362" s="38" t="n">
        <v>559.967698428227</v>
      </c>
      <c r="H362" s="38" t="n">
        <v>2716.58999972182</v>
      </c>
      <c r="I362" s="38" t="n">
        <v>238.643440081622</v>
      </c>
      <c r="J362" s="38" t="n">
        <v>37.5548069433634</v>
      </c>
      <c r="K362" s="38" t="n">
        <v>79.2227763914463</v>
      </c>
      <c r="L362" s="38" t="n">
        <v>18773.814155428</v>
      </c>
      <c r="M362" s="21" t="n">
        <f aca="false">SUM(B362:L362)</f>
        <v>26885.2471875842</v>
      </c>
    </row>
    <row r="363" customFormat="false" ht="15" hidden="false" customHeight="false" outlineLevel="0" collapsed="false">
      <c r="A363" s="36" t="n">
        <v>46076</v>
      </c>
      <c r="B363" s="38" t="n">
        <v>0</v>
      </c>
      <c r="C363" s="38" t="n">
        <v>1.72423307840433</v>
      </c>
      <c r="D363" s="38" t="n">
        <v>9872.68819757462</v>
      </c>
      <c r="E363" s="38" t="n">
        <v>859.62119806429</v>
      </c>
      <c r="F363" s="38" t="n">
        <v>2792.09941122215</v>
      </c>
      <c r="G363" s="38" t="n">
        <v>5162.03368148646</v>
      </c>
      <c r="H363" s="38" t="n">
        <v>12660.7548152224</v>
      </c>
      <c r="I363" s="38" t="n">
        <v>248.207715005321</v>
      </c>
      <c r="J363" s="38" t="n">
        <v>244.578049803871</v>
      </c>
      <c r="K363" s="38" t="n">
        <v>230.206397102179</v>
      </c>
      <c r="L363" s="38" t="n">
        <v>40484.025993239</v>
      </c>
      <c r="M363" s="21" t="n">
        <f aca="false">SUM(B363:L363)</f>
        <v>72555.9396917987</v>
      </c>
    </row>
    <row r="364" customFormat="false" ht="15" hidden="false" customHeight="false" outlineLevel="0" collapsed="false">
      <c r="A364" s="36" t="n">
        <v>46077</v>
      </c>
      <c r="B364" s="38" t="n">
        <v>0</v>
      </c>
      <c r="C364" s="38" t="n">
        <v>8.01372102013246</v>
      </c>
      <c r="D364" s="38" t="n">
        <v>8334.93407453349</v>
      </c>
      <c r="E364" s="38" t="n">
        <v>967.159165547518</v>
      </c>
      <c r="F364" s="38" t="n">
        <v>2464.91283837559</v>
      </c>
      <c r="G364" s="38" t="n">
        <v>6273.87401223165</v>
      </c>
      <c r="H364" s="38" t="n">
        <v>10102.7919775108</v>
      </c>
      <c r="I364" s="38" t="n">
        <v>199.09525014101</v>
      </c>
      <c r="J364" s="38" t="n">
        <v>803.897760084073</v>
      </c>
      <c r="K364" s="38" t="n">
        <v>180.561003211067</v>
      </c>
      <c r="L364" s="38" t="n">
        <v>53093.949848794</v>
      </c>
      <c r="M364" s="21" t="n">
        <f aca="false">SUM(B364:L364)</f>
        <v>82429.1896514493</v>
      </c>
    </row>
    <row r="365" customFormat="false" ht="15" hidden="false" customHeight="false" outlineLevel="0" collapsed="false">
      <c r="A365" s="36" t="n">
        <v>46078</v>
      </c>
      <c r="B365" s="38" t="n">
        <v>0</v>
      </c>
      <c r="C365" s="38" t="n">
        <v>0.96394677575495</v>
      </c>
      <c r="D365" s="38" t="n">
        <v>17404.2536886975</v>
      </c>
      <c r="E365" s="38" t="n">
        <v>638.740403561557</v>
      </c>
      <c r="F365" s="38" t="n">
        <v>4248.6010218398</v>
      </c>
      <c r="G365" s="38" t="n">
        <v>7006.00495298407</v>
      </c>
      <c r="H365" s="38" t="n">
        <v>11686.1438848479</v>
      </c>
      <c r="I365" s="38" t="n">
        <v>485.172942266551</v>
      </c>
      <c r="J365" s="38" t="n">
        <v>742.232400811305</v>
      </c>
      <c r="K365" s="38" t="n">
        <v>28.5080488862835</v>
      </c>
      <c r="L365" s="38" t="n">
        <v>50700.2303263725</v>
      </c>
      <c r="M365" s="21" t="n">
        <f aca="false">SUM(B365:L365)</f>
        <v>92940.8516170432</v>
      </c>
    </row>
    <row r="366" customFormat="false" ht="15" hidden="false" customHeight="false" outlineLevel="0" collapsed="false">
      <c r="A366" s="36" t="n">
        <v>46079</v>
      </c>
      <c r="B366" s="38" t="n">
        <v>0</v>
      </c>
      <c r="C366" s="38" t="n">
        <v>4.60770412648539</v>
      </c>
      <c r="D366" s="38" t="n">
        <v>10294.2944044129</v>
      </c>
      <c r="E366" s="38" t="n">
        <v>913.839812142648</v>
      </c>
      <c r="F366" s="38" t="n">
        <v>3804.23212019326</v>
      </c>
      <c r="G366" s="38" t="n">
        <v>9030.96802238244</v>
      </c>
      <c r="H366" s="38" t="n">
        <v>13136.6506271599</v>
      </c>
      <c r="I366" s="38" t="n">
        <v>404.51473268685</v>
      </c>
      <c r="J366" s="38" t="n">
        <v>268.322924631222</v>
      </c>
      <c r="K366" s="38" t="n">
        <v>77.5596927167585</v>
      </c>
      <c r="L366" s="38" t="n">
        <v>37695.102573083</v>
      </c>
      <c r="M366" s="21" t="n">
        <f aca="false">SUM(B366:L366)</f>
        <v>75630.0926135355</v>
      </c>
    </row>
    <row r="367" customFormat="false" ht="15" hidden="false" customHeight="false" outlineLevel="0" collapsed="false">
      <c r="A367" s="36" t="n">
        <v>46080</v>
      </c>
      <c r="B367" s="38" t="n">
        <v>0</v>
      </c>
      <c r="C367" s="38" t="n">
        <v>9.78591652114443</v>
      </c>
      <c r="D367" s="38" t="n">
        <v>10218.2337023996</v>
      </c>
      <c r="E367" s="38" t="n">
        <v>1054.28516931958</v>
      </c>
      <c r="F367" s="38" t="n">
        <v>2831.51124872073</v>
      </c>
      <c r="G367" s="38" t="n">
        <v>6841.6884443839</v>
      </c>
      <c r="H367" s="38" t="n">
        <v>12703.637705833</v>
      </c>
      <c r="I367" s="38" t="n">
        <v>614.006145227944</v>
      </c>
      <c r="J367" s="38" t="n">
        <v>613.693430585079</v>
      </c>
      <c r="K367" s="38" t="n">
        <v>783.482790816396</v>
      </c>
      <c r="L367" s="38" t="n">
        <v>43295.6272369765</v>
      </c>
      <c r="M367" s="21" t="n">
        <f aca="false">SUM(B367:L367)</f>
        <v>78965.9517907839</v>
      </c>
    </row>
    <row r="368" customFormat="false" ht="15" hidden="false" customHeight="false" outlineLevel="0" collapsed="false">
      <c r="A368" s="36" t="n">
        <v>46081</v>
      </c>
      <c r="B368" s="38" t="n">
        <v>0</v>
      </c>
      <c r="C368" s="38" t="n">
        <v>2.54750926835984</v>
      </c>
      <c r="D368" s="38" t="n">
        <v>12707.543840816</v>
      </c>
      <c r="E368" s="38" t="n">
        <v>451.047104878066</v>
      </c>
      <c r="F368" s="38" t="n">
        <v>2815.82093759537</v>
      </c>
      <c r="G368" s="38" t="n">
        <v>2875.20211660616</v>
      </c>
      <c r="H368" s="38" t="n">
        <v>3878.43833266107</v>
      </c>
      <c r="I368" s="38" t="n">
        <v>520.503679994493</v>
      </c>
      <c r="J368" s="38" t="n">
        <v>270.639232361811</v>
      </c>
      <c r="K368" s="38" t="n">
        <v>1547.44282006127</v>
      </c>
      <c r="L368" s="38" t="n">
        <v>63656.9069347288</v>
      </c>
      <c r="M368" s="21" t="n">
        <f aca="false">SUM(B368:L368)</f>
        <v>88726.0925089713</v>
      </c>
    </row>
    <row r="369" customFormat="false" ht="15" hidden="false" customHeight="false" outlineLevel="0" collapsed="false">
      <c r="A369" s="36" t="n">
        <v>46082</v>
      </c>
      <c r="B369" s="38" t="n">
        <v>0</v>
      </c>
      <c r="C369" s="38" t="n">
        <v>1.1799820781453</v>
      </c>
      <c r="D369" s="38" t="n">
        <v>10613.3457282318</v>
      </c>
      <c r="E369" s="38" t="n">
        <v>1241.596333721</v>
      </c>
      <c r="F369" s="38" t="n">
        <v>1696.88982027003</v>
      </c>
      <c r="G369" s="38" t="n">
        <v>1934.44352345308</v>
      </c>
      <c r="H369" s="38" t="n">
        <v>3704.93812767082</v>
      </c>
      <c r="I369" s="38" t="n">
        <v>591.830472370364</v>
      </c>
      <c r="J369" s="38" t="n">
        <v>240.73481746193</v>
      </c>
      <c r="K369" s="38" t="n">
        <v>104.080330232929</v>
      </c>
      <c r="L369" s="38" t="n">
        <v>41361.4382428246</v>
      </c>
      <c r="M369" s="21" t="n">
        <f aca="false">SUM(B369:L369)</f>
        <v>61490.4773783147</v>
      </c>
    </row>
    <row r="370" customFormat="false" ht="15" hidden="false" customHeight="false" outlineLevel="0" collapsed="false">
      <c r="A370" s="36" t="n">
        <v>46083</v>
      </c>
      <c r="B370" s="38" t="n">
        <v>0</v>
      </c>
      <c r="C370" s="38" t="n">
        <v>19.3899198471616</v>
      </c>
      <c r="D370" s="38" t="n">
        <v>12285.1701711456</v>
      </c>
      <c r="E370" s="38" t="n">
        <v>4176.25624358601</v>
      </c>
      <c r="F370" s="38" t="n">
        <v>4090.48966162877</v>
      </c>
      <c r="G370" s="38" t="n">
        <v>8844.77840848538</v>
      </c>
      <c r="H370" s="38" t="n">
        <v>18806.0565977855</v>
      </c>
      <c r="I370" s="38" t="n">
        <v>644.168942894456</v>
      </c>
      <c r="J370" s="38" t="n">
        <v>358.310843440058</v>
      </c>
      <c r="K370" s="38" t="n">
        <v>53.345377766231</v>
      </c>
      <c r="L370" s="38" t="n">
        <v>92669.2712817688</v>
      </c>
      <c r="M370" s="21" t="n">
        <f aca="false">SUM(B370:L370)</f>
        <v>141947.237448348</v>
      </c>
    </row>
    <row r="371" customFormat="false" ht="15" hidden="false" customHeight="false" outlineLevel="0" collapsed="false">
      <c r="A371" s="36" t="n">
        <v>46084</v>
      </c>
      <c r="B371" s="38" t="n">
        <v>0</v>
      </c>
      <c r="C371" s="38" t="n">
        <v>34.7734082866332</v>
      </c>
      <c r="D371" s="38" t="n">
        <v>11665.232686183</v>
      </c>
      <c r="E371" s="38" t="n">
        <v>8374.46950784029</v>
      </c>
      <c r="F371" s="38" t="n">
        <v>5839.51410907509</v>
      </c>
      <c r="G371" s="38" t="n">
        <v>11060.8711569562</v>
      </c>
      <c r="H371" s="38" t="n">
        <v>31963.7227792948</v>
      </c>
      <c r="I371" s="38" t="n">
        <v>622.558059081617</v>
      </c>
      <c r="J371" s="38" t="n">
        <v>521.049055885338</v>
      </c>
      <c r="K371" s="38" t="n">
        <v>172.690367673174</v>
      </c>
      <c r="L371" s="38" t="n">
        <v>147033.289433649</v>
      </c>
      <c r="M371" s="21" t="n">
        <f aca="false">SUM(B371:L371)</f>
        <v>217288.170563925</v>
      </c>
    </row>
    <row r="372" customFormat="false" ht="15" hidden="false" customHeight="false" outlineLevel="0" collapsed="false">
      <c r="A372" s="36" t="n">
        <v>46085</v>
      </c>
      <c r="B372" s="38" t="n">
        <v>0</v>
      </c>
      <c r="C372" s="38" t="n">
        <v>10.1631198231956</v>
      </c>
      <c r="D372" s="38" t="n">
        <v>17509.4665920509</v>
      </c>
      <c r="E372" s="38" t="n">
        <v>7248.8279999043</v>
      </c>
      <c r="F372" s="38" t="n">
        <v>6347.40899954167</v>
      </c>
      <c r="G372" s="38" t="n">
        <v>6838.19641611799</v>
      </c>
      <c r="H372" s="38" t="n">
        <v>22984.6818570708</v>
      </c>
      <c r="I372" s="38" t="n">
        <v>722.783240935423</v>
      </c>
      <c r="J372" s="38" t="n">
        <v>342.326972553075</v>
      </c>
      <c r="K372" s="38" t="n">
        <v>115.212464411838</v>
      </c>
      <c r="L372" s="38" t="n">
        <v>62973.8311299604</v>
      </c>
      <c r="M372" s="21" t="n">
        <f aca="false">SUM(B372:L372)</f>
        <v>125092.89879237</v>
      </c>
    </row>
    <row r="373" customFormat="false" ht="15" hidden="false" customHeight="false" outlineLevel="0" collapsed="false">
      <c r="A373" s="36" t="n">
        <v>46086</v>
      </c>
      <c r="B373" s="38" t="n">
        <v>0</v>
      </c>
      <c r="C373" s="38" t="n">
        <v>7.73440292839636</v>
      </c>
      <c r="D373" s="38" t="n">
        <v>10824.4054649123</v>
      </c>
      <c r="E373" s="38" t="n">
        <v>8561.59713684629</v>
      </c>
      <c r="F373" s="38" t="n">
        <v>4910.1017697122</v>
      </c>
      <c r="G373" s="38" t="n">
        <v>7604.97339202629</v>
      </c>
      <c r="H373" s="38" t="n">
        <v>18843.4169572455</v>
      </c>
      <c r="I373" s="38" t="n">
        <v>757.478205100959</v>
      </c>
      <c r="J373" s="38" t="n">
        <v>306.482167257181</v>
      </c>
      <c r="K373" s="38" t="n">
        <v>70.4569987848225</v>
      </c>
      <c r="L373" s="38" t="n">
        <v>60876.0043996098</v>
      </c>
      <c r="M373" s="21" t="n">
        <f aca="false">SUM(B373:L373)</f>
        <v>112762.650894424</v>
      </c>
    </row>
    <row r="374" customFormat="false" ht="15" hidden="false" customHeight="false" outlineLevel="0" collapsed="false">
      <c r="A374" s="36" t="n">
        <v>46087</v>
      </c>
      <c r="B374" s="38" t="n">
        <v>0</v>
      </c>
      <c r="C374" s="38" t="n">
        <v>6.92043516567234</v>
      </c>
      <c r="D374" s="38" t="n">
        <v>9257.1450404372</v>
      </c>
      <c r="E374" s="38" t="n">
        <v>14600.1346400522</v>
      </c>
      <c r="F374" s="38" t="n">
        <v>4310.72306320654</v>
      </c>
      <c r="G374" s="38" t="n">
        <v>8244.83698565235</v>
      </c>
      <c r="H374" s="38" t="n">
        <v>21590.9189243105</v>
      </c>
      <c r="I374" s="38" t="n">
        <v>851.937922760299</v>
      </c>
      <c r="J374" s="38" t="n">
        <v>522.363557207533</v>
      </c>
      <c r="K374" s="38" t="n">
        <v>94.220247610989</v>
      </c>
      <c r="L374" s="38" t="n">
        <v>43903.131681426</v>
      </c>
      <c r="M374" s="21" t="n">
        <f aca="false">SUM(B374:L374)</f>
        <v>103382.332497829</v>
      </c>
    </row>
    <row r="375" customFormat="false" ht="15" hidden="false" customHeight="false" outlineLevel="0" collapsed="false">
      <c r="A375" s="36" t="n">
        <v>46088</v>
      </c>
      <c r="B375" s="38" t="n">
        <v>0</v>
      </c>
      <c r="C375" s="38" t="n">
        <v>2.5944237481344</v>
      </c>
      <c r="D375" s="38" t="n">
        <v>4085.19038537134</v>
      </c>
      <c r="E375" s="38" t="n">
        <v>5093.61884806922</v>
      </c>
      <c r="F375" s="38" t="n">
        <v>763.013141552357</v>
      </c>
      <c r="G375" s="38" t="n">
        <v>3102.06923669911</v>
      </c>
      <c r="H375" s="38" t="n">
        <v>2433.19151242062</v>
      </c>
      <c r="I375" s="38" t="n">
        <v>758.890639985906</v>
      </c>
      <c r="J375" s="38" t="n">
        <v>78.2448013388803</v>
      </c>
      <c r="K375" s="38" t="n">
        <v>36.9302119077227</v>
      </c>
      <c r="L375" s="38" t="n">
        <v>2774.65629386236</v>
      </c>
      <c r="M375" s="21" t="n">
        <f aca="false">SUM(B375:L375)</f>
        <v>19128.3994949556</v>
      </c>
    </row>
    <row r="376" customFormat="false" ht="15" hidden="false" customHeight="false" outlineLevel="0" collapsed="false">
      <c r="A376" s="36" t="n">
        <v>46089</v>
      </c>
      <c r="B376" s="38" t="n">
        <v>0</v>
      </c>
      <c r="C376" s="38" t="n">
        <v>0.29133621354848</v>
      </c>
      <c r="D376" s="38" t="n">
        <v>6281.730649262</v>
      </c>
      <c r="E376" s="38" t="n">
        <v>11986.8713402736</v>
      </c>
      <c r="F376" s="38" t="n">
        <v>1079.00551753214</v>
      </c>
      <c r="G376" s="38" t="n">
        <v>2206.5038176976</v>
      </c>
      <c r="H376" s="38" t="n">
        <v>4396.12817542368</v>
      </c>
      <c r="I376" s="38" t="n">
        <v>848.121989815268</v>
      </c>
      <c r="J376" s="38" t="n">
        <v>230.526235544647</v>
      </c>
      <c r="K376" s="38" t="n">
        <v>130.275204494572</v>
      </c>
      <c r="L376" s="38" t="n">
        <v>14319.9629658746</v>
      </c>
      <c r="M376" s="21" t="n">
        <f aca="false">SUM(B376:L376)</f>
        <v>41479.4172321316</v>
      </c>
    </row>
    <row r="377" customFormat="false" ht="15" hidden="false" customHeight="false" outlineLevel="0" collapsed="false">
      <c r="A377" s="36" t="n">
        <v>46090</v>
      </c>
      <c r="B377" s="38" t="n">
        <v>0</v>
      </c>
      <c r="C377" s="38" t="n">
        <v>9.06395206616534</v>
      </c>
      <c r="D377" s="38" t="n">
        <v>14720.2036622943</v>
      </c>
      <c r="E377" s="38" t="n">
        <v>66117.2200346123</v>
      </c>
      <c r="F377" s="38" t="n">
        <v>5146.69798435699</v>
      </c>
      <c r="G377" s="38" t="n">
        <v>7384.13207663541</v>
      </c>
      <c r="H377" s="38" t="n">
        <v>22456.794616938</v>
      </c>
      <c r="I377" s="38" t="n">
        <v>1020.79597689182</v>
      </c>
      <c r="J377" s="38" t="n">
        <v>630.378592736344</v>
      </c>
      <c r="K377" s="38" t="n">
        <v>70.9479088769025</v>
      </c>
      <c r="L377" s="38" t="n">
        <v>40696.0787095435</v>
      </c>
      <c r="M377" s="21" t="n">
        <f aca="false">SUM(B377:L377)</f>
        <v>158252.313514952</v>
      </c>
    </row>
    <row r="378" customFormat="false" ht="15" hidden="false" customHeight="false" outlineLevel="0" collapsed="false">
      <c r="A378" s="36" t="n">
        <v>46091</v>
      </c>
      <c r="B378" s="38" t="n">
        <v>0</v>
      </c>
      <c r="C378" s="38" t="n">
        <v>4.75016122363456</v>
      </c>
      <c r="D378" s="38" t="n">
        <v>12872.9566517563</v>
      </c>
      <c r="E378" s="38" t="n">
        <v>41523.559821328</v>
      </c>
      <c r="F378" s="38" t="n">
        <v>6827.95742546285</v>
      </c>
      <c r="G378" s="38" t="n">
        <v>5512.40254622229</v>
      </c>
      <c r="H378" s="38" t="n">
        <v>15547.6023067177</v>
      </c>
      <c r="I378" s="38" t="n">
        <v>748.963726555632</v>
      </c>
      <c r="J378" s="38" t="n">
        <v>367.419712617851</v>
      </c>
      <c r="K378" s="38" t="n">
        <v>26.1316361498243</v>
      </c>
      <c r="L378" s="38" t="n">
        <v>31410.5000614067</v>
      </c>
      <c r="M378" s="21" t="n">
        <f aca="false">SUM(B378:L378)</f>
        <v>114842.244049441</v>
      </c>
    </row>
    <row r="379" customFormat="false" ht="15" hidden="false" customHeight="false" outlineLevel="0" collapsed="false">
      <c r="A379" s="36" t="n">
        <v>46092</v>
      </c>
      <c r="B379" s="38" t="n">
        <v>0</v>
      </c>
      <c r="C379" s="38" t="n">
        <v>3.30492659850648</v>
      </c>
      <c r="D379" s="38" t="n">
        <v>10124.2576628233</v>
      </c>
      <c r="E379" s="38" t="n">
        <v>37320.3346764483</v>
      </c>
      <c r="F379" s="38" t="n">
        <v>4439.36327484983</v>
      </c>
      <c r="G379" s="38" t="n">
        <v>5064.98196736784</v>
      </c>
      <c r="H379" s="38" t="n">
        <v>10423.539242795</v>
      </c>
      <c r="I379" s="38" t="n">
        <v>431.99778288184</v>
      </c>
      <c r="J379" s="38" t="n">
        <v>252.047103152848</v>
      </c>
      <c r="K379" s="38" t="n">
        <v>48.294052434192</v>
      </c>
      <c r="L379" s="38" t="n">
        <v>27266.8006299387</v>
      </c>
      <c r="M379" s="21" t="n">
        <f aca="false">SUM(B379:L379)</f>
        <v>95374.9213192903</v>
      </c>
    </row>
    <row r="380" customFormat="false" ht="15" hidden="false" customHeight="false" outlineLevel="0" collapsed="false">
      <c r="A380" s="36" t="n">
        <v>46093</v>
      </c>
      <c r="B380" s="38" t="n">
        <v>0</v>
      </c>
      <c r="C380" s="38" t="n">
        <v>8.08985729474062</v>
      </c>
      <c r="D380" s="38" t="n">
        <v>9169.16562818213</v>
      </c>
      <c r="E380" s="38" t="n">
        <v>44499.3477725685</v>
      </c>
      <c r="F380" s="38" t="n">
        <v>4212.74716188768</v>
      </c>
      <c r="G380" s="38" t="n">
        <v>5658.58574151361</v>
      </c>
      <c r="H380" s="38" t="n">
        <v>12246.8794010662</v>
      </c>
      <c r="I380" s="38" t="n">
        <v>863.053121612066</v>
      </c>
      <c r="J380" s="38" t="n">
        <v>532.17384915055</v>
      </c>
      <c r="K380" s="38" t="n">
        <v>19.119473049996</v>
      </c>
      <c r="L380" s="38" t="n">
        <v>33759.8356667746</v>
      </c>
      <c r="M380" s="21" t="n">
        <f aca="false">SUM(B380:L380)</f>
        <v>110968.9976731</v>
      </c>
    </row>
    <row r="381" customFormat="false" ht="15" hidden="false" customHeight="false" outlineLevel="0" collapsed="false">
      <c r="A381" s="36" t="n">
        <v>46094</v>
      </c>
      <c r="B381" s="38" t="n">
        <v>0</v>
      </c>
      <c r="C381" s="38" t="n">
        <v>10.3690839554954</v>
      </c>
      <c r="D381" s="38" t="n">
        <v>11981.2987176856</v>
      </c>
      <c r="E381" s="38" t="n">
        <v>26848.0731555737</v>
      </c>
      <c r="F381" s="38" t="n">
        <v>7012.75708953685</v>
      </c>
      <c r="G381" s="38" t="n">
        <v>5353.49733824473</v>
      </c>
      <c r="H381" s="38" t="n">
        <v>11885.9040745409</v>
      </c>
      <c r="I381" s="38" t="n">
        <v>558.118816840936</v>
      </c>
      <c r="J381" s="38" t="n">
        <v>226.346002888674</v>
      </c>
      <c r="K381" s="38" t="n">
        <v>17.2487889024628</v>
      </c>
      <c r="L381" s="38" t="n">
        <v>40219.1721060505</v>
      </c>
      <c r="M381" s="21" t="n">
        <f aca="false">SUM(B381:L381)</f>
        <v>104112.78517422</v>
      </c>
    </row>
    <row r="382" customFormat="false" ht="15" hidden="false" customHeight="false" outlineLevel="0" collapsed="false">
      <c r="A382" s="36" t="n">
        <v>46095</v>
      </c>
      <c r="B382" s="38" t="n">
        <v>0</v>
      </c>
      <c r="C382" s="38" t="n">
        <v>1.64027499327726</v>
      </c>
      <c r="D382" s="38" t="n">
        <v>3658.71863083738</v>
      </c>
      <c r="E382" s="38" t="n">
        <v>11321.7088644265</v>
      </c>
      <c r="F382" s="38" t="n">
        <v>1228.87177495591</v>
      </c>
      <c r="G382" s="38" t="n">
        <v>697.417806708711</v>
      </c>
      <c r="H382" s="38" t="n">
        <v>4178.2030882274</v>
      </c>
      <c r="I382" s="38" t="n">
        <v>426.942550733965</v>
      </c>
      <c r="J382" s="38" t="n">
        <v>68.3699845198253</v>
      </c>
      <c r="K382" s="38" t="n">
        <v>27.4208661476405</v>
      </c>
      <c r="L382" s="38" t="n">
        <v>4195.96473624053</v>
      </c>
      <c r="M382" s="21" t="n">
        <f aca="false">SUM(B382:L382)</f>
        <v>25805.2585777911</v>
      </c>
    </row>
    <row r="383" customFormat="false" ht="15" hidden="false" customHeight="false" outlineLevel="0" collapsed="false">
      <c r="A383" s="36" t="n">
        <v>46096</v>
      </c>
      <c r="B383" s="38" t="n">
        <v>0</v>
      </c>
      <c r="C383" s="38" t="n">
        <v>1.535025023464</v>
      </c>
      <c r="D383" s="38" t="n">
        <v>5854.08695721109</v>
      </c>
      <c r="E383" s="38" t="n">
        <v>15764.9963169452</v>
      </c>
      <c r="F383" s="38" t="n">
        <v>1284.12380537084</v>
      </c>
      <c r="G383" s="38" t="n">
        <v>1142.00475947636</v>
      </c>
      <c r="H383" s="38" t="n">
        <v>6188.10652144428</v>
      </c>
      <c r="I383" s="38" t="n">
        <v>556.413849137213</v>
      </c>
      <c r="J383" s="38" t="n">
        <v>67.5728202529479</v>
      </c>
      <c r="K383" s="38" t="n">
        <v>41.9748924676322</v>
      </c>
      <c r="L383" s="38" t="n">
        <v>14612.8241978669</v>
      </c>
      <c r="M383" s="21" t="n">
        <f aca="false">SUM(B383:L383)</f>
        <v>45513.6391451959</v>
      </c>
    </row>
    <row r="384" customFormat="false" ht="15" hidden="false" customHeight="false" outlineLevel="0" collapsed="false">
      <c r="A384" s="36" t="n">
        <v>46097</v>
      </c>
      <c r="B384" s="38" t="n">
        <v>0</v>
      </c>
      <c r="C384" s="38" t="n">
        <v>13.4398790494432</v>
      </c>
      <c r="D384" s="38" t="n">
        <v>18956.3988149908</v>
      </c>
      <c r="E384" s="38" t="n">
        <v>27406.1359301206</v>
      </c>
      <c r="F384" s="38" t="n">
        <v>4279.3647045951</v>
      </c>
      <c r="G384" s="38" t="n">
        <v>5157.79993421098</v>
      </c>
      <c r="H384" s="38" t="n">
        <v>10267.9322050646</v>
      </c>
      <c r="I384" s="38" t="n">
        <v>571.192471781243</v>
      </c>
      <c r="J384" s="38" t="n">
        <v>298.362507206616</v>
      </c>
      <c r="K384" s="38" t="n">
        <v>26.544505453032</v>
      </c>
      <c r="L384" s="38" t="n">
        <v>28442.612645187</v>
      </c>
      <c r="M384" s="21" t="n">
        <f aca="false">SUM(B384:L384)</f>
        <v>95419.7835976593</v>
      </c>
    </row>
    <row r="385" customFormat="false" ht="15" hidden="false" customHeight="false" outlineLevel="0" collapsed="false">
      <c r="A385" s="36" t="n">
        <v>46098</v>
      </c>
      <c r="B385" s="38" t="n">
        <v>0</v>
      </c>
      <c r="C385" s="38" t="n">
        <v>51.5373356457377</v>
      </c>
      <c r="D385" s="38" t="n">
        <v>11510.8917959843</v>
      </c>
      <c r="E385" s="38" t="n">
        <v>16555.7526554528</v>
      </c>
      <c r="F385" s="38" t="n">
        <v>4786.7109961745</v>
      </c>
      <c r="G385" s="38" t="n">
        <v>4088.30544176851</v>
      </c>
      <c r="H385" s="38" t="n">
        <v>9698.61198977686</v>
      </c>
      <c r="I385" s="38" t="n">
        <v>556.982101909969</v>
      </c>
      <c r="J385" s="38" t="n">
        <v>144.903131843306</v>
      </c>
      <c r="K385" s="38" t="n">
        <v>19.7196711989143</v>
      </c>
      <c r="L385" s="38" t="n">
        <v>16626.6485892115</v>
      </c>
      <c r="M385" s="21" t="n">
        <f aca="false">SUM(B385:L385)</f>
        <v>64040.0637089664</v>
      </c>
    </row>
    <row r="386" customFormat="false" ht="15" hidden="false" customHeight="false" outlineLevel="0" collapsed="false">
      <c r="A386" s="36" t="n">
        <v>46099</v>
      </c>
      <c r="B386" s="38" t="n">
        <v>0</v>
      </c>
      <c r="C386" s="38" t="n">
        <v>9.73961091848248</v>
      </c>
      <c r="D386" s="38" t="n">
        <v>12833.280684995</v>
      </c>
      <c r="E386" s="38" t="n">
        <v>34085.9496762399</v>
      </c>
      <c r="F386" s="38" t="n">
        <v>4967.26438772037</v>
      </c>
      <c r="G386" s="38" t="n">
        <v>4774.28248011502</v>
      </c>
      <c r="H386" s="38" t="n">
        <v>13455.8304966001</v>
      </c>
      <c r="I386" s="38" t="n">
        <v>581.337664421441</v>
      </c>
      <c r="J386" s="38" t="n">
        <v>474.032745082651</v>
      </c>
      <c r="K386" s="38" t="n">
        <v>62.5027380668713</v>
      </c>
      <c r="L386" s="38" t="n">
        <v>36912.035545023</v>
      </c>
      <c r="M386" s="21" t="n">
        <f aca="false">SUM(B386:L386)</f>
        <v>108156.256029183</v>
      </c>
    </row>
    <row r="387" customFormat="false" ht="15" hidden="false" customHeight="false" outlineLevel="0" collapsed="false">
      <c r="A387" s="36" t="n">
        <v>46100</v>
      </c>
      <c r="B387" s="38" t="n">
        <v>0</v>
      </c>
      <c r="C387" s="38" t="n">
        <v>0.405696149239938</v>
      </c>
      <c r="D387" s="38" t="n">
        <v>10835.3203107877</v>
      </c>
      <c r="E387" s="38" t="n">
        <v>48934.7395780388</v>
      </c>
      <c r="F387" s="38" t="n">
        <v>4957.59625926943</v>
      </c>
      <c r="G387" s="38" t="n">
        <v>5396.25994556391</v>
      </c>
      <c r="H387" s="38" t="n">
        <v>17772.2890137453</v>
      </c>
      <c r="I387" s="38" t="n">
        <v>570.614140065347</v>
      </c>
      <c r="J387" s="38" t="n">
        <v>836.475541787527</v>
      </c>
      <c r="K387" s="38" t="n">
        <v>33.6708097024837</v>
      </c>
      <c r="L387" s="38" t="n">
        <v>108846.115419669</v>
      </c>
      <c r="M387" s="21" t="n">
        <f aca="false">SUM(B387:L387)</f>
        <v>198183.486714778</v>
      </c>
    </row>
    <row r="388" customFormat="false" ht="15" hidden="false" customHeight="false" outlineLevel="0" collapsed="false">
      <c r="A388" s="36" t="n">
        <v>46101</v>
      </c>
      <c r="B388" s="38" t="n">
        <v>0</v>
      </c>
      <c r="C388" s="38" t="n">
        <v>2.832595967594</v>
      </c>
      <c r="D388" s="38" t="n">
        <v>8123.78790752246</v>
      </c>
      <c r="E388" s="38" t="n">
        <v>23322.1880131608</v>
      </c>
      <c r="F388" s="38" t="n">
        <v>4485.92553961671</v>
      </c>
      <c r="G388" s="38" t="n">
        <v>5212.38356424288</v>
      </c>
      <c r="H388" s="38" t="n">
        <v>13902.8970130659</v>
      </c>
      <c r="I388" s="38" t="n">
        <v>665.941785339423</v>
      </c>
      <c r="J388" s="38" t="n">
        <v>333.784012498794</v>
      </c>
      <c r="K388" s="38" t="n">
        <v>10.4424919060383</v>
      </c>
      <c r="L388" s="38" t="n">
        <v>66380.6294131456</v>
      </c>
      <c r="M388" s="21" t="n">
        <f aca="false">SUM(B388:L388)</f>
        <v>122440.812336466</v>
      </c>
    </row>
    <row r="389" customFormat="false" ht="15" hidden="false" customHeight="false" outlineLevel="0" collapsed="false">
      <c r="A389" s="36" t="n">
        <v>46102</v>
      </c>
      <c r="B389" s="38" t="n">
        <v>0</v>
      </c>
      <c r="C389" s="38" t="n">
        <v>0.25057975433172</v>
      </c>
      <c r="D389" s="38" t="n">
        <v>3032.89155890909</v>
      </c>
      <c r="E389" s="38" t="n">
        <v>4580.84447880185</v>
      </c>
      <c r="F389" s="38" t="n">
        <v>1176.89814538115</v>
      </c>
      <c r="G389" s="38" t="n">
        <v>844.575779576948</v>
      </c>
      <c r="H389" s="38" t="n">
        <v>2001.12930231365</v>
      </c>
      <c r="I389" s="38" t="n">
        <v>458.388695292802</v>
      </c>
      <c r="J389" s="38" t="n">
        <v>369.173062816967</v>
      </c>
      <c r="K389" s="38" t="n">
        <v>3.318411511115</v>
      </c>
      <c r="L389" s="38" t="n">
        <v>11565.1397927448</v>
      </c>
      <c r="M389" s="21" t="n">
        <f aca="false">SUM(B389:L389)</f>
        <v>24032.6098071027</v>
      </c>
    </row>
    <row r="390" customFormat="false" ht="15" hidden="false" customHeight="false" outlineLevel="0" collapsed="false">
      <c r="A390" s="36" t="n">
        <v>46103</v>
      </c>
      <c r="B390" s="38" t="n">
        <v>0</v>
      </c>
      <c r="C390" s="38" t="n">
        <v>8.75754177363123</v>
      </c>
      <c r="D390" s="38" t="n">
        <v>5449.53021524812</v>
      </c>
      <c r="E390" s="38" t="n">
        <v>12784.9734034516</v>
      </c>
      <c r="F390" s="38" t="n">
        <v>2384.40797359601</v>
      </c>
      <c r="G390" s="38" t="n">
        <v>1327.83081694587</v>
      </c>
      <c r="H390" s="38" t="n">
        <v>4438.61027945412</v>
      </c>
      <c r="I390" s="38" t="n">
        <v>549.242460289193</v>
      </c>
      <c r="J390" s="38" t="n">
        <v>88.2786600731239</v>
      </c>
      <c r="K390" s="38" t="n">
        <v>6.07507390656075</v>
      </c>
      <c r="L390" s="38" t="n">
        <v>26299.8432891357</v>
      </c>
      <c r="M390" s="21" t="n">
        <f aca="false">SUM(B390:L390)</f>
        <v>53337.5497138739</v>
      </c>
    </row>
    <row r="391" customFormat="false" ht="15" hidden="false" customHeight="false" outlineLevel="0" collapsed="false">
      <c r="A391" s="36" t="n">
        <v>46104</v>
      </c>
      <c r="B391" s="38" t="n">
        <v>0</v>
      </c>
      <c r="C391" s="38" t="n">
        <v>25.1391957336892</v>
      </c>
      <c r="D391" s="38" t="n">
        <v>10973.8760742411</v>
      </c>
      <c r="E391" s="38" t="n">
        <v>66487.2448440241</v>
      </c>
      <c r="F391" s="38" t="n">
        <v>7967.67601894801</v>
      </c>
      <c r="G391" s="38" t="n">
        <v>9743.60876785908</v>
      </c>
      <c r="H391" s="38" t="n">
        <v>26176.4468896798</v>
      </c>
      <c r="I391" s="38" t="n">
        <v>618.593969131564</v>
      </c>
      <c r="J391" s="38" t="n">
        <v>1354.23749224703</v>
      </c>
      <c r="K391" s="38" t="n">
        <v>33.38793624036</v>
      </c>
      <c r="L391" s="38" t="n">
        <v>219106.121659005</v>
      </c>
      <c r="M391" s="21" t="n">
        <f aca="false">SUM(B391:L391)</f>
        <v>342486.33284711</v>
      </c>
    </row>
    <row r="392" customFormat="false" ht="15" hidden="false" customHeight="false" outlineLevel="0" collapsed="false">
      <c r="A392" s="36" t="n">
        <v>46105</v>
      </c>
      <c r="B392" s="38" t="n">
        <v>0</v>
      </c>
      <c r="C392" s="38" t="n">
        <v>25.8271376079198</v>
      </c>
      <c r="D392" s="38" t="n">
        <v>7452.46966500001</v>
      </c>
      <c r="E392" s="38" t="n">
        <v>40029.349797441</v>
      </c>
      <c r="F392" s="38" t="n">
        <v>6511.6794157892</v>
      </c>
      <c r="G392" s="38" t="n">
        <v>5893.85305560022</v>
      </c>
      <c r="H392" s="38" t="n">
        <v>20374.4550502976</v>
      </c>
      <c r="I392" s="38" t="n">
        <v>622.052284455595</v>
      </c>
      <c r="J392" s="38" t="n">
        <v>671.390095478076</v>
      </c>
      <c r="K392" s="38" t="n">
        <v>14.2654782330985</v>
      </c>
      <c r="L392" s="38" t="n">
        <v>90503.0811767237</v>
      </c>
      <c r="M392" s="21" t="n">
        <f aca="false">SUM(B392:L392)</f>
        <v>172098.423156626</v>
      </c>
    </row>
    <row r="393" customFormat="false" ht="15" hidden="false" customHeight="false" outlineLevel="0" collapsed="false">
      <c r="A393" s="36" t="n">
        <v>46106</v>
      </c>
      <c r="B393" s="38" t="n">
        <v>0</v>
      </c>
      <c r="C393" s="38" t="n">
        <v>2.88824118735716</v>
      </c>
      <c r="D393" s="38" t="n">
        <v>7180.0811927577</v>
      </c>
      <c r="E393" s="38" t="n">
        <v>28841.9533909096</v>
      </c>
      <c r="F393" s="38" t="n">
        <v>5421.12786015346</v>
      </c>
      <c r="G393" s="38" t="n">
        <v>6093.97754815903</v>
      </c>
      <c r="H393" s="38" t="n">
        <v>14087.3401424922</v>
      </c>
      <c r="I393" s="38" t="n">
        <v>684.975893652116</v>
      </c>
      <c r="J393" s="38" t="n">
        <v>363.292658491764</v>
      </c>
      <c r="K393" s="38" t="n">
        <v>60.0269485066315</v>
      </c>
      <c r="L393" s="38" t="n">
        <v>57290.7191219412</v>
      </c>
      <c r="M393" s="21" t="n">
        <f aca="false">SUM(B393:L393)</f>
        <v>120026.382998251</v>
      </c>
    </row>
    <row r="394" customFormat="false" ht="15" hidden="false" customHeight="false" outlineLevel="0" collapsed="false">
      <c r="A394" s="36" t="n">
        <v>46107</v>
      </c>
      <c r="B394" s="38" t="n">
        <v>0</v>
      </c>
      <c r="C394" s="38" t="n">
        <v>0.83332736596603</v>
      </c>
      <c r="D394" s="38" t="n">
        <v>6507.03752050942</v>
      </c>
      <c r="E394" s="38" t="n">
        <v>23888.3497533237</v>
      </c>
      <c r="F394" s="38" t="n">
        <v>3541.25682060241</v>
      </c>
      <c r="G394" s="38" t="n">
        <v>5892.49553972069</v>
      </c>
      <c r="H394" s="38" t="n">
        <v>13872.0969862264</v>
      </c>
      <c r="I394" s="38" t="n">
        <v>789.959574845899</v>
      </c>
      <c r="J394" s="38" t="n">
        <v>194.113904320688</v>
      </c>
      <c r="K394" s="38" t="n">
        <v>39.314389493561</v>
      </c>
      <c r="L394" s="38" t="n">
        <v>56793.1626275798</v>
      </c>
      <c r="M394" s="21" t="n">
        <f aca="false">SUM(B394:L394)</f>
        <v>111518.620443989</v>
      </c>
    </row>
    <row r="395" customFormat="false" ht="15" hidden="false" customHeight="false" outlineLevel="0" collapsed="false">
      <c r="A395" s="36" t="n">
        <v>46108</v>
      </c>
      <c r="B395" s="38" t="n">
        <v>0</v>
      </c>
      <c r="C395" s="38" t="n">
        <v>0.717158696153715</v>
      </c>
      <c r="D395" s="38" t="n">
        <v>6841.07612130633</v>
      </c>
      <c r="E395" s="38" t="n">
        <v>23020.4876036818</v>
      </c>
      <c r="F395" s="38" t="n">
        <v>4743.68355854572</v>
      </c>
      <c r="G395" s="38" t="n">
        <v>8069.91770791074</v>
      </c>
      <c r="H395" s="38" t="n">
        <v>14433.8965163283</v>
      </c>
      <c r="I395" s="38" t="n">
        <v>878.749497880301</v>
      </c>
      <c r="J395" s="38" t="n">
        <v>99.209424486598</v>
      </c>
      <c r="K395" s="38" t="n">
        <v>52.478504359873</v>
      </c>
      <c r="L395" s="38" t="n">
        <v>57175.2623165313</v>
      </c>
      <c r="M395" s="21" t="n">
        <f aca="false">SUM(B395:L395)</f>
        <v>115315.478409727</v>
      </c>
    </row>
    <row r="396" customFormat="false" ht="15" hidden="false" customHeight="false" outlineLevel="0" collapsed="false">
      <c r="A396" s="36" t="n">
        <v>46109</v>
      </c>
      <c r="B396" s="38" t="n">
        <v>0</v>
      </c>
      <c r="C396" s="38" t="n">
        <v>0.225603938806425</v>
      </c>
      <c r="D396" s="38" t="n">
        <v>3353.88999007277</v>
      </c>
      <c r="E396" s="38" t="n">
        <v>6003.95977687172</v>
      </c>
      <c r="F396" s="38" t="n">
        <v>924.920132815397</v>
      </c>
      <c r="G396" s="38" t="n">
        <v>1124.60700535734</v>
      </c>
      <c r="H396" s="38" t="n">
        <v>2137.06374040419</v>
      </c>
      <c r="I396" s="38" t="n">
        <v>695.488224494467</v>
      </c>
      <c r="J396" s="38" t="n">
        <v>7.45855895790179</v>
      </c>
      <c r="K396" s="38" t="n">
        <v>13.6596087301238</v>
      </c>
      <c r="L396" s="38" t="n">
        <v>3095.65342106421</v>
      </c>
      <c r="M396" s="21" t="n">
        <f aca="false">SUM(B396:L396)</f>
        <v>17356.9260627069</v>
      </c>
    </row>
    <row r="397" customFormat="false" ht="15" hidden="false" customHeight="false" outlineLevel="0" collapsed="false">
      <c r="A397" s="36" t="n">
        <v>46110</v>
      </c>
      <c r="B397" s="38" t="n">
        <v>0</v>
      </c>
      <c r="C397" s="38" t="n">
        <v>0.315299968026413</v>
      </c>
      <c r="D397" s="38" t="n">
        <v>4448.49653156472</v>
      </c>
      <c r="E397" s="38" t="n">
        <v>9392.23157261248</v>
      </c>
      <c r="F397" s="38" t="n">
        <v>588.115040898778</v>
      </c>
      <c r="G397" s="38" t="n">
        <v>827.175620841506</v>
      </c>
      <c r="H397" s="38" t="n">
        <v>3830.00527775108</v>
      </c>
      <c r="I397" s="38" t="n">
        <v>782.154430474955</v>
      </c>
      <c r="J397" s="38" t="n">
        <v>60.9931348245973</v>
      </c>
      <c r="K397" s="38" t="n">
        <v>11.1098274099985</v>
      </c>
      <c r="L397" s="38" t="n">
        <v>11889.2435227392</v>
      </c>
      <c r="M397" s="21" t="n">
        <f aca="false">SUM(B397:L397)</f>
        <v>31829.8402590854</v>
      </c>
    </row>
    <row r="398" customFormat="false" ht="15" hidden="false" customHeight="false" outlineLevel="0" collapsed="false">
      <c r="A398" s="36" t="n">
        <v>46111</v>
      </c>
      <c r="B398" s="38" t="n">
        <v>0</v>
      </c>
      <c r="C398" s="38" t="n">
        <v>26.8110480144586</v>
      </c>
      <c r="D398" s="38" t="n">
        <v>6677.76517064689</v>
      </c>
      <c r="E398" s="38" t="n">
        <v>28264.165322932</v>
      </c>
      <c r="F398" s="38" t="n">
        <v>4050.15216087643</v>
      </c>
      <c r="G398" s="38" t="n">
        <v>6798.04692362862</v>
      </c>
      <c r="H398" s="38" t="n">
        <v>14924.1213008609</v>
      </c>
      <c r="I398" s="38" t="n">
        <v>838.859980854384</v>
      </c>
      <c r="J398" s="38" t="n">
        <v>208.570122444836</v>
      </c>
      <c r="K398" s="38" t="n">
        <v>68.2487067172535</v>
      </c>
      <c r="L398" s="38" t="n">
        <v>37496.8381603505</v>
      </c>
      <c r="M398" s="21" t="n">
        <f aca="false">SUM(B398:L398)</f>
        <v>99353.5788973262</v>
      </c>
    </row>
    <row r="399" customFormat="false" ht="15" hidden="false" customHeight="false" outlineLevel="0" collapsed="false">
      <c r="A399" s="36" t="n">
        <v>46112</v>
      </c>
      <c r="B399" s="38" t="n">
        <v>0</v>
      </c>
      <c r="C399" s="38" t="n">
        <v>17.2805110899789</v>
      </c>
      <c r="D399" s="38" t="n">
        <v>9033.94392078528</v>
      </c>
      <c r="E399" s="38" t="n">
        <v>45584.4308477315</v>
      </c>
      <c r="F399" s="38" t="n">
        <v>5095.34808479925</v>
      </c>
      <c r="G399" s="38" t="n">
        <v>8777.15782000614</v>
      </c>
      <c r="H399" s="38" t="n">
        <v>30464.9292229701</v>
      </c>
      <c r="I399" s="38" t="n">
        <v>660.751041846099</v>
      </c>
      <c r="J399" s="38" t="n">
        <v>222.017903186082</v>
      </c>
      <c r="K399" s="38" t="n">
        <v>25.1297757537863</v>
      </c>
      <c r="L399" s="38" t="n">
        <v>55685.1399743528</v>
      </c>
      <c r="M399" s="21" t="n">
        <f aca="false">SUM(B399:L399)</f>
        <v>155566.129102521</v>
      </c>
    </row>
    <row r="400" customFormat="false" ht="15" hidden="false" customHeight="false" outlineLevel="0" collapsed="false">
      <c r="A400" s="36" t="n">
        <v>46113</v>
      </c>
      <c r="B400" s="38" t="n">
        <v>0</v>
      </c>
      <c r="C400" s="38" t="n">
        <v>31.6160075428289</v>
      </c>
      <c r="D400" s="38" t="n">
        <v>5164.68296353372</v>
      </c>
      <c r="E400" s="38" t="n">
        <v>46487.7654328654</v>
      </c>
      <c r="F400" s="38" t="n">
        <v>3880.77829251904</v>
      </c>
      <c r="G400" s="38" t="n">
        <v>7061.22859173721</v>
      </c>
      <c r="H400" s="38" t="n">
        <v>22672.8884719241</v>
      </c>
      <c r="I400" s="38" t="n">
        <v>747.456204187545</v>
      </c>
      <c r="J400" s="38" t="n">
        <v>188.155709633078</v>
      </c>
      <c r="K400" s="38" t="n">
        <v>23.135428523156</v>
      </c>
      <c r="L400" s="38" t="n">
        <v>41099.8422955267</v>
      </c>
      <c r="M400" s="21" t="n">
        <f aca="false">SUM(B400:L400)</f>
        <v>127357.549397993</v>
      </c>
    </row>
    <row r="401" customFormat="false" ht="15" hidden="false" customHeight="false" outlineLevel="0" collapsed="false">
      <c r="A401" s="36" t="n">
        <v>46114</v>
      </c>
      <c r="B401" s="38" t="n">
        <v>0</v>
      </c>
      <c r="C401" s="38" t="n">
        <v>7.56558644024405</v>
      </c>
      <c r="D401" s="38" t="n">
        <v>7327.94226845562</v>
      </c>
      <c r="E401" s="38" t="n">
        <v>59616.5910694171</v>
      </c>
      <c r="F401" s="38" t="n">
        <v>4619.24146677274</v>
      </c>
      <c r="G401" s="38" t="n">
        <v>8578.94559687119</v>
      </c>
      <c r="H401" s="38" t="n">
        <v>30985.6230438179</v>
      </c>
      <c r="I401" s="38" t="n">
        <v>741.009146786073</v>
      </c>
      <c r="J401" s="38" t="n">
        <v>304.680544306412</v>
      </c>
      <c r="K401" s="38" t="n">
        <v>61.3222927113062</v>
      </c>
      <c r="L401" s="38" t="n">
        <v>77095.8512774299</v>
      </c>
      <c r="M401" s="21" t="n">
        <f aca="false">SUM(B401:L401)</f>
        <v>189338.772293009</v>
      </c>
    </row>
    <row r="402" customFormat="false" ht="15" hidden="false" customHeight="false" outlineLevel="0" collapsed="false">
      <c r="A402" s="36" t="n">
        <v>46115</v>
      </c>
      <c r="B402" s="38" t="n">
        <v>0</v>
      </c>
      <c r="C402" s="38" t="n">
        <v>1.53582213854727</v>
      </c>
      <c r="D402" s="38" t="n">
        <v>3347.80908676472</v>
      </c>
      <c r="E402" s="38" t="n">
        <v>6516.07812970086</v>
      </c>
      <c r="F402" s="38" t="n">
        <v>1119.9370411211</v>
      </c>
      <c r="G402" s="38" t="n">
        <v>898.96711874389</v>
      </c>
      <c r="H402" s="38" t="n">
        <v>4390.62176797109</v>
      </c>
      <c r="I402" s="38" t="n">
        <v>275.92293085614</v>
      </c>
      <c r="J402" s="38" t="n">
        <v>31.1740219005631</v>
      </c>
      <c r="K402" s="38" t="n">
        <v>18.6639006870385</v>
      </c>
      <c r="L402" s="38" t="n">
        <v>5783.41325731602</v>
      </c>
      <c r="M402" s="21" t="n">
        <f aca="false">SUM(B402:L402)</f>
        <v>22384.1230772</v>
      </c>
    </row>
    <row r="403" customFormat="false" ht="15" hidden="false" customHeight="false" outlineLevel="0" collapsed="false">
      <c r="A403" s="36" t="n">
        <v>46116</v>
      </c>
      <c r="B403" s="38" t="n">
        <v>0</v>
      </c>
      <c r="C403" s="38" t="n">
        <v>0.01522618345749</v>
      </c>
      <c r="D403" s="38" t="n">
        <v>2173.1630287186</v>
      </c>
      <c r="E403" s="38" t="n">
        <v>3198.91748728478</v>
      </c>
      <c r="F403" s="38" t="n">
        <v>343.271667045829</v>
      </c>
      <c r="G403" s="38" t="n">
        <v>436.337206870992</v>
      </c>
      <c r="H403" s="38" t="n">
        <v>1547.79201549554</v>
      </c>
      <c r="I403" s="38" t="n">
        <v>250.045734625629</v>
      </c>
      <c r="J403" s="38" t="n">
        <v>17.1413900031668</v>
      </c>
      <c r="K403" s="38" t="n">
        <v>11.988638839139</v>
      </c>
      <c r="L403" s="38" t="n">
        <v>1381.82143823931</v>
      </c>
      <c r="M403" s="21" t="n">
        <f aca="false">SUM(B403:L403)</f>
        <v>9360.49383330644</v>
      </c>
    </row>
    <row r="404" customFormat="false" ht="15" hidden="false" customHeight="false" outlineLevel="0" collapsed="false">
      <c r="A404" s="36" t="n">
        <v>46117</v>
      </c>
      <c r="B404" s="38" t="n">
        <v>0</v>
      </c>
      <c r="C404" s="38" t="n">
        <v>0.387351201106</v>
      </c>
      <c r="D404" s="38" t="n">
        <v>3582.91430396125</v>
      </c>
      <c r="E404" s="38" t="n">
        <v>11972.100862557</v>
      </c>
      <c r="F404" s="38" t="n">
        <v>1495.99156127869</v>
      </c>
      <c r="G404" s="38" t="n">
        <v>928.062163156247</v>
      </c>
      <c r="H404" s="38" t="n">
        <v>4128.09747379043</v>
      </c>
      <c r="I404" s="38" t="n">
        <v>163.839135447215</v>
      </c>
      <c r="J404" s="38" t="n">
        <v>32.7532017293077</v>
      </c>
      <c r="K404" s="38" t="n">
        <v>5.097889441688</v>
      </c>
      <c r="L404" s="38" t="n">
        <v>14054.7794151855</v>
      </c>
      <c r="M404" s="21" t="n">
        <f aca="false">SUM(B404:L404)</f>
        <v>36364.0233577483</v>
      </c>
    </row>
    <row r="405" customFormat="false" ht="15" hidden="false" customHeight="false" outlineLevel="0" collapsed="false">
      <c r="A405" s="36" t="n">
        <v>46118</v>
      </c>
      <c r="B405" s="38" t="n">
        <v>0</v>
      </c>
      <c r="C405" s="38" t="n">
        <v>1.06167795502075</v>
      </c>
      <c r="D405" s="38" t="n">
        <v>5882.74452660601</v>
      </c>
      <c r="E405" s="38" t="n">
        <v>41452.2011814619</v>
      </c>
      <c r="F405" s="38" t="n">
        <v>4173.02061662171</v>
      </c>
      <c r="G405" s="38" t="n">
        <v>5108.14123087201</v>
      </c>
      <c r="H405" s="38" t="n">
        <v>17296.0050664593</v>
      </c>
      <c r="I405" s="38" t="n">
        <v>566.811978866894</v>
      </c>
      <c r="J405" s="38" t="n">
        <v>156.114123123837</v>
      </c>
      <c r="K405" s="38" t="n">
        <v>9.905610829571</v>
      </c>
      <c r="L405" s="38" t="n">
        <v>29297.8419027412</v>
      </c>
      <c r="M405" s="21" t="n">
        <f aca="false">SUM(B405:L405)</f>
        <v>103943.847915537</v>
      </c>
    </row>
    <row r="406" customFormat="false" ht="15" hidden="false" customHeight="false" outlineLevel="0" collapsed="false">
      <c r="A406" s="36" t="n">
        <v>46119</v>
      </c>
      <c r="B406" s="38" t="n">
        <v>1.7881148392375</v>
      </c>
      <c r="C406" s="38" t="n">
        <v>0.418813139705213</v>
      </c>
      <c r="D406" s="38" t="n">
        <v>8319.60112857524</v>
      </c>
      <c r="E406" s="38" t="n">
        <v>95017.3197336032</v>
      </c>
      <c r="F406" s="38" t="n">
        <v>4445.94623242867</v>
      </c>
      <c r="G406" s="38" t="n">
        <v>7678.50522775083</v>
      </c>
      <c r="H406" s="38" t="n">
        <v>33528.2951255187</v>
      </c>
      <c r="I406" s="38" t="n">
        <v>478.51711066421</v>
      </c>
      <c r="J406" s="38" t="n">
        <v>139.506054772854</v>
      </c>
      <c r="K406" s="38" t="n">
        <v>262.223230903983</v>
      </c>
      <c r="L406" s="38" t="n">
        <v>47133.9998063304</v>
      </c>
      <c r="M406" s="21" t="n">
        <f aca="false">SUM(B406:L406)</f>
        <v>197006.120578527</v>
      </c>
    </row>
    <row r="407" customFormat="false" ht="15" hidden="false" customHeight="false" outlineLevel="0" collapsed="false">
      <c r="A407" s="36" t="n">
        <v>46120</v>
      </c>
      <c r="B407" s="38" t="n">
        <v>18.6836237825776</v>
      </c>
      <c r="C407" s="38" t="n">
        <v>0.856256724106</v>
      </c>
      <c r="D407" s="38" t="n">
        <v>7385.69448663897</v>
      </c>
      <c r="E407" s="38" t="n">
        <v>87513.5588387463</v>
      </c>
      <c r="F407" s="38" t="n">
        <v>4251.48792688132</v>
      </c>
      <c r="G407" s="38" t="n">
        <v>9007.02510158919</v>
      </c>
      <c r="H407" s="38" t="n">
        <v>24810.2372522633</v>
      </c>
      <c r="I407" s="38" t="n">
        <v>355.389397219026</v>
      </c>
      <c r="J407" s="38" t="n">
        <v>148.501869809691</v>
      </c>
      <c r="K407" s="38" t="n">
        <v>180.396532526795</v>
      </c>
      <c r="L407" s="38" t="n">
        <v>32289.8810120386</v>
      </c>
      <c r="M407" s="21" t="n">
        <f aca="false">SUM(B407:L407)</f>
        <v>165961.71229822</v>
      </c>
    </row>
    <row r="408" customFormat="false" ht="15" hidden="false" customHeight="false" outlineLevel="0" collapsed="false">
      <c r="A408" s="36" t="n">
        <v>46121</v>
      </c>
      <c r="B408" s="38" t="n">
        <v>143.573524816879</v>
      </c>
      <c r="C408" s="38" t="n">
        <v>0.114577811297498</v>
      </c>
      <c r="D408" s="38" t="n">
        <v>7175.18916895017</v>
      </c>
      <c r="E408" s="38" t="n">
        <v>59560.7424552749</v>
      </c>
      <c r="F408" s="38" t="n">
        <v>5076.97631850575</v>
      </c>
      <c r="G408" s="38" t="n">
        <v>5933.83606409996</v>
      </c>
      <c r="H408" s="38" t="n">
        <v>17958.0748646553</v>
      </c>
      <c r="I408" s="38" t="n">
        <v>90.9093994282839</v>
      </c>
      <c r="J408" s="38" t="n">
        <v>140.394994748032</v>
      </c>
      <c r="K408" s="38" t="n">
        <v>297.484959471588</v>
      </c>
      <c r="L408" s="38" t="n">
        <v>19172.9803974094</v>
      </c>
      <c r="M408" s="21" t="n">
        <f aca="false">SUM(B408:L408)</f>
        <v>115550.276725172</v>
      </c>
    </row>
    <row r="409" customFormat="false" ht="15" hidden="false" customHeight="false" outlineLevel="0" collapsed="false">
      <c r="A409" s="36" t="n">
        <v>46122</v>
      </c>
      <c r="B409" s="38" t="n">
        <v>41.629080992471</v>
      </c>
      <c r="C409" s="38" t="n">
        <v>10.6432321356799</v>
      </c>
      <c r="D409" s="38" t="n">
        <v>6175.12559412796</v>
      </c>
      <c r="E409" s="38" t="n">
        <v>29953.7635258821</v>
      </c>
      <c r="F409" s="38" t="n">
        <v>3766.37856140671</v>
      </c>
      <c r="G409" s="38" t="n">
        <v>5958.66109924704</v>
      </c>
      <c r="H409" s="38" t="n">
        <v>12858.4734761301</v>
      </c>
      <c r="I409" s="38" t="n">
        <v>99.1124041967883</v>
      </c>
      <c r="J409" s="38" t="n">
        <v>345.231470472403</v>
      </c>
      <c r="K409" s="38" t="n">
        <v>220.549239434087</v>
      </c>
      <c r="L409" s="38" t="n">
        <v>17567.0035278715</v>
      </c>
      <c r="M409" s="21" t="n">
        <f aca="false">SUM(B409:L409)</f>
        <v>76996.5712118968</v>
      </c>
    </row>
    <row r="410" customFormat="false" ht="15" hidden="false" customHeight="false" outlineLevel="0" collapsed="false">
      <c r="A410" s="36" t="n">
        <v>46123</v>
      </c>
      <c r="B410" s="38" t="n">
        <v>0.195672081067075</v>
      </c>
      <c r="C410" s="38" t="n">
        <v>2.31120042404062</v>
      </c>
      <c r="D410" s="38" t="n">
        <v>3308.95917318056</v>
      </c>
      <c r="E410" s="38" t="n">
        <v>9987.35120326064</v>
      </c>
      <c r="F410" s="38" t="n">
        <v>1214.57492542023</v>
      </c>
      <c r="G410" s="38" t="n">
        <v>1286.29782827603</v>
      </c>
      <c r="H410" s="38" t="n">
        <v>3061.9340173923</v>
      </c>
      <c r="I410" s="38" t="n">
        <v>286.738480273994</v>
      </c>
      <c r="J410" s="38" t="n">
        <v>31.2972278237122</v>
      </c>
      <c r="K410" s="38" t="n">
        <v>177.04843951248</v>
      </c>
      <c r="L410" s="38" t="n">
        <v>1290.14041191609</v>
      </c>
      <c r="M410" s="21" t="n">
        <f aca="false">SUM(B410:L410)</f>
        <v>20646.8485795611</v>
      </c>
    </row>
    <row r="411" customFormat="false" ht="15" hidden="false" customHeight="false" outlineLevel="0" collapsed="false">
      <c r="A411" s="36" t="n">
        <v>46124</v>
      </c>
      <c r="B411" s="38" t="n">
        <v>0.24116925045785</v>
      </c>
      <c r="C411" s="38" t="n">
        <v>0.007009152444</v>
      </c>
      <c r="D411" s="38" t="n">
        <v>3972.0166341349</v>
      </c>
      <c r="E411" s="38" t="n">
        <v>37015.9201709942</v>
      </c>
      <c r="F411" s="38" t="n">
        <v>2735.0839870974</v>
      </c>
      <c r="G411" s="38" t="n">
        <v>2672.7254659539</v>
      </c>
      <c r="H411" s="38" t="n">
        <v>11384.7307442433</v>
      </c>
      <c r="I411" s="38" t="n">
        <v>418.685133859998</v>
      </c>
      <c r="J411" s="38" t="n">
        <v>218.013983391619</v>
      </c>
      <c r="K411" s="38" t="n">
        <v>140.039601146053</v>
      </c>
      <c r="L411" s="38" t="n">
        <v>12556.6698617506</v>
      </c>
      <c r="M411" s="21" t="n">
        <f aca="false">SUM(B411:L411)</f>
        <v>71114.1337609748</v>
      </c>
    </row>
    <row r="412" customFormat="false" ht="15" hidden="false" customHeight="false" outlineLevel="0" collapsed="false">
      <c r="A412" s="36" t="n">
        <v>46125</v>
      </c>
      <c r="B412" s="38" t="n">
        <v>43.2135453395646</v>
      </c>
      <c r="C412" s="38" t="n">
        <v>0.03978159843776</v>
      </c>
      <c r="D412" s="38" t="n">
        <v>5750.48358326619</v>
      </c>
      <c r="E412" s="38" t="n">
        <v>43831.5034220967</v>
      </c>
      <c r="F412" s="38" t="n">
        <v>4101.50724475014</v>
      </c>
      <c r="G412" s="38" t="n">
        <v>5054.47168723694</v>
      </c>
      <c r="H412" s="38" t="n">
        <v>18881.3848753641</v>
      </c>
      <c r="I412" s="38" t="n">
        <v>374.379639954105</v>
      </c>
      <c r="J412" s="38" t="n">
        <v>524.463290244555</v>
      </c>
      <c r="K412" s="38" t="n">
        <v>202.446203099363</v>
      </c>
      <c r="L412" s="38" t="n">
        <v>16718.5357143695</v>
      </c>
      <c r="M412" s="21" t="n">
        <f aca="false">SUM(B412:L412)</f>
        <v>95482.4289873196</v>
      </c>
    </row>
    <row r="413" customFormat="false" ht="15" hidden="false" customHeight="false" outlineLevel="0" collapsed="false">
      <c r="A413" s="36" t="n">
        <v>46126</v>
      </c>
      <c r="B413" s="38" t="n">
        <v>9.2972824968323</v>
      </c>
      <c r="C413" s="38" t="n">
        <v>3.06809087144505</v>
      </c>
      <c r="D413" s="38" t="n">
        <v>5387.64352650663</v>
      </c>
      <c r="E413" s="38" t="n">
        <v>35722.9629330323</v>
      </c>
      <c r="F413" s="38" t="n">
        <v>3951.51339992865</v>
      </c>
      <c r="G413" s="38" t="n">
        <v>5438.70724198074</v>
      </c>
      <c r="H413" s="38" t="n">
        <v>14315.481731808</v>
      </c>
      <c r="I413" s="38" t="n">
        <v>193.852778702023</v>
      </c>
      <c r="J413" s="38" t="n">
        <v>514.866672650317</v>
      </c>
      <c r="K413" s="38" t="n">
        <v>211.059232686588</v>
      </c>
      <c r="L413" s="38" t="n">
        <v>15470.8024014887</v>
      </c>
      <c r="M413" s="21" t="n">
        <f aca="false">SUM(B413:L413)</f>
        <v>81219.2552921522</v>
      </c>
    </row>
    <row r="414" customFormat="false" ht="15" hidden="false" customHeight="false" outlineLevel="0" collapsed="false">
      <c r="A414" s="36" t="n">
        <v>46127</v>
      </c>
      <c r="B414" s="38" t="n">
        <v>2.39912176758075</v>
      </c>
      <c r="C414" s="38" t="n">
        <v>0.12780005193828</v>
      </c>
      <c r="D414" s="38" t="n">
        <v>3670.53850511186</v>
      </c>
      <c r="E414" s="38" t="n">
        <v>25120.1705768483</v>
      </c>
      <c r="F414" s="38" t="n">
        <v>3270.64324722205</v>
      </c>
      <c r="G414" s="38" t="n">
        <v>4738.88291414978</v>
      </c>
      <c r="H414" s="38" t="n">
        <v>18283.6421478165</v>
      </c>
      <c r="I414" s="38" t="n">
        <v>246.224165737804</v>
      </c>
      <c r="J414" s="38" t="n">
        <v>490.72726900631</v>
      </c>
      <c r="K414" s="38" t="n">
        <v>129.073089101726</v>
      </c>
      <c r="L414" s="38" t="n">
        <v>19930.748352442</v>
      </c>
      <c r="M414" s="21" t="n">
        <f aca="false">SUM(B414:L414)</f>
        <v>75883.1771892558</v>
      </c>
    </row>
    <row r="415" customFormat="false" ht="15" hidden="false" customHeight="false" outlineLevel="0" collapsed="false">
      <c r="A415" s="36" t="n">
        <v>46128</v>
      </c>
      <c r="B415" s="38" t="n">
        <v>26.3410007904362</v>
      </c>
      <c r="C415" s="38" t="n">
        <v>0.026024043379725</v>
      </c>
      <c r="D415" s="38" t="n">
        <v>6415.91934094823</v>
      </c>
      <c r="E415" s="38" t="n">
        <v>20634.9316865851</v>
      </c>
      <c r="F415" s="38" t="n">
        <v>3305.85997209327</v>
      </c>
      <c r="G415" s="38" t="n">
        <v>5299.75937050601</v>
      </c>
      <c r="H415" s="38" t="n">
        <v>17745.6560684486</v>
      </c>
      <c r="I415" s="38" t="n">
        <v>110.744105230452</v>
      </c>
      <c r="J415" s="38" t="n">
        <v>215.564448769664</v>
      </c>
      <c r="K415" s="38" t="n">
        <v>85.892807466119</v>
      </c>
      <c r="L415" s="38" t="n">
        <v>11362.1336965959</v>
      </c>
      <c r="M415" s="21" t="n">
        <f aca="false">SUM(B415:L415)</f>
        <v>65202.8285214772</v>
      </c>
    </row>
    <row r="416" customFormat="false" ht="15" hidden="false" customHeight="false" outlineLevel="0" collapsed="false">
      <c r="A416" s="36" t="n">
        <v>46129</v>
      </c>
      <c r="B416" s="38" t="n">
        <v>9.42660256392428</v>
      </c>
      <c r="C416" s="38" t="n">
        <v>0.145659876534848</v>
      </c>
      <c r="D416" s="38" t="n">
        <v>9687.87085137337</v>
      </c>
      <c r="E416" s="38" t="n">
        <v>43824.9631602927</v>
      </c>
      <c r="F416" s="38" t="n">
        <v>7941.28842508318</v>
      </c>
      <c r="G416" s="38" t="n">
        <v>4234.87436486503</v>
      </c>
      <c r="H416" s="38" t="n">
        <v>18504.4196853519</v>
      </c>
      <c r="I416" s="38" t="n">
        <v>267.658241819283</v>
      </c>
      <c r="J416" s="38" t="n">
        <v>105.086455850446</v>
      </c>
      <c r="K416" s="38" t="n">
        <v>250.666594569787</v>
      </c>
      <c r="L416" s="38" t="n">
        <v>17499.5092122657</v>
      </c>
      <c r="M416" s="21" t="n">
        <f aca="false">SUM(B416:L416)</f>
        <v>102325.909253912</v>
      </c>
    </row>
    <row r="417" customFormat="false" ht="15" hidden="false" customHeight="false" outlineLevel="0" collapsed="false">
      <c r="A417" s="36" t="n">
        <v>46130</v>
      </c>
      <c r="B417" s="38" t="n">
        <v>0.2424955641234</v>
      </c>
      <c r="C417" s="38" t="n">
        <v>0.19907932954671</v>
      </c>
      <c r="D417" s="38" t="n">
        <v>4213.16543714003</v>
      </c>
      <c r="E417" s="38" t="n">
        <v>12667.0017982134</v>
      </c>
      <c r="F417" s="38" t="n">
        <v>2764.03458778635</v>
      </c>
      <c r="G417" s="38" t="n">
        <v>1318.1460759552</v>
      </c>
      <c r="H417" s="38" t="n">
        <v>3736.9071312722</v>
      </c>
      <c r="I417" s="38" t="n">
        <v>373.454814903255</v>
      </c>
      <c r="J417" s="38" t="n">
        <v>11.1667792131987</v>
      </c>
      <c r="K417" s="38" t="n">
        <v>203.4461579951</v>
      </c>
      <c r="L417" s="38" t="n">
        <v>6896.7071508591</v>
      </c>
      <c r="M417" s="21" t="n">
        <f aca="false">SUM(B417:L417)</f>
        <v>32184.4715082315</v>
      </c>
    </row>
    <row r="418" customFormat="false" ht="15" hidden="false" customHeight="false" outlineLevel="0" collapsed="false">
      <c r="A418" s="36" t="n">
        <v>46131</v>
      </c>
      <c r="B418" s="38" t="n">
        <v>0.7613186718478</v>
      </c>
      <c r="C418" s="38" t="n">
        <v>0.120614012686625</v>
      </c>
      <c r="D418" s="38" t="n">
        <v>4179.92163804806</v>
      </c>
      <c r="E418" s="38" t="n">
        <v>20642.4583981588</v>
      </c>
      <c r="F418" s="38" t="n">
        <v>4015.4505544289</v>
      </c>
      <c r="G418" s="38" t="n">
        <v>1160.0778624128</v>
      </c>
      <c r="H418" s="38" t="n">
        <v>5184.03922908972</v>
      </c>
      <c r="I418" s="38" t="n">
        <v>416.969801864501</v>
      </c>
      <c r="J418" s="38" t="n">
        <v>80.6300016560687</v>
      </c>
      <c r="K418" s="38" t="n">
        <v>213.202429688514</v>
      </c>
      <c r="L418" s="38" t="n">
        <v>10382.1852209509</v>
      </c>
      <c r="M418" s="21" t="n">
        <f aca="false">SUM(B418:L418)</f>
        <v>46275.8170689828</v>
      </c>
    </row>
    <row r="419" customFormat="false" ht="15" hidden="false" customHeight="false" outlineLevel="0" collapsed="false">
      <c r="A419" s="36" t="n">
        <v>46132</v>
      </c>
      <c r="B419" s="38" t="n">
        <v>2.6218974571945</v>
      </c>
      <c r="C419" s="38" t="n">
        <v>0.00284347401405</v>
      </c>
      <c r="D419" s="38" t="n">
        <v>7507.03472122419</v>
      </c>
      <c r="E419" s="38" t="n">
        <v>32104.6556184506</v>
      </c>
      <c r="F419" s="38" t="n">
        <v>8246.39982004679</v>
      </c>
      <c r="G419" s="38" t="n">
        <v>4152.37826911673</v>
      </c>
      <c r="H419" s="38" t="n">
        <v>15492.8482759615</v>
      </c>
      <c r="I419" s="38" t="n">
        <v>174.028638302527</v>
      </c>
      <c r="J419" s="38" t="n">
        <v>152.941648280014</v>
      </c>
      <c r="K419" s="38" t="n">
        <v>195.828632917727</v>
      </c>
      <c r="L419" s="38" t="n">
        <v>15835.2256186812</v>
      </c>
      <c r="M419" s="21" t="n">
        <f aca="false">SUM(B419:L419)</f>
        <v>83863.9659839126</v>
      </c>
    </row>
    <row r="420" customFormat="false" ht="15" hidden="false" customHeight="false" outlineLevel="0" collapsed="false">
      <c r="A420" s="36" t="n">
        <v>46133</v>
      </c>
      <c r="B420" s="38" t="n">
        <v>0.6678690532861</v>
      </c>
      <c r="C420" s="38" t="n">
        <v>8.65840543228318</v>
      </c>
      <c r="D420" s="38" t="n">
        <v>4426.08308078679</v>
      </c>
      <c r="E420" s="38" t="n">
        <v>38956.551463093</v>
      </c>
      <c r="F420" s="38" t="n">
        <v>5205.90961443319</v>
      </c>
      <c r="G420" s="38" t="n">
        <v>3846.08512760928</v>
      </c>
      <c r="H420" s="38" t="n">
        <v>17107.6379025826</v>
      </c>
      <c r="I420" s="38" t="n">
        <v>478.012284274378</v>
      </c>
      <c r="J420" s="38" t="n">
        <v>131.548018381991</v>
      </c>
      <c r="K420" s="38" t="n">
        <v>278.034009010558</v>
      </c>
      <c r="L420" s="38" t="n">
        <v>30526.6699401024</v>
      </c>
      <c r="M420" s="21" t="n">
        <f aca="false">SUM(B420:L420)</f>
        <v>100965.85771476</v>
      </c>
    </row>
    <row r="421" customFormat="false" ht="15" hidden="false" customHeight="false" outlineLevel="0" collapsed="false">
      <c r="A421" s="36" t="n">
        <v>46134</v>
      </c>
      <c r="B421" s="38" t="n">
        <v>2.55589811458415</v>
      </c>
      <c r="C421" s="38" t="n">
        <v>24.9626775391844</v>
      </c>
      <c r="D421" s="38" t="n">
        <v>6732.39250479013</v>
      </c>
      <c r="E421" s="38" t="n">
        <v>26548.5582041482</v>
      </c>
      <c r="F421" s="38" t="n">
        <v>3911.77744340797</v>
      </c>
      <c r="G421" s="38" t="n">
        <v>4093.96563011749</v>
      </c>
      <c r="H421" s="38" t="n">
        <v>12800.5210640177</v>
      </c>
      <c r="I421" s="38" t="n">
        <v>239.531242788434</v>
      </c>
      <c r="J421" s="38" t="n">
        <v>153.621188857164</v>
      </c>
      <c r="K421" s="38" t="n">
        <v>511.863382373475</v>
      </c>
      <c r="L421" s="38" t="n">
        <v>19739.6567081293</v>
      </c>
      <c r="M421" s="21" t="n">
        <f aca="false">SUM(B421:L421)</f>
        <v>74759.4059442836</v>
      </c>
    </row>
    <row r="422" customFormat="false" ht="15" hidden="false" customHeight="false" outlineLevel="0" collapsed="false">
      <c r="A422" s="36" t="n">
        <v>46135</v>
      </c>
      <c r="B422" s="38" t="n">
        <v>1.220256181604</v>
      </c>
      <c r="C422" s="38" t="n">
        <v>20.6809205177913</v>
      </c>
      <c r="D422" s="38" t="n">
        <v>10464.0662946275</v>
      </c>
      <c r="E422" s="38" t="n">
        <v>37630.3586396392</v>
      </c>
      <c r="F422" s="38" t="n">
        <v>3863.83444087635</v>
      </c>
      <c r="G422" s="38" t="n">
        <v>6881.16649226633</v>
      </c>
      <c r="H422" s="38" t="n">
        <v>20352.6354489391</v>
      </c>
      <c r="I422" s="38" t="n">
        <v>248.409328192137</v>
      </c>
      <c r="J422" s="38" t="n">
        <v>244.094886831501</v>
      </c>
      <c r="K422" s="38" t="n">
        <v>248.80364172727</v>
      </c>
      <c r="L422" s="38" t="n">
        <v>21708.0059321775</v>
      </c>
      <c r="M422" s="21" t="n">
        <f aca="false">SUM(B422:L422)</f>
        <v>101663.276281976</v>
      </c>
    </row>
    <row r="423" customFormat="false" ht="15" hidden="false" customHeight="false" outlineLevel="0" collapsed="false">
      <c r="A423" s="36" t="n">
        <v>46136</v>
      </c>
      <c r="B423" s="38" t="n">
        <v>1.2008903846629</v>
      </c>
      <c r="C423" s="38" t="n">
        <v>27.9103682835831</v>
      </c>
      <c r="D423" s="38" t="n">
        <v>2247.57008212343</v>
      </c>
      <c r="E423" s="38" t="n">
        <v>29755.5374419275</v>
      </c>
      <c r="F423" s="38" t="n">
        <v>3560.42502318095</v>
      </c>
      <c r="G423" s="38" t="n">
        <v>8526.97491174507</v>
      </c>
      <c r="H423" s="38" t="n">
        <v>15650.8950414743</v>
      </c>
      <c r="I423" s="38" t="n">
        <v>205.879952013532</v>
      </c>
      <c r="J423" s="38" t="n">
        <v>160.414924727135</v>
      </c>
      <c r="K423" s="38" t="n">
        <v>101.57019621985</v>
      </c>
      <c r="L423" s="38" t="n">
        <v>16923.5302087234</v>
      </c>
      <c r="M423" s="21" t="n">
        <f aca="false">SUM(B423:L423)</f>
        <v>77161.9090408034</v>
      </c>
    </row>
    <row r="424" customFormat="false" ht="15" hidden="false" customHeight="false" outlineLevel="0" collapsed="false">
      <c r="A424" s="36" t="n">
        <v>46137</v>
      </c>
      <c r="B424" s="38" t="n">
        <v>0.138055688713875</v>
      </c>
      <c r="C424" s="38" t="n">
        <v>24.1112305375284</v>
      </c>
      <c r="D424" s="38" t="n">
        <v>1575.36976077148</v>
      </c>
      <c r="E424" s="38" t="n">
        <v>4706.3646664555</v>
      </c>
      <c r="F424" s="38" t="n">
        <v>741.710534871947</v>
      </c>
      <c r="G424" s="38" t="n">
        <v>993.223114488101</v>
      </c>
      <c r="H424" s="38" t="n">
        <v>2275.32753118149</v>
      </c>
      <c r="I424" s="38" t="n">
        <v>20.072392756362</v>
      </c>
      <c r="J424" s="38" t="n">
        <v>9.86024819349246</v>
      </c>
      <c r="K424" s="38" t="n">
        <v>31.68359655018</v>
      </c>
      <c r="L424" s="38" t="n">
        <v>2805.50898271654</v>
      </c>
      <c r="M424" s="21" t="n">
        <f aca="false">SUM(B424:L424)</f>
        <v>13183.3701142113</v>
      </c>
    </row>
    <row r="425" customFormat="false" ht="15" hidden="false" customHeight="false" outlineLevel="0" collapsed="false">
      <c r="A425" s="36" t="n">
        <v>46138</v>
      </c>
      <c r="B425" s="38" t="n">
        <v>0.4410315467482</v>
      </c>
      <c r="C425" s="38" t="n">
        <v>5.02543533309552</v>
      </c>
      <c r="D425" s="38" t="n">
        <v>14740.5508493377</v>
      </c>
      <c r="E425" s="38" t="n">
        <v>6171.93167321191</v>
      </c>
      <c r="F425" s="38" t="n">
        <v>1631.06949810041</v>
      </c>
      <c r="G425" s="38" t="n">
        <v>2346.94297539233</v>
      </c>
      <c r="H425" s="38" t="n">
        <v>4643.11779629513</v>
      </c>
      <c r="I425" s="38" t="n">
        <v>78.5031529348482</v>
      </c>
      <c r="J425" s="38" t="n">
        <v>167.176545790007</v>
      </c>
      <c r="K425" s="38" t="n">
        <v>147.105124159858</v>
      </c>
      <c r="L425" s="38" t="n">
        <v>6350.10115991667</v>
      </c>
      <c r="M425" s="21" t="n">
        <f aca="false">SUM(B425:L425)</f>
        <v>36281.9652420187</v>
      </c>
    </row>
    <row r="426" customFormat="false" ht="15" hidden="false" customHeight="false" outlineLevel="0" collapsed="false">
      <c r="A426" s="36" t="n">
        <v>46139</v>
      </c>
      <c r="B426" s="38" t="n">
        <v>0.95529969485435</v>
      </c>
      <c r="C426" s="38" t="n">
        <v>0.73740276593834</v>
      </c>
      <c r="D426" s="38" t="n">
        <v>3900.98075257749</v>
      </c>
      <c r="E426" s="38" t="n">
        <v>16463.848642989</v>
      </c>
      <c r="F426" s="38" t="n">
        <v>5633.77902208681</v>
      </c>
      <c r="G426" s="38" t="n">
        <v>9859.49773787386</v>
      </c>
      <c r="H426" s="38" t="n">
        <v>13289.3285012339</v>
      </c>
      <c r="I426" s="38" t="n">
        <v>192.722937867388</v>
      </c>
      <c r="J426" s="38" t="n">
        <v>141.312675959642</v>
      </c>
      <c r="K426" s="38" t="n">
        <v>95.7090496045475</v>
      </c>
      <c r="L426" s="38" t="n">
        <v>15927.8119453836</v>
      </c>
      <c r="M426" s="21" t="n">
        <f aca="false">SUM(B426:L426)</f>
        <v>65506.6839680371</v>
      </c>
    </row>
    <row r="427" customFormat="false" ht="15" hidden="false" customHeight="false" outlineLevel="0" collapsed="false">
      <c r="A427" s="36" t="n">
        <v>46140</v>
      </c>
      <c r="B427" s="38" t="n">
        <v>5.2454665001916</v>
      </c>
      <c r="C427" s="38" t="n">
        <v>40.680566230575</v>
      </c>
      <c r="D427" s="38" t="n">
        <v>1711.41709656903</v>
      </c>
      <c r="E427" s="38" t="n">
        <v>29626.5516178203</v>
      </c>
      <c r="F427" s="38" t="n">
        <v>4414.92141836393</v>
      </c>
      <c r="G427" s="38" t="n">
        <v>9029.97474244972</v>
      </c>
      <c r="H427" s="38" t="n">
        <v>13502.1013680811</v>
      </c>
      <c r="I427" s="38" t="n">
        <v>321.117549766906</v>
      </c>
      <c r="J427" s="38" t="n">
        <v>849.742669674995</v>
      </c>
      <c r="K427" s="38" t="n">
        <v>177.804033900923</v>
      </c>
      <c r="L427" s="38" t="n">
        <v>33525.2346494267</v>
      </c>
      <c r="M427" s="21" t="n">
        <f aca="false">SUM(B427:L427)</f>
        <v>93204.7911787844</v>
      </c>
    </row>
    <row r="428" customFormat="false" ht="15" hidden="false" customHeight="false" outlineLevel="0" collapsed="false">
      <c r="A428" s="36" t="n">
        <v>46141</v>
      </c>
      <c r="B428" s="38" t="n">
        <v>33.286638099672</v>
      </c>
      <c r="C428" s="38" t="n">
        <v>10.530099757343</v>
      </c>
      <c r="D428" s="38" t="n">
        <v>2436.08131839673</v>
      </c>
      <c r="E428" s="38" t="n">
        <v>34947.5920318255</v>
      </c>
      <c r="F428" s="38" t="n">
        <v>6127.22836591496</v>
      </c>
      <c r="G428" s="38" t="n">
        <v>13889.79881252</v>
      </c>
      <c r="H428" s="38" t="n">
        <v>21727.7089083108</v>
      </c>
      <c r="I428" s="38" t="n">
        <v>311.496135792224</v>
      </c>
      <c r="J428" s="38" t="n">
        <v>155.894905231637</v>
      </c>
      <c r="K428" s="38" t="n">
        <v>394.171923369906</v>
      </c>
      <c r="L428" s="38" t="n">
        <v>28384.9632949738</v>
      </c>
      <c r="M428" s="21" t="n">
        <f aca="false">SUM(B428:L428)</f>
        <v>108418.752434193</v>
      </c>
    </row>
    <row r="429" customFormat="false" ht="15" hidden="false" customHeight="false" outlineLevel="0" collapsed="false">
      <c r="A429" s="36" t="n">
        <v>46142</v>
      </c>
      <c r="B429" s="38" t="n">
        <v>30.0783738144792</v>
      </c>
      <c r="C429" s="38" t="n">
        <v>66.6055892011922</v>
      </c>
      <c r="D429" s="38" t="n">
        <v>1381.31624718142</v>
      </c>
      <c r="E429" s="38" t="n">
        <v>34602.5491799344</v>
      </c>
      <c r="F429" s="38" t="n">
        <v>9447.06095092341</v>
      </c>
      <c r="G429" s="38" t="n">
        <v>14738.2478494612</v>
      </c>
      <c r="H429" s="38" t="n">
        <v>21433.4933940411</v>
      </c>
      <c r="I429" s="38" t="n">
        <v>898.656952575688</v>
      </c>
      <c r="J429" s="38" t="n">
        <v>115.755623113304</v>
      </c>
      <c r="K429" s="38" t="n">
        <v>283.211578291293</v>
      </c>
      <c r="L429" s="38" t="n">
        <v>23356.3416771109</v>
      </c>
      <c r="M429" s="21" t="n">
        <f aca="false">SUM(B429:L429)</f>
        <v>106353.317415648</v>
      </c>
    </row>
    <row r="430" customFormat="false" ht="15" hidden="false" customHeight="false" outlineLevel="0" collapsed="false">
      <c r="A430" s="36" t="n">
        <v>46143</v>
      </c>
      <c r="B430" s="38" t="n">
        <v>114.657589995946</v>
      </c>
      <c r="C430" s="38" t="n">
        <v>148.027313760341</v>
      </c>
      <c r="D430" s="38" t="n">
        <v>2249.84005748118</v>
      </c>
      <c r="E430" s="38" t="n">
        <v>32762.187087504</v>
      </c>
      <c r="F430" s="38" t="n">
        <v>8538.11613625584</v>
      </c>
      <c r="G430" s="38" t="n">
        <v>10958.596882219</v>
      </c>
      <c r="H430" s="38" t="n">
        <v>12282.5662143277</v>
      </c>
      <c r="I430" s="38" t="n">
        <v>473.954439392381</v>
      </c>
      <c r="J430" s="38" t="n">
        <v>114.151688935595</v>
      </c>
      <c r="K430" s="38" t="n">
        <v>118.228107494392</v>
      </c>
      <c r="L430" s="38" t="n">
        <v>19382.2326142252</v>
      </c>
      <c r="M430" s="21" t="n">
        <f aca="false">SUM(B430:L430)</f>
        <v>87142.5581315916</v>
      </c>
    </row>
    <row r="431" customFormat="false" ht="15" hidden="false" customHeight="false" outlineLevel="0" collapsed="false">
      <c r="A431" s="36" t="n">
        <v>46144</v>
      </c>
      <c r="B431" s="38" t="n">
        <v>0.1908475282946</v>
      </c>
      <c r="C431" s="38" t="n">
        <v>40.827671763842</v>
      </c>
      <c r="D431" s="38" t="n">
        <v>1414.09377340421</v>
      </c>
      <c r="E431" s="38" t="n">
        <v>2316.93450803263</v>
      </c>
      <c r="F431" s="38" t="n">
        <v>1136.23626447398</v>
      </c>
      <c r="G431" s="38" t="n">
        <v>1125.47790150809</v>
      </c>
      <c r="H431" s="38" t="n">
        <v>2194.11640055758</v>
      </c>
      <c r="I431" s="38" t="n">
        <v>251.55977081471</v>
      </c>
      <c r="J431" s="38" t="n">
        <v>19.6427421375726</v>
      </c>
      <c r="K431" s="38" t="n">
        <v>59.92390966337</v>
      </c>
      <c r="L431" s="38" t="n">
        <v>958.245827325683</v>
      </c>
      <c r="M431" s="21" t="n">
        <f aca="false">SUM(B431:L431)</f>
        <v>9517.24961720996</v>
      </c>
    </row>
    <row r="432" customFormat="false" ht="15" hidden="false" customHeight="false" outlineLevel="0" collapsed="false">
      <c r="A432" s="36" t="n">
        <v>46145</v>
      </c>
      <c r="B432" s="38" t="n">
        <v>0.325657860580375</v>
      </c>
      <c r="C432" s="38" t="n">
        <v>35.0004029719702</v>
      </c>
      <c r="D432" s="38" t="n">
        <v>1494.71783720392</v>
      </c>
      <c r="E432" s="38" t="n">
        <v>11327.1943576237</v>
      </c>
      <c r="F432" s="38" t="n">
        <v>954.218755258287</v>
      </c>
      <c r="G432" s="38" t="n">
        <v>1486.4879836418</v>
      </c>
      <c r="H432" s="38" t="n">
        <v>3276.43567843941</v>
      </c>
      <c r="I432" s="38" t="n">
        <v>321.50073099268</v>
      </c>
      <c r="J432" s="38" t="n">
        <v>65.5081613522621</v>
      </c>
      <c r="K432" s="38" t="n">
        <v>29.413299041395</v>
      </c>
      <c r="L432" s="38" t="n">
        <v>6295.74467500425</v>
      </c>
      <c r="M432" s="21" t="n">
        <f aca="false">SUM(B432:L432)</f>
        <v>25286.5475393902</v>
      </c>
    </row>
    <row r="433" customFormat="false" ht="15" hidden="false" customHeight="false" outlineLevel="0" collapsed="false">
      <c r="A433" s="36" t="n">
        <v>46146</v>
      </c>
      <c r="B433" s="38" t="n">
        <v>105.20405268468</v>
      </c>
      <c r="C433" s="38" t="n">
        <v>10.5659095592931</v>
      </c>
      <c r="D433" s="38" t="n">
        <v>6434.95593043858</v>
      </c>
      <c r="E433" s="38" t="n">
        <v>47990.9736026049</v>
      </c>
      <c r="F433" s="38" t="n">
        <v>9377.29077556515</v>
      </c>
      <c r="G433" s="38" t="n">
        <v>11739.8515522294</v>
      </c>
      <c r="H433" s="38" t="n">
        <v>20677.5421308314</v>
      </c>
      <c r="I433" s="38" t="n">
        <v>770.739040454329</v>
      </c>
      <c r="J433" s="38" t="n">
        <v>167.044381270345</v>
      </c>
      <c r="K433" s="38" t="n">
        <v>60.73082286416</v>
      </c>
      <c r="L433" s="38" t="n">
        <v>28676.4095336659</v>
      </c>
      <c r="M433" s="21" t="n">
        <f aca="false">SUM(B433:L433)</f>
        <v>126011.307732168</v>
      </c>
    </row>
    <row r="434" customFormat="false" ht="15" hidden="false" customHeight="false" outlineLevel="0" collapsed="false">
      <c r="A434" s="36" t="n">
        <v>46147</v>
      </c>
      <c r="B434" s="38" t="n">
        <v>31.6571408647365</v>
      </c>
      <c r="C434" s="38" t="n">
        <v>5.8201678529946</v>
      </c>
      <c r="D434" s="38" t="n">
        <v>3976.21305869158</v>
      </c>
      <c r="E434" s="38" t="n">
        <v>30571.2651249464</v>
      </c>
      <c r="F434" s="38" t="n">
        <v>6659.88455806326</v>
      </c>
      <c r="G434" s="38" t="n">
        <v>13686.199822205</v>
      </c>
      <c r="H434" s="38" t="n">
        <v>13682.8198356928</v>
      </c>
      <c r="I434" s="38" t="n">
        <v>304.990944363453</v>
      </c>
      <c r="J434" s="38" t="n">
        <v>196.914392676318</v>
      </c>
      <c r="K434" s="38" t="n">
        <v>68.1393772311425</v>
      </c>
      <c r="L434" s="38" t="n">
        <v>16088.3489301776</v>
      </c>
      <c r="M434" s="21" t="n">
        <f aca="false">SUM(B434:L434)</f>
        <v>85272.2533527653</v>
      </c>
    </row>
    <row r="435" customFormat="false" ht="15" hidden="false" customHeight="false" outlineLevel="0" collapsed="false">
      <c r="A435" s="36" t="n">
        <v>46148</v>
      </c>
      <c r="B435" s="38" t="n">
        <v>27.5754680087615</v>
      </c>
      <c r="C435" s="38" t="n">
        <v>17.2864319290402</v>
      </c>
      <c r="D435" s="38" t="n">
        <v>4121.39430921001</v>
      </c>
      <c r="E435" s="38" t="n">
        <v>58193.4274531282</v>
      </c>
      <c r="F435" s="38" t="n">
        <v>6423.93213758873</v>
      </c>
      <c r="G435" s="38" t="n">
        <v>15012.1431624946</v>
      </c>
      <c r="H435" s="38" t="n">
        <v>17549.6746381273</v>
      </c>
      <c r="I435" s="38" t="n">
        <v>344.434671801638</v>
      </c>
      <c r="J435" s="38" t="n">
        <v>264.543538601524</v>
      </c>
      <c r="K435" s="38" t="n">
        <v>194.078828377305</v>
      </c>
      <c r="L435" s="38" t="n">
        <v>27711.7606290309</v>
      </c>
      <c r="M435" s="21" t="n">
        <f aca="false">SUM(B435:L435)</f>
        <v>129860.251268298</v>
      </c>
    </row>
    <row r="436" customFormat="false" ht="15" hidden="false" customHeight="false" outlineLevel="0" collapsed="false">
      <c r="A436" s="36" t="n">
        <v>46149</v>
      </c>
      <c r="B436" s="38" t="n">
        <v>12.4557267714474</v>
      </c>
      <c r="C436" s="38" t="n">
        <v>2.3723871673785</v>
      </c>
      <c r="D436" s="38" t="n">
        <v>2952.14871636408</v>
      </c>
      <c r="E436" s="38" t="n">
        <v>55721.759127533</v>
      </c>
      <c r="F436" s="38" t="n">
        <v>6473.96318559294</v>
      </c>
      <c r="G436" s="38" t="n">
        <v>15056.6292266437</v>
      </c>
      <c r="H436" s="38" t="n">
        <v>19702.4850653108</v>
      </c>
      <c r="I436" s="38" t="n">
        <v>172.854891204085</v>
      </c>
      <c r="J436" s="38" t="n">
        <v>309.101402174408</v>
      </c>
      <c r="K436" s="38" t="n">
        <v>754.95884640761</v>
      </c>
      <c r="L436" s="38" t="n">
        <v>28439.9826390512</v>
      </c>
      <c r="M436" s="21" t="n">
        <f aca="false">SUM(B436:L436)</f>
        <v>129598.711214221</v>
      </c>
    </row>
    <row r="437" customFormat="false" ht="15" hidden="false" customHeight="false" outlineLevel="0" collapsed="false">
      <c r="A437" s="36" t="n">
        <v>46150</v>
      </c>
      <c r="B437" s="38" t="n">
        <v>19.876904198724</v>
      </c>
      <c r="C437" s="38" t="n">
        <v>4.67354696721689</v>
      </c>
      <c r="D437" s="38" t="n">
        <v>2390.24286663816</v>
      </c>
      <c r="E437" s="38" t="n">
        <v>26475.7632334278</v>
      </c>
      <c r="F437" s="38" t="n">
        <v>4667.69648073657</v>
      </c>
      <c r="G437" s="38" t="n">
        <v>15916.1744976228</v>
      </c>
      <c r="H437" s="38" t="n">
        <v>15701.6291865478</v>
      </c>
      <c r="I437" s="38" t="n">
        <v>179.859751748741</v>
      </c>
      <c r="J437" s="38" t="n">
        <v>361.355658000575</v>
      </c>
      <c r="K437" s="38" t="n">
        <v>229.42089574282</v>
      </c>
      <c r="L437" s="38" t="n">
        <v>17310.5739459662</v>
      </c>
      <c r="M437" s="21" t="n">
        <f aca="false">SUM(B437:L437)</f>
        <v>83257.2669675973</v>
      </c>
    </row>
    <row r="438" customFormat="false" ht="15" hidden="false" customHeight="false" outlineLevel="0" collapsed="false">
      <c r="A438" s="36" t="n">
        <v>46151</v>
      </c>
      <c r="B438" s="38" t="n">
        <v>0.80367896102</v>
      </c>
      <c r="C438" s="38" t="n">
        <v>0.0525857680981275</v>
      </c>
      <c r="D438" s="38" t="n">
        <v>1379.37835665036</v>
      </c>
      <c r="E438" s="38" t="n">
        <v>3362.02209369236</v>
      </c>
      <c r="F438" s="38" t="n">
        <v>892.617502402995</v>
      </c>
      <c r="G438" s="38" t="n">
        <v>1892.41663062333</v>
      </c>
      <c r="H438" s="38" t="n">
        <v>2277.15496977925</v>
      </c>
      <c r="I438" s="38" t="n">
        <v>14.1456190472329</v>
      </c>
      <c r="J438" s="38" t="n">
        <v>81.8460411775833</v>
      </c>
      <c r="K438" s="38" t="n">
        <v>2285.1243615466</v>
      </c>
      <c r="L438" s="38" t="n">
        <v>2453.55484256709</v>
      </c>
      <c r="M438" s="21" t="n">
        <f aca="false">SUM(B438:L438)</f>
        <v>14639.1166822159</v>
      </c>
    </row>
    <row r="439" customFormat="false" ht="15" hidden="false" customHeight="false" outlineLevel="0" collapsed="false">
      <c r="A439" s="36" t="n">
        <v>46152</v>
      </c>
      <c r="B439" s="38" t="n">
        <v>0.42418625612165</v>
      </c>
      <c r="C439" s="38" t="n">
        <v>0.45886083424883</v>
      </c>
      <c r="D439" s="38" t="n">
        <v>2868.23233488811</v>
      </c>
      <c r="E439" s="38" t="n">
        <v>9970.1789597228</v>
      </c>
      <c r="F439" s="38" t="n">
        <v>1974.49344086856</v>
      </c>
      <c r="G439" s="38" t="n">
        <v>3224.49840909223</v>
      </c>
      <c r="H439" s="38" t="n">
        <v>6161.39138532919</v>
      </c>
      <c r="I439" s="38" t="n">
        <v>118.814370754785</v>
      </c>
      <c r="J439" s="38" t="n">
        <v>386.840025184558</v>
      </c>
      <c r="K439" s="38" t="n">
        <v>1114.33967119679</v>
      </c>
      <c r="L439" s="38" t="n">
        <v>9315.170294259</v>
      </c>
      <c r="M439" s="21" t="n">
        <f aca="false">SUM(B439:L439)</f>
        <v>35134.8419383864</v>
      </c>
    </row>
    <row r="440" customFormat="false" ht="15" hidden="false" customHeight="false" outlineLevel="0" collapsed="false">
      <c r="A440" s="36" t="n">
        <v>46153</v>
      </c>
      <c r="B440" s="38" t="n">
        <v>7.2276404546919</v>
      </c>
      <c r="C440" s="38" t="n">
        <v>2.59357324752623</v>
      </c>
      <c r="D440" s="38" t="n">
        <v>3088.15887895971</v>
      </c>
      <c r="E440" s="38" t="n">
        <v>23526.9568180093</v>
      </c>
      <c r="F440" s="38" t="n">
        <v>7906.16914662204</v>
      </c>
      <c r="G440" s="38" t="n">
        <v>20405.2848004628</v>
      </c>
      <c r="H440" s="38" t="n">
        <v>12297.8827007254</v>
      </c>
      <c r="I440" s="38" t="n">
        <v>135.031918903405</v>
      </c>
      <c r="J440" s="38" t="n">
        <v>400.704730614524</v>
      </c>
      <c r="K440" s="38" t="n">
        <v>360.965648570535</v>
      </c>
      <c r="L440" s="38" t="n">
        <v>27039.8389171706</v>
      </c>
      <c r="M440" s="21" t="n">
        <f aca="false">SUM(B440:L440)</f>
        <v>95170.8147737406</v>
      </c>
    </row>
    <row r="441" customFormat="false" ht="15" hidden="false" customHeight="false" outlineLevel="0" collapsed="false">
      <c r="A441" s="36" t="n">
        <v>46154</v>
      </c>
      <c r="B441" s="38" t="n">
        <v>50.834599722531</v>
      </c>
      <c r="C441" s="38" t="n">
        <v>0.529562425657277</v>
      </c>
      <c r="D441" s="38" t="n">
        <v>2539.94876204654</v>
      </c>
      <c r="E441" s="38" t="n">
        <v>16753.2115152442</v>
      </c>
      <c r="F441" s="38" t="n">
        <v>5977.49322335415</v>
      </c>
      <c r="G441" s="38" t="n">
        <v>20462.7190600133</v>
      </c>
      <c r="H441" s="38" t="n">
        <v>17188.7057876784</v>
      </c>
      <c r="I441" s="38" t="n">
        <v>118.270218448261</v>
      </c>
      <c r="J441" s="38" t="n">
        <v>997.983487094924</v>
      </c>
      <c r="K441" s="38" t="n">
        <v>310.496171404323</v>
      </c>
      <c r="L441" s="38" t="n">
        <v>27088.4872602886</v>
      </c>
      <c r="M441" s="21" t="n">
        <f aca="false">SUM(B441:L441)</f>
        <v>91488.6796477209</v>
      </c>
    </row>
    <row r="442" customFormat="false" ht="15" hidden="false" customHeight="false" outlineLevel="0" collapsed="false">
      <c r="A442" s="36" t="n">
        <v>46155</v>
      </c>
      <c r="B442" s="38" t="n">
        <v>21.207902342244</v>
      </c>
      <c r="C442" s="38" t="n">
        <v>23.628053590523</v>
      </c>
      <c r="D442" s="38" t="n">
        <v>2581.94127174717</v>
      </c>
      <c r="E442" s="38" t="n">
        <v>17831.9221000532</v>
      </c>
      <c r="F442" s="38" t="n">
        <v>5025.93731418513</v>
      </c>
      <c r="G442" s="38" t="n">
        <v>18513.167813856</v>
      </c>
      <c r="H442" s="38" t="n">
        <v>17377.425244669</v>
      </c>
      <c r="I442" s="38" t="n">
        <v>340.694759791752</v>
      </c>
      <c r="J442" s="38" t="n">
        <v>1142.4450243616</v>
      </c>
      <c r="K442" s="38" t="n">
        <v>152.890190289863</v>
      </c>
      <c r="L442" s="38" t="n">
        <v>22671.1959060106</v>
      </c>
      <c r="M442" s="21" t="n">
        <f aca="false">SUM(B442:L442)</f>
        <v>85682.4555808971</v>
      </c>
    </row>
    <row r="443" customFormat="false" ht="15" hidden="false" customHeight="false" outlineLevel="0" collapsed="false">
      <c r="A443" s="36" t="n">
        <v>46156</v>
      </c>
      <c r="B443" s="38" t="n">
        <v>12.8959857877351</v>
      </c>
      <c r="C443" s="38" t="n">
        <v>17.4074080319628</v>
      </c>
      <c r="D443" s="38" t="n">
        <v>2792.01928829481</v>
      </c>
      <c r="E443" s="38" t="n">
        <v>17088.7587476354</v>
      </c>
      <c r="F443" s="38" t="n">
        <v>7602.6936824539</v>
      </c>
      <c r="G443" s="38" t="n">
        <v>26771.3340508892</v>
      </c>
      <c r="H443" s="38" t="n">
        <v>20939.4704649409</v>
      </c>
      <c r="I443" s="38" t="n">
        <v>305.646580323498</v>
      </c>
      <c r="J443" s="38" t="n">
        <v>647.558365926948</v>
      </c>
      <c r="K443" s="38" t="n">
        <v>107.530791442248</v>
      </c>
      <c r="L443" s="38" t="n">
        <v>19644.9707241024</v>
      </c>
      <c r="M443" s="21" t="n">
        <f aca="false">SUM(B443:L443)</f>
        <v>95930.2860898291</v>
      </c>
    </row>
    <row r="444" customFormat="false" ht="15" hidden="false" customHeight="false" outlineLevel="0" collapsed="false">
      <c r="A444" s="36" t="n">
        <v>46157</v>
      </c>
      <c r="B444" s="38" t="n">
        <v>59.2075582853452</v>
      </c>
      <c r="C444" s="38" t="n">
        <v>25.3646859832722</v>
      </c>
      <c r="D444" s="38" t="n">
        <v>5292.87410955517</v>
      </c>
      <c r="E444" s="38" t="n">
        <v>13019.1285251765</v>
      </c>
      <c r="F444" s="38" t="n">
        <v>5121.60660555903</v>
      </c>
      <c r="G444" s="38" t="n">
        <v>25731.4235484322</v>
      </c>
      <c r="H444" s="38" t="n">
        <v>29424.6758977831</v>
      </c>
      <c r="I444" s="38" t="n">
        <v>301.967449539048</v>
      </c>
      <c r="J444" s="38" t="n">
        <v>618.80570210344</v>
      </c>
      <c r="K444" s="38" t="n">
        <v>156.089117549125</v>
      </c>
      <c r="L444" s="38" t="n">
        <v>31622.1517534182</v>
      </c>
      <c r="M444" s="21" t="n">
        <f aca="false">SUM(B444:L444)</f>
        <v>111373.294953384</v>
      </c>
    </row>
    <row r="445" customFormat="false" ht="15" hidden="false" customHeight="false" outlineLevel="0" collapsed="false">
      <c r="A445" s="36" t="n">
        <v>46158</v>
      </c>
      <c r="B445" s="38" t="n">
        <v>1.37256128989913</v>
      </c>
      <c r="C445" s="38" t="n">
        <v>10.2003886189198</v>
      </c>
      <c r="D445" s="38" t="n">
        <v>2348.01778956362</v>
      </c>
      <c r="E445" s="38" t="n">
        <v>2380.8927312351</v>
      </c>
      <c r="F445" s="38" t="n">
        <v>998.940874982996</v>
      </c>
      <c r="G445" s="38" t="n">
        <v>1893.3352053243</v>
      </c>
      <c r="H445" s="38" t="n">
        <v>2061.93908503853</v>
      </c>
      <c r="I445" s="38" t="n">
        <v>25.0153956316467</v>
      </c>
      <c r="J445" s="38" t="n">
        <v>36.4309254816701</v>
      </c>
      <c r="K445" s="38" t="n">
        <v>150.39114575523</v>
      </c>
      <c r="L445" s="38" t="n">
        <v>8938.38028194466</v>
      </c>
      <c r="M445" s="21" t="n">
        <f aca="false">SUM(B445:L445)</f>
        <v>18844.9163848666</v>
      </c>
    </row>
    <row r="446" customFormat="false" ht="15" hidden="false" customHeight="false" outlineLevel="0" collapsed="false">
      <c r="A446" s="36" t="n">
        <v>46159</v>
      </c>
      <c r="B446" s="38" t="n">
        <v>1.14069649309688</v>
      </c>
      <c r="C446" s="38" t="n">
        <v>0.11388646348975</v>
      </c>
      <c r="D446" s="38" t="n">
        <v>3920.59357491006</v>
      </c>
      <c r="E446" s="38" t="n">
        <v>4136.91728515644</v>
      </c>
      <c r="F446" s="38" t="n">
        <v>1221.7728534354</v>
      </c>
      <c r="G446" s="38" t="n">
        <v>2304.9481116637</v>
      </c>
      <c r="H446" s="38" t="n">
        <v>4506.44761078575</v>
      </c>
      <c r="I446" s="38" t="n">
        <v>32.0776596889844</v>
      </c>
      <c r="J446" s="38" t="n">
        <v>90.1249321655397</v>
      </c>
      <c r="K446" s="38" t="n">
        <v>315.769897827218</v>
      </c>
      <c r="L446" s="38" t="n">
        <v>3864.89850973031</v>
      </c>
      <c r="M446" s="21" t="n">
        <f aca="false">SUM(B446:L446)</f>
        <v>20394.80501832</v>
      </c>
    </row>
    <row r="447" customFormat="false" ht="15" hidden="false" customHeight="false" outlineLevel="0" collapsed="false">
      <c r="A447" s="36" t="n">
        <v>46160</v>
      </c>
      <c r="B447" s="38" t="n">
        <v>30.5705353193037</v>
      </c>
      <c r="C447" s="38" t="n">
        <v>43.843338962226</v>
      </c>
      <c r="D447" s="38" t="n">
        <v>7373.94325113845</v>
      </c>
      <c r="E447" s="38" t="n">
        <v>28701.7079598362</v>
      </c>
      <c r="F447" s="38" t="n">
        <v>6799.78464926696</v>
      </c>
      <c r="G447" s="38" t="n">
        <v>23916.4657256366</v>
      </c>
      <c r="H447" s="38" t="n">
        <v>33312.3998261372</v>
      </c>
      <c r="I447" s="38" t="n">
        <v>107.811671688124</v>
      </c>
      <c r="J447" s="38" t="n">
        <v>299.021501823216</v>
      </c>
      <c r="K447" s="38" t="n">
        <v>1958.65982216025</v>
      </c>
      <c r="L447" s="38" t="n">
        <v>19402.7603631993</v>
      </c>
      <c r="M447" s="21" t="n">
        <f aca="false">SUM(B447:L447)</f>
        <v>121946.968645168</v>
      </c>
    </row>
    <row r="448" customFormat="false" ht="15" hidden="false" customHeight="false" outlineLevel="0" collapsed="false">
      <c r="A448" s="36" t="n">
        <v>46161</v>
      </c>
      <c r="B448" s="38" t="n">
        <v>13.8640409622187</v>
      </c>
      <c r="C448" s="38" t="n">
        <v>4.8999881497567</v>
      </c>
      <c r="D448" s="38" t="n">
        <v>5798.79240393776</v>
      </c>
      <c r="E448" s="38" t="n">
        <v>13702.3158860986</v>
      </c>
      <c r="F448" s="38" t="n">
        <v>3821.34754834048</v>
      </c>
      <c r="G448" s="38" t="n">
        <v>24887.1566918643</v>
      </c>
      <c r="H448" s="38" t="n">
        <v>23839.7616815088</v>
      </c>
      <c r="I448" s="38" t="n">
        <v>161.632632888847</v>
      </c>
      <c r="J448" s="38" t="n">
        <v>157.483522061529</v>
      </c>
      <c r="K448" s="38" t="n">
        <v>424.449457031614</v>
      </c>
      <c r="L448" s="38" t="n">
        <v>93541.3189539316</v>
      </c>
      <c r="M448" s="21" t="n">
        <f aca="false">SUM(B448:L448)</f>
        <v>166353.022806776</v>
      </c>
    </row>
    <row r="449" customFormat="false" ht="15" hidden="false" customHeight="false" outlineLevel="0" collapsed="false">
      <c r="A449" s="36" t="n">
        <v>46162</v>
      </c>
      <c r="B449" s="38" t="n">
        <v>2.529889593258</v>
      </c>
      <c r="C449" s="38" t="n">
        <v>0.28951003441063</v>
      </c>
      <c r="D449" s="38" t="n">
        <v>336.802031831293</v>
      </c>
      <c r="E449" s="38" t="n">
        <v>1154.32008822759</v>
      </c>
      <c r="F449" s="38" t="n">
        <v>195.093178251468</v>
      </c>
      <c r="G449" s="38" t="n">
        <v>1352.86873433638</v>
      </c>
      <c r="H449" s="38" t="n">
        <v>2879.83732206701</v>
      </c>
      <c r="I449" s="38" t="n">
        <v>12.0092191779814</v>
      </c>
      <c r="J449" s="38" t="n">
        <v>17.6321009038495</v>
      </c>
      <c r="K449" s="38" t="n">
        <v>64.084139664862</v>
      </c>
      <c r="L449" s="38" t="n">
        <v>4368.86715092528</v>
      </c>
      <c r="M449" s="21" t="n">
        <f aca="false">SUM(B449:L449)</f>
        <v>10384.3333650134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336</v>
      </c>
    </row>
    <row r="4" customFormat="false" ht="15" hidden="false" customHeight="false" outlineLevel="0" collapsed="false">
      <c r="A4" s="4" t="s">
        <v>337</v>
      </c>
    </row>
    <row r="5" customFormat="false" ht="15" hidden="false" customHeight="false" outlineLevel="0" collapsed="false">
      <c r="A5" s="0" t="s">
        <v>338</v>
      </c>
      <c r="B5" s="39" t="n">
        <f aca="false">'Daily Master'!A588</f>
        <v>45649</v>
      </c>
    </row>
    <row r="6" customFormat="false" ht="15" hidden="false" customHeight="false" outlineLevel="0" collapsed="false">
      <c r="A6" s="0" t="s">
        <v>339</v>
      </c>
      <c r="B6" s="39" t="n">
        <f aca="false">'Daily Master'!A1100</f>
        <v>46161</v>
      </c>
    </row>
    <row r="7" customFormat="false" ht="15" hidden="false" customHeight="false" outlineLevel="0" collapsed="false">
      <c r="A7" s="0" t="s">
        <v>340</v>
      </c>
      <c r="B7" s="40" t="n">
        <f aca="false">1100-588+1</f>
        <v>513</v>
      </c>
    </row>
    <row r="9" customFormat="false" ht="15" hidden="false" customHeight="false" outlineLevel="0" collapsed="false">
      <c r="A9" s="4" t="s">
        <v>341</v>
      </c>
    </row>
    <row r="10" customFormat="false" ht="15" hidden="false" customHeight="false" outlineLevel="0" collapsed="false">
      <c r="A10" s="0" t="s">
        <v>342</v>
      </c>
      <c r="B10" s="41" t="n">
        <f aca="false">SUM('Daily Master'!H588:H1100)</f>
        <v>1204675054</v>
      </c>
    </row>
    <row r="11" customFormat="false" ht="15" hidden="false" customHeight="false" outlineLevel="0" collapsed="false">
      <c r="A11" s="0" t="s">
        <v>343</v>
      </c>
      <c r="B11" s="41" t="n">
        <f aca="false">SUM('Daily Master'!O588:O1100)</f>
        <v>1117945937</v>
      </c>
    </row>
    <row r="12" customFormat="false" ht="15" hidden="false" customHeight="false" outlineLevel="0" collapsed="false">
      <c r="A12" s="0" t="s">
        <v>344</v>
      </c>
      <c r="B12" s="41" t="n">
        <f aca="false">SUM('Daily Master'!Y588:Y1100)</f>
        <v>86729113</v>
      </c>
    </row>
    <row r="13" customFormat="false" ht="15" hidden="false" customHeight="false" outlineLevel="0" collapsed="false">
      <c r="A13" s="0" t="s">
        <v>345</v>
      </c>
      <c r="B13" s="41" t="n">
        <f aca="false">SUM('Daily Master'!H588:H1100)-SUM('Daily Master'!O588:O1100)-SUM('Daily Master'!Y588:Y1100)</f>
        <v>4</v>
      </c>
    </row>
    <row r="15" customFormat="false" ht="15" hidden="false" customHeight="false" outlineLevel="0" collapsed="false">
      <c r="A15" s="4" t="s">
        <v>346</v>
      </c>
    </row>
    <row r="16" customFormat="false" ht="15" hidden="false" customHeight="false" outlineLevel="0" collapsed="false">
      <c r="A16" s="0" t="s">
        <v>347</v>
      </c>
      <c r="B16" s="41" t="n">
        <f aca="false">SUM('Daily Master'!I588:I1100)</f>
        <v>56270819</v>
      </c>
    </row>
    <row r="17" customFormat="false" ht="15" hidden="false" customHeight="false" outlineLevel="0" collapsed="false">
      <c r="A17" s="0" t="s">
        <v>348</v>
      </c>
      <c r="B17" s="41" t="n">
        <f aca="false">SUM('Daily Master'!P588:P1100)</f>
        <v>43695138</v>
      </c>
    </row>
    <row r="18" customFormat="false" ht="15" hidden="false" customHeight="false" outlineLevel="0" collapsed="false">
      <c r="A18" s="0" t="s">
        <v>349</v>
      </c>
      <c r="B18" s="41" t="n">
        <f aca="false">SUM('Daily Master'!Z588:Z1100)</f>
        <v>12575680</v>
      </c>
    </row>
    <row r="19" customFormat="false" ht="15" hidden="false" customHeight="false" outlineLevel="0" collapsed="false">
      <c r="A19" s="0" t="s">
        <v>345</v>
      </c>
      <c r="B19" s="41" t="n">
        <f aca="false">SUM('Daily Master'!I588:I1100)-SUM('Daily Master'!P588:P1100)-SUM('Daily Master'!Z588:Z1100)</f>
        <v>1</v>
      </c>
    </row>
    <row r="21" customFormat="false" ht="15" hidden="false" customHeight="false" outlineLevel="0" collapsed="false">
      <c r="A21" s="4" t="s">
        <v>350</v>
      </c>
    </row>
    <row r="22" customFormat="false" ht="15" hidden="false" customHeight="false" outlineLevel="0" collapsed="false">
      <c r="A22" s="0" t="s">
        <v>351</v>
      </c>
      <c r="B22" s="41" t="n">
        <f aca="false">SUM('Daily Master'!AE588:AE1100)</f>
        <v>4.99999999964894</v>
      </c>
    </row>
    <row r="23" customFormat="false" ht="15" hidden="false" customHeight="false" outlineLevel="0" collapsed="false">
      <c r="A23" s="0" t="s">
        <v>352</v>
      </c>
    </row>
    <row r="25" customFormat="false" ht="15" hidden="false" customHeight="false" outlineLevel="0" collapsed="false">
      <c r="A25" s="4" t="s">
        <v>353</v>
      </c>
    </row>
    <row r="26" customFormat="false" ht="15" hidden="false" customHeight="false" outlineLevel="0" collapsed="false">
      <c r="A26" s="0" t="s">
        <v>354</v>
      </c>
      <c r="B26" s="41" t="n">
        <f aca="false">SUM('Daily Master'!AF588:AF1100)</f>
        <v>0</v>
      </c>
    </row>
    <row r="27" customFormat="false" ht="15" hidden="false" customHeight="false" outlineLevel="0" collapsed="false">
      <c r="A27" s="0" t="s">
        <v>355</v>
      </c>
    </row>
    <row r="29" customFormat="false" ht="15" hidden="false" customHeight="false" outlineLevel="0" collapsed="false">
      <c r="A29" s="4" t="s">
        <v>356</v>
      </c>
    </row>
    <row r="30" customFormat="false" ht="15" hidden="false" customHeight="false" outlineLevel="0" collapsed="false">
      <c r="A30" s="0" t="s">
        <v>357</v>
      </c>
      <c r="B30" s="41" t="n">
        <f aca="false">SUM('Daily Master'!S588:S1100)</f>
        <v>22746843.681662</v>
      </c>
    </row>
    <row r="31" customFormat="false" ht="15" hidden="false" customHeight="false" outlineLevel="0" collapsed="false">
      <c r="A31" s="0" t="s">
        <v>358</v>
      </c>
      <c r="B31" s="41" t="n">
        <f aca="false">SUM('Daily Master'!T588:T1100)</f>
        <v>22189875</v>
      </c>
    </row>
    <row r="32" customFormat="false" ht="15" hidden="false" customHeight="false" outlineLevel="0" collapsed="false">
      <c r="A32" s="0" t="s">
        <v>359</v>
      </c>
      <c r="B32" s="41" t="n">
        <f aca="false">SUM('Daily Master'!S588:S1100)-SUM('Daily Master'!T588:T1100)</f>
        <v>556968.681661982</v>
      </c>
    </row>
    <row r="33" customFormat="false" ht="15" hidden="false" customHeight="false" outlineLevel="0" collapsed="false">
      <c r="A33" s="0" t="s">
        <v>360</v>
      </c>
    </row>
    <row r="35" customFormat="false" ht="15" hidden="false" customHeight="false" outlineLevel="0" collapsed="false">
      <c r="A35" s="4" t="s">
        <v>361</v>
      </c>
    </row>
    <row r="36" customFormat="false" ht="15" hidden="false" customHeight="false" outlineLevel="0" collapsed="false">
      <c r="A36" s="0" t="s">
        <v>362</v>
      </c>
      <c r="B36" s="41" t="n">
        <f aca="false">SUM('Daily Master'!Y588:Y1100)+SUM('Daily Master'!Z588:Z1100)</f>
        <v>99304793</v>
      </c>
    </row>
    <row r="37" customFormat="false" ht="15" hidden="false" customHeight="false" outlineLevel="0" collapsed="false">
      <c r="A37" s="0" t="s">
        <v>363</v>
      </c>
      <c r="B37" s="41" t="n">
        <f aca="false">SUM('Daily Master'!T588:T1100)</f>
        <v>22189875</v>
      </c>
    </row>
    <row r="38" customFormat="false" ht="15" hidden="false" customHeight="false" outlineLevel="0" collapsed="false">
      <c r="A38" s="0" t="s">
        <v>364</v>
      </c>
      <c r="B38" s="41" t="n">
        <f aca="false">SUM('Daily Master'!V588:V1100)</f>
        <v>64744541.8358846</v>
      </c>
    </row>
    <row r="39" customFormat="false" ht="15" hidden="false" customHeight="false" outlineLevel="0" collapsed="false">
      <c r="A39" s="0" t="s">
        <v>365</v>
      </c>
      <c r="B39" s="41" t="n">
        <f aca="false">SUM('Daily Master'!W588:W1100)</f>
        <v>11813407.4824534</v>
      </c>
    </row>
    <row r="40" customFormat="false" ht="15" hidden="false" customHeight="false" outlineLevel="0" collapsed="false">
      <c r="A40" s="0" t="s">
        <v>366</v>
      </c>
      <c r="B40" s="41" t="n">
        <f aca="false">SUM('Daily Master'!T588:T1100)+SUM('Daily Master'!V588:V1100)+SUM('Daily Master'!W588:W1100)</f>
        <v>98747824.318338</v>
      </c>
    </row>
    <row r="41" customFormat="false" ht="15" hidden="false" customHeight="false" outlineLevel="0" collapsed="false">
      <c r="A41" s="0" t="s">
        <v>367</v>
      </c>
      <c r="B41" s="41" t="n">
        <f aca="false">(SUM('Daily Master'!Y588:Y1100)+SUM('Daily Master'!Z588:Z1100))-(SUM('Daily Master'!T588:T1100)+SUM('Daily Master'!V588:V1100)+SUM('Daily Master'!W588:W1100))</f>
        <v>556968.681661964</v>
      </c>
    </row>
    <row r="43" customFormat="false" ht="15" hidden="false" customHeight="false" outlineLevel="0" collapsed="false">
      <c r="A43" s="4" t="s">
        <v>368</v>
      </c>
    </row>
    <row r="44" customFormat="false" ht="15" hidden="false" customHeight="false" outlineLevel="0" collapsed="false">
      <c r="A44" s="0" t="s">
        <v>369</v>
      </c>
      <c r="B44" s="41" t="n">
        <f aca="false">SUM('Daily Master'!V588:V1100)</f>
        <v>64744541.8358846</v>
      </c>
    </row>
    <row r="45" customFormat="false" ht="15" hidden="false" customHeight="false" outlineLevel="0" collapsed="false">
      <c r="A45" s="0" t="s">
        <v>370</v>
      </c>
    </row>
    <row r="46" customFormat="false" ht="15" hidden="false" customHeight="false" outlineLevel="0" collapsed="false">
      <c r="A46" s="0" t="s">
        <v>371</v>
      </c>
    </row>
    <row r="47" customFormat="false" ht="15" hidden="false" customHeight="false" outlineLevel="0" collapsed="false">
      <c r="A47" s="0" t="s">
        <v>372</v>
      </c>
      <c r="B47" s="42" t="n">
        <f aca="false">SUM('Daily Master'!V588:V1100)/SUM('Daily Master'!H588:H1100)</f>
        <v>0.0537444032072442</v>
      </c>
    </row>
    <row r="49" customFormat="false" ht="15" hidden="false" customHeight="false" outlineLevel="0" collapsed="false">
      <c r="A49" s="4" t="s">
        <v>373</v>
      </c>
    </row>
    <row r="50" customFormat="false" ht="15" hidden="false" customHeight="false" outlineLevel="0" collapsed="false">
      <c r="A50" s="0" t="s">
        <v>374</v>
      </c>
      <c r="B50" s="41" t="n">
        <f aca="false">SUM('Daily Master'!Q588:Q1100)</f>
        <v>1161641075</v>
      </c>
    </row>
    <row r="51" customFormat="false" ht="15" hidden="false" customHeight="false" outlineLevel="0" collapsed="false">
      <c r="A51" s="0" t="s">
        <v>375</v>
      </c>
      <c r="B51" s="41" t="n">
        <f aca="false">SUM('Daily Master'!AG588:AG1100)</f>
        <v>1068221567.70915</v>
      </c>
    </row>
    <row r="52" customFormat="false" ht="15" hidden="false" customHeight="false" outlineLevel="0" collapsed="false">
      <c r="A52" s="0" t="s">
        <v>376</v>
      </c>
      <c r="B52" s="42" t="n">
        <f aca="false">SUM('Daily Master'!AG588:AG1100)/SUM('Daily Master'!Q588:Q1100)</f>
        <v>0.919579714163556</v>
      </c>
    </row>
    <row r="54" customFormat="false" ht="15" hidden="false" customHeight="false" outlineLevel="0" collapsed="false">
      <c r="A54" s="4" t="s">
        <v>377</v>
      </c>
    </row>
    <row r="55" customFormat="false" ht="15" hidden="false" customHeight="false" outlineLevel="0" collapsed="false">
      <c r="A55" s="0" t="s">
        <v>378</v>
      </c>
      <c r="B55" s="40" t="n">
        <f aca="false">SUM('Daily Master'!AD588:AD1100)</f>
        <v>36433808.358089</v>
      </c>
    </row>
    <row r="56" customFormat="false" ht="15" hidden="false" customHeight="false" outlineLevel="0" collapsed="false">
      <c r="A56" s="0" t="s">
        <v>379</v>
      </c>
      <c r="B56" s="41" t="n">
        <f aca="false">SUM('Daily Master'!AA588:AA1100)</f>
        <v>1161641075</v>
      </c>
    </row>
    <row r="57" customFormat="false" ht="15" hidden="false" customHeight="false" outlineLevel="0" collapsed="false">
      <c r="A57" s="0" t="s">
        <v>380</v>
      </c>
    </row>
    <row r="59" customFormat="false" ht="15" hidden="false" customHeight="false" outlineLevel="0" collapsed="false">
      <c r="A59" s="4" t="s">
        <v>381</v>
      </c>
    </row>
    <row r="60" customFormat="false" ht="15" hidden="false" customHeight="false" outlineLevel="0" collapsed="false">
      <c r="A60" s="0" t="s">
        <v>382</v>
      </c>
      <c r="B60" s="40" t="n">
        <f aca="false">SUM('Daily Master'!AK588:AK1100)</f>
        <v>12987405.1360634</v>
      </c>
    </row>
    <row r="61" customFormat="false" ht="15" hidden="false" customHeight="false" outlineLevel="0" collapsed="false">
      <c r="A61" s="0" t="s">
        <v>383</v>
      </c>
      <c r="B61" s="40" t="n">
        <f aca="false">SUM('Daily Master'!AM588:AM1100)</f>
        <v>-23446403.2220256</v>
      </c>
    </row>
    <row r="62" customFormat="false" ht="15" hidden="false" customHeight="false" outlineLevel="0" collapsed="false">
      <c r="A62" s="0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43" t="s">
        <v>385</v>
      </c>
    </row>
    <row r="3" customFormat="false" ht="15" hidden="false" customHeight="false" outlineLevel="0" collapsed="false">
      <c r="A3" s="4" t="s">
        <v>386</v>
      </c>
    </row>
    <row r="4" customFormat="false" ht="15" hidden="false" customHeight="false" outlineLevel="0" collapsed="false">
      <c r="A4" s="0" t="s">
        <v>387</v>
      </c>
    </row>
    <row r="5" customFormat="false" ht="15" hidden="false" customHeight="false" outlineLevel="0" collapsed="false">
      <c r="A5" s="0" t="s">
        <v>388</v>
      </c>
    </row>
    <row r="6" customFormat="false" ht="15" hidden="false" customHeight="false" outlineLevel="0" collapsed="false">
      <c r="A6" s="0" t="s">
        <v>389</v>
      </c>
    </row>
    <row r="7" customFormat="false" ht="15" hidden="false" customHeight="false" outlineLevel="0" collapsed="false">
      <c r="A7" s="0" t="s">
        <v>390</v>
      </c>
    </row>
    <row r="9" customFormat="false" ht="15" hidden="false" customHeight="false" outlineLevel="0" collapsed="false">
      <c r="A9" s="4" t="s">
        <v>391</v>
      </c>
    </row>
    <row r="10" customFormat="false" ht="15" hidden="false" customHeight="false" outlineLevel="0" collapsed="false">
      <c r="A10" s="0" t="s">
        <v>392</v>
      </c>
      <c r="B10" s="0" t="s">
        <v>393</v>
      </c>
    </row>
    <row r="11" customFormat="false" ht="15" hidden="false" customHeight="false" outlineLevel="0" collapsed="false">
      <c r="A11" s="0" t="s">
        <v>394</v>
      </c>
      <c r="B11" s="0" t="s">
        <v>395</v>
      </c>
    </row>
    <row r="12" customFormat="false" ht="15" hidden="false" customHeight="false" outlineLevel="0" collapsed="false">
      <c r="A12" s="0" t="s">
        <v>396</v>
      </c>
      <c r="B12" s="0" t="s">
        <v>397</v>
      </c>
    </row>
    <row r="13" customFormat="false" ht="15" hidden="false" customHeight="false" outlineLevel="0" collapsed="false">
      <c r="A13" s="0" t="s">
        <v>398</v>
      </c>
      <c r="B13" s="0" t="s">
        <v>399</v>
      </c>
    </row>
    <row r="14" customFormat="false" ht="15" hidden="false" customHeight="false" outlineLevel="0" collapsed="false">
      <c r="A14" s="0" t="s">
        <v>400</v>
      </c>
      <c r="B14" s="0" t="s">
        <v>401</v>
      </c>
    </row>
    <row r="15" customFormat="false" ht="15" hidden="false" customHeight="false" outlineLevel="0" collapsed="false">
      <c r="A15" s="0" t="s">
        <v>402</v>
      </c>
      <c r="B15" s="0" t="s">
        <v>403</v>
      </c>
    </row>
    <row r="16" customFormat="false" ht="15" hidden="false" customHeight="false" outlineLevel="0" collapsed="false">
      <c r="A16" s="0" t="s">
        <v>404</v>
      </c>
      <c r="B16" s="0" t="s">
        <v>405</v>
      </c>
    </row>
    <row r="17" customFormat="false" ht="15" hidden="false" customHeight="false" outlineLevel="0" collapsed="false">
      <c r="A17" s="0" t="s">
        <v>406</v>
      </c>
      <c r="B17" s="0" t="s">
        <v>407</v>
      </c>
    </row>
    <row r="18" customFormat="false" ht="15" hidden="false" customHeight="false" outlineLevel="0" collapsed="false">
      <c r="A18" s="0" t="s">
        <v>408</v>
      </c>
      <c r="B18" s="0" t="s">
        <v>409</v>
      </c>
    </row>
    <row r="19" customFormat="false" ht="15" hidden="false" customHeight="false" outlineLevel="0" collapsed="false">
      <c r="A19" s="0" t="s">
        <v>410</v>
      </c>
      <c r="B19" s="0" t="s">
        <v>411</v>
      </c>
    </row>
    <row r="20" customFormat="false" ht="15" hidden="false" customHeight="false" outlineLevel="0" collapsed="false">
      <c r="A20" s="0" t="s">
        <v>412</v>
      </c>
      <c r="B20" s="0" t="s">
        <v>413</v>
      </c>
    </row>
    <row r="21" customFormat="false" ht="15" hidden="false" customHeight="false" outlineLevel="0" collapsed="false">
      <c r="A21" s="0" t="s">
        <v>414</v>
      </c>
      <c r="B21" s="0" t="s">
        <v>415</v>
      </c>
    </row>
    <row r="23" customFormat="false" ht="15" hidden="false" customHeight="false" outlineLevel="0" collapsed="false">
      <c r="A23" s="4" t="s">
        <v>416</v>
      </c>
    </row>
    <row r="24" customFormat="false" ht="15" hidden="false" customHeight="false" outlineLevel="0" collapsed="false">
      <c r="A24" s="4" t="s">
        <v>417</v>
      </c>
    </row>
    <row r="25" customFormat="false" ht="15" hidden="false" customHeight="false" outlineLevel="0" collapsed="false">
      <c r="A25" s="0" t="s">
        <v>418</v>
      </c>
    </row>
    <row r="26" customFormat="false" ht="15" hidden="false" customHeight="false" outlineLevel="0" collapsed="false">
      <c r="A26" s="0" t="s">
        <v>419</v>
      </c>
    </row>
    <row r="27" customFormat="false" ht="15" hidden="false" customHeight="false" outlineLevel="0" collapsed="false">
      <c r="A27" s="0" t="s">
        <v>420</v>
      </c>
    </row>
    <row r="28" customFormat="false" ht="15" hidden="false" customHeight="false" outlineLevel="0" collapsed="false">
      <c r="A28" s="0" t="s">
        <v>421</v>
      </c>
    </row>
    <row r="30" customFormat="false" ht="15" hidden="false" customHeight="false" outlineLevel="0" collapsed="false">
      <c r="A30" s="4" t="s">
        <v>422</v>
      </c>
    </row>
    <row r="31" customFormat="false" ht="15" hidden="false" customHeight="false" outlineLevel="0" collapsed="false">
      <c r="A31" s="0" t="s">
        <v>423</v>
      </c>
    </row>
    <row r="32" customFormat="false" ht="15" hidden="false" customHeight="false" outlineLevel="0" collapsed="false">
      <c r="A32" s="0" t="s">
        <v>424</v>
      </c>
    </row>
    <row r="33" customFormat="false" ht="15" hidden="false" customHeight="false" outlineLevel="0" collapsed="false">
      <c r="A33" s="0" t="s">
        <v>425</v>
      </c>
    </row>
    <row r="34" customFormat="false" ht="15" hidden="false" customHeight="false" outlineLevel="0" collapsed="false">
      <c r="A34" s="0" t="s">
        <v>426</v>
      </c>
    </row>
    <row r="35" customFormat="false" ht="15" hidden="false" customHeight="false" outlineLevel="0" collapsed="false">
      <c r="A35" s="0" t="s">
        <v>427</v>
      </c>
    </row>
    <row r="36" customFormat="false" ht="15" hidden="false" customHeight="false" outlineLevel="0" collapsed="false">
      <c r="A36" s="0" t="s">
        <v>428</v>
      </c>
    </row>
    <row r="37" customFormat="false" ht="15" hidden="false" customHeight="false" outlineLevel="0" collapsed="false">
      <c r="A37" s="0" t="s">
        <v>429</v>
      </c>
    </row>
    <row r="38" customFormat="false" ht="15" hidden="false" customHeight="false" outlineLevel="0" collapsed="false">
      <c r="A38" s="0" t="s">
        <v>430</v>
      </c>
    </row>
    <row r="39" customFormat="false" ht="15" hidden="false" customHeight="false" outlineLevel="0" collapsed="false">
      <c r="A39" s="0" t="s">
        <v>431</v>
      </c>
    </row>
    <row r="41" customFormat="false" ht="15" hidden="false" customHeight="false" outlineLevel="0" collapsed="false">
      <c r="A41" s="4" t="s">
        <v>432</v>
      </c>
    </row>
    <row r="42" customFormat="false" ht="15" hidden="false" customHeight="false" outlineLevel="0" collapsed="false">
      <c r="A42" s="0" t="s">
        <v>433</v>
      </c>
    </row>
    <row r="43" customFormat="false" ht="15" hidden="false" customHeight="false" outlineLevel="0" collapsed="false">
      <c r="A43" s="0" t="s">
        <v>434</v>
      </c>
    </row>
    <row r="45" customFormat="false" ht="15" hidden="false" customHeight="false" outlineLevel="0" collapsed="false">
      <c r="A45" s="4" t="s">
        <v>435</v>
      </c>
    </row>
    <row r="46" customFormat="false" ht="15" hidden="false" customHeight="false" outlineLevel="0" collapsed="false">
      <c r="A46" s="4" t="s">
        <v>436</v>
      </c>
    </row>
    <row r="47" customFormat="false" ht="15" hidden="false" customHeight="false" outlineLevel="0" collapsed="false">
      <c r="A47" s="0" t="s">
        <v>437</v>
      </c>
    </row>
    <row r="48" customFormat="false" ht="15" hidden="false" customHeight="false" outlineLevel="0" collapsed="false">
      <c r="A48" s="0" t="s">
        <v>438</v>
      </c>
    </row>
    <row r="49" customFormat="false" ht="15" hidden="false" customHeight="false" outlineLevel="0" collapsed="false">
      <c r="A49" s="4" t="s">
        <v>439</v>
      </c>
    </row>
    <row r="50" customFormat="false" ht="15" hidden="false" customHeight="false" outlineLevel="0" collapsed="false">
      <c r="A50" s="0" t="s">
        <v>440</v>
      </c>
    </row>
    <row r="52" customFormat="false" ht="15" hidden="false" customHeight="false" outlineLevel="0" collapsed="false">
      <c r="A52" s="4" t="s">
        <v>441</v>
      </c>
    </row>
    <row r="53" customFormat="false" ht="15" hidden="false" customHeight="false" outlineLevel="0" collapsed="false">
      <c r="A53" s="0" t="s">
        <v>442</v>
      </c>
    </row>
    <row r="54" customFormat="false" ht="15" hidden="false" customHeight="false" outlineLevel="0" collapsed="false">
      <c r="A54" s="0" t="s">
        <v>443</v>
      </c>
    </row>
    <row r="55" customFormat="false" ht="15" hidden="false" customHeight="false" outlineLevel="0" collapsed="false">
      <c r="A55" s="0" t="s">
        <v>444</v>
      </c>
    </row>
    <row r="56" customFormat="false" ht="15" hidden="false" customHeight="false" outlineLevel="0" collapsed="false">
      <c r="A56" s="0" t="s">
        <v>445</v>
      </c>
    </row>
    <row r="57" customFormat="false" ht="15" hidden="false" customHeight="false" outlineLevel="0" collapsed="false">
      <c r="A57" s="0" t="s">
        <v>446</v>
      </c>
    </row>
    <row r="59" customFormat="false" ht="15" hidden="false" customHeight="false" outlineLevel="0" collapsed="false">
      <c r="A59" s="4" t="s">
        <v>447</v>
      </c>
    </row>
    <row r="60" customFormat="false" ht="15" hidden="false" customHeight="false" outlineLevel="0" collapsed="false">
      <c r="A60" s="0" t="s">
        <v>448</v>
      </c>
    </row>
    <row r="61" customFormat="false" ht="15" hidden="false" customHeight="false" outlineLevel="0" collapsed="false">
      <c r="A61" s="0" t="s">
        <v>449</v>
      </c>
    </row>
    <row r="62" customFormat="false" ht="15" hidden="false" customHeight="false" outlineLevel="0" collapsed="false">
      <c r="A62" s="0" t="s">
        <v>450</v>
      </c>
    </row>
    <row r="63" customFormat="false" ht="15" hidden="false" customHeight="false" outlineLevel="0" collapsed="false">
      <c r="A63" s="0" t="s">
        <v>451</v>
      </c>
    </row>
    <row r="64" customFormat="false" ht="15" hidden="false" customHeight="false" outlineLevel="0" collapsed="false">
      <c r="A64" s="0" t="s">
        <v>452</v>
      </c>
    </row>
    <row r="66" customFormat="false" ht="15" hidden="false" customHeight="false" outlineLevel="0" collapsed="false">
      <c r="A66" s="4" t="s">
        <v>453</v>
      </c>
    </row>
    <row r="67" customFormat="false" ht="15" hidden="false" customHeight="false" outlineLevel="0" collapsed="false">
      <c r="A67" s="0" t="s">
        <v>454</v>
      </c>
    </row>
    <row r="68" customFormat="false" ht="15" hidden="false" customHeight="false" outlineLevel="0" collapsed="false">
      <c r="A68" s="0" t="s">
        <v>455</v>
      </c>
    </row>
    <row r="69" customFormat="false" ht="15" hidden="false" customHeight="false" outlineLevel="0" collapsed="false">
      <c r="A69" s="0" t="s">
        <v>456</v>
      </c>
    </row>
    <row r="70" customFormat="false" ht="15" hidden="false" customHeight="false" outlineLevel="0" collapsed="false">
      <c r="A70" s="0" t="s">
        <v>457</v>
      </c>
    </row>
    <row r="71" customFormat="false" ht="15" hidden="false" customHeight="false" outlineLevel="0" collapsed="false">
      <c r="A71" s="0" t="s">
        <v>458</v>
      </c>
    </row>
    <row r="72" customFormat="false" ht="15" hidden="false" customHeight="false" outlineLevel="0" collapsed="false">
      <c r="A72" s="0" t="s">
        <v>459</v>
      </c>
    </row>
    <row r="73" customFormat="false" ht="15" hidden="false" customHeight="false" outlineLevel="0" collapsed="false">
      <c r="A73" s="0" t="s">
        <v>460</v>
      </c>
    </row>
    <row r="74" customFormat="false" ht="15" hidden="false" customHeight="false" outlineLevel="0" collapsed="false">
      <c r="A74" s="0" t="s">
        <v>461</v>
      </c>
    </row>
    <row r="75" customFormat="false" ht="15" hidden="false" customHeight="false" outlineLevel="0" collapsed="false">
      <c r="A75" s="0" t="s">
        <v>462</v>
      </c>
    </row>
    <row r="76" customFormat="false" ht="15" hidden="false" customHeight="false" outlineLevel="0" collapsed="false">
      <c r="A76" s="0" t="s">
        <v>463</v>
      </c>
    </row>
    <row r="77" customFormat="false" ht="15" hidden="false" customHeight="false" outlineLevel="0" collapsed="false">
      <c r="A77" s="0" t="s">
        <v>464</v>
      </c>
    </row>
    <row r="78" customFormat="false" ht="15" hidden="false" customHeight="false" outlineLevel="0" collapsed="false">
      <c r="A78" s="0" t="s">
        <v>465</v>
      </c>
    </row>
    <row r="80" customFormat="false" ht="15" hidden="false" customHeight="false" outlineLevel="0" collapsed="false">
      <c r="A80" s="4" t="s">
        <v>466</v>
      </c>
    </row>
    <row r="81" customFormat="false" ht="15" hidden="false" customHeight="false" outlineLevel="0" collapsed="false">
      <c r="A81" s="0" t="s">
        <v>467</v>
      </c>
    </row>
    <row r="82" customFormat="false" ht="15" hidden="false" customHeight="false" outlineLevel="0" collapsed="false">
      <c r="A82" s="0" t="s">
        <v>468</v>
      </c>
    </row>
    <row r="84" customFormat="false" ht="15" hidden="false" customHeight="false" outlineLevel="0" collapsed="false">
      <c r="A84" s="4" t="s">
        <v>469</v>
      </c>
    </row>
    <row r="85" customFormat="false" ht="15" hidden="false" customHeight="false" outlineLevel="0" collapsed="false">
      <c r="A85" s="0" t="s">
        <v>470</v>
      </c>
    </row>
    <row r="86" customFormat="false" ht="15" hidden="false" customHeight="false" outlineLevel="0" collapsed="false">
      <c r="A86" s="0" t="s">
        <v>471</v>
      </c>
    </row>
    <row r="87" customFormat="false" ht="15" hidden="false" customHeight="false" outlineLevel="0" collapsed="false">
      <c r="A87" s="0" t="s">
        <v>472</v>
      </c>
    </row>
    <row r="89" customFormat="false" ht="15" hidden="false" customHeight="false" outlineLevel="0" collapsed="false">
      <c r="A89" s="4" t="s">
        <v>473</v>
      </c>
    </row>
    <row r="90" customFormat="false" ht="15" hidden="false" customHeight="false" outlineLevel="0" collapsed="false">
      <c r="A90" s="0" t="s">
        <v>474</v>
      </c>
    </row>
    <row r="91" customFormat="false" ht="15" hidden="false" customHeight="false" outlineLevel="0" collapsed="false">
      <c r="A91" s="0" t="s">
        <v>475</v>
      </c>
    </row>
    <row r="92" customFormat="false" ht="15" hidden="false" customHeight="false" outlineLevel="0" collapsed="false">
      <c r="A92" s="0" t="s">
        <v>476</v>
      </c>
    </row>
    <row r="93" customFormat="false" ht="15" hidden="false" customHeight="false" outlineLevel="0" collapsed="false">
      <c r="A93" s="0" t="s">
        <v>477</v>
      </c>
    </row>
    <row r="94" customFormat="false" ht="15" hidden="false" customHeight="false" outlineLevel="0" collapsed="false">
      <c r="A94" s="0" t="s">
        <v>478</v>
      </c>
    </row>
    <row r="96" customFormat="false" ht="15" hidden="false" customHeight="false" outlineLevel="0" collapsed="false">
      <c r="A96" s="4" t="s">
        <v>479</v>
      </c>
    </row>
    <row r="97" customFormat="false" ht="15" hidden="false" customHeight="false" outlineLevel="0" collapsed="false">
      <c r="A97" s="0" t="s">
        <v>480</v>
      </c>
    </row>
    <row r="98" customFormat="false" ht="15" hidden="false" customHeight="false" outlineLevel="0" collapsed="false">
      <c r="A98" s="0" t="s">
        <v>481</v>
      </c>
    </row>
    <row r="99" customFormat="false" ht="15" hidden="false" customHeight="false" outlineLevel="0" collapsed="false">
      <c r="A99" s="0" t="s">
        <v>482</v>
      </c>
    </row>
    <row r="101" customFormat="false" ht="15" hidden="false" customHeight="false" outlineLevel="0" collapsed="false">
      <c r="A101" s="4" t="s">
        <v>483</v>
      </c>
    </row>
    <row r="102" customFormat="false" ht="15" hidden="false" customHeight="false" outlineLevel="0" collapsed="false">
      <c r="A102" s="0" t="s">
        <v>484</v>
      </c>
    </row>
    <row r="103" customFormat="false" ht="15" hidden="false" customHeight="false" outlineLevel="0" collapsed="false">
      <c r="A103" s="0" t="s">
        <v>485</v>
      </c>
    </row>
    <row r="104" customFormat="false" ht="15" hidden="false" customHeight="false" outlineLevel="0" collapsed="false">
      <c r="A104" s="0" t="s">
        <v>486</v>
      </c>
    </row>
    <row r="105" customFormat="false" ht="15" hidden="false" customHeight="false" outlineLevel="0" collapsed="false">
      <c r="A105" s="0" t="s">
        <v>487</v>
      </c>
    </row>
    <row r="106" customFormat="false" ht="15" hidden="false" customHeight="false" outlineLevel="0" collapsed="false">
      <c r="A106" s="0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2026-05-20T11:18:00Z</dcterms:created>
  <dc:creator>openpyxl</dc:creator>
  <dc:description/>
  <dc:language>en-US</dc:language>
  <cp:lastModifiedBy/>
  <dcterms:modified xsi:type="dcterms:W3CDTF">2026-05-20T11:18:03Z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